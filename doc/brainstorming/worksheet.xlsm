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thorsten\Dropbox\zeiterfassung_Thorsten\"/>
    </mc:Choice>
  </mc:AlternateContent>
  <bookViews>
    <workbookView xWindow="0" yWindow="465" windowWidth="18780" windowHeight="16440"/>
  </bookViews>
  <sheets>
    <sheet name="Zeiterfassung" sheetId="1" r:id="rId1"/>
    <sheet name="Projekt" sheetId="2" r:id="rId2"/>
  </sheets>
  <definedNames>
    <definedName name="_xlnm._FilterDatabase" localSheetId="0" hidden="1">Zeiterfassung!$B$10:$L$1500</definedName>
    <definedName name="ProjektCode">tblProjekt[Projekt Code]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1" l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163" i="1"/>
  <c r="E1150" i="1"/>
  <c r="E1149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1004" i="1"/>
  <c r="E1005" i="1"/>
  <c r="E1006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514" i="1"/>
  <c r="E515" i="1"/>
  <c r="E498" i="1"/>
  <c r="E499" i="1"/>
  <c r="E500" i="1"/>
  <c r="E501" i="1"/>
  <c r="E502" i="1"/>
  <c r="E503" i="1"/>
  <c r="E504" i="1"/>
  <c r="E505" i="1"/>
  <c r="E497" i="1"/>
  <c r="E506" i="1"/>
  <c r="E507" i="1"/>
  <c r="E508" i="1"/>
  <c r="E509" i="1"/>
  <c r="E510" i="1"/>
  <c r="E511" i="1"/>
  <c r="E512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513" i="1"/>
  <c r="E516" i="1"/>
  <c r="E517" i="1"/>
  <c r="E518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291" i="1"/>
  <c r="E292" i="1"/>
  <c r="E293" i="1"/>
  <c r="E294" i="1"/>
  <c r="E295" i="1"/>
  <c r="E296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41" i="1"/>
  <c r="E242" i="1"/>
  <c r="E243" i="1"/>
  <c r="E244" i="1"/>
  <c r="E245" i="1"/>
  <c r="E246" i="1"/>
  <c r="E247" i="1"/>
  <c r="E24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06" i="1"/>
  <c r="E207" i="1"/>
  <c r="E208" i="1"/>
  <c r="E209" i="1"/>
  <c r="E210" i="1"/>
  <c r="E211" i="1"/>
  <c r="E212" i="1"/>
  <c r="E213" i="1"/>
  <c r="E214" i="1"/>
  <c r="E196" i="1"/>
  <c r="E197" i="1"/>
  <c r="E198" i="1"/>
  <c r="E199" i="1"/>
  <c r="E200" i="1"/>
  <c r="E201" i="1"/>
  <c r="E202" i="1"/>
  <c r="E203" i="1"/>
  <c r="E204" i="1"/>
  <c r="E205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80" i="1"/>
  <c r="E181" i="1"/>
  <c r="E182" i="1"/>
  <c r="E183" i="1"/>
  <c r="E174" i="1"/>
  <c r="E175" i="1"/>
  <c r="E176" i="1"/>
  <c r="E177" i="1"/>
  <c r="E178" i="1"/>
  <c r="E179" i="1"/>
  <c r="E166" i="1"/>
  <c r="E167" i="1"/>
  <c r="E168" i="1"/>
  <c r="E169" i="1"/>
  <c r="E170" i="1"/>
  <c r="E171" i="1"/>
  <c r="E172" i="1"/>
  <c r="E173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35" i="1"/>
  <c r="E137" i="1"/>
  <c r="E112" i="1"/>
  <c r="E142" i="1"/>
  <c r="E143" i="1"/>
  <c r="E144" i="1"/>
  <c r="E145" i="1"/>
  <c r="E146" i="1"/>
  <c r="E147" i="1"/>
  <c r="E148" i="1"/>
  <c r="E149" i="1"/>
  <c r="E150" i="1"/>
  <c r="E151" i="1"/>
  <c r="E10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6" i="1"/>
  <c r="E102" i="1"/>
  <c r="E103" i="1"/>
  <c r="E104" i="1"/>
  <c r="E105" i="1"/>
  <c r="E106" i="1"/>
  <c r="E107" i="1"/>
  <c r="E108" i="1"/>
  <c r="E109" i="1"/>
  <c r="E63" i="1"/>
  <c r="E64" i="1"/>
  <c r="E65" i="1"/>
  <c r="E66" i="1"/>
  <c r="E67" i="1"/>
  <c r="E141" i="1"/>
  <c r="E140" i="1"/>
  <c r="E139" i="1"/>
  <c r="E138" i="1"/>
  <c r="E113" i="1"/>
  <c r="E111" i="1"/>
  <c r="E110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1" i="1"/>
  <c r="E18" i="1"/>
  <c r="G5" i="1"/>
  <c r="E12" i="1"/>
  <c r="E13" i="1"/>
  <c r="E14" i="1"/>
  <c r="E15" i="1"/>
  <c r="E16" i="1"/>
  <c r="E17" i="1"/>
</calcChain>
</file>

<file path=xl/sharedStrings.xml><?xml version="1.0" encoding="utf-8"?>
<sst xmlns="http://schemas.openxmlformats.org/spreadsheetml/2006/main" count="2806" uniqueCount="1275">
  <si>
    <t>Datum</t>
  </si>
  <si>
    <t>Projekt-Code</t>
  </si>
  <si>
    <t>Auftragnehmer:</t>
  </si>
  <si>
    <t>Leistungszeitraum:</t>
  </si>
  <si>
    <t>Projektname</t>
  </si>
  <si>
    <t>BBH</t>
  </si>
  <si>
    <t>PP2</t>
  </si>
  <si>
    <t>Stada reports</t>
  </si>
  <si>
    <t>Projektbezeichnung</t>
  </si>
  <si>
    <t>PurchaseOrderNumber</t>
  </si>
  <si>
    <t>Projekt Code</t>
  </si>
  <si>
    <t>Produktionsportal 2</t>
  </si>
  <si>
    <t>Powercharts Win7</t>
  </si>
  <si>
    <t>PCHWIN7</t>
  </si>
  <si>
    <t>CALCCHA</t>
  </si>
  <si>
    <t>CHA Calculator</t>
  </si>
  <si>
    <t>Powerspreadsheet Win7</t>
  </si>
  <si>
    <t>PSPRWIN</t>
  </si>
  <si>
    <t>4300043553</t>
  </si>
  <si>
    <t>CALCOTCMEDIA</t>
  </si>
  <si>
    <t>OTC Media Calculator</t>
  </si>
  <si>
    <t>BETTUPD</t>
  </si>
  <si>
    <t>Bettenupdate</t>
  </si>
  <si>
    <t>Interaktiver L'Oreal report</t>
  </si>
  <si>
    <t>4300042016</t>
  </si>
  <si>
    <t>Berichtsbesonderheiten</t>
  </si>
  <si>
    <t>TAUBOOTS</t>
  </si>
  <si>
    <t>Boots</t>
  </si>
  <si>
    <t>CM Calculator</t>
  </si>
  <si>
    <t>CALCCM</t>
  </si>
  <si>
    <t>CALCSRR</t>
  </si>
  <si>
    <t>Sales Rep Regions Calculator</t>
  </si>
  <si>
    <t>PPLORIA</t>
  </si>
  <si>
    <t>TAULORSALES</t>
  </si>
  <si>
    <t>L'Oreal Sales</t>
  </si>
  <si>
    <t>CALCNPA</t>
  </si>
  <si>
    <t>NPA Calculator</t>
  </si>
  <si>
    <t>TAUCESRA</t>
  </si>
  <si>
    <t>Cesra report</t>
  </si>
  <si>
    <t>CALCPTR</t>
  </si>
  <si>
    <t>Pharmatrend Calculator</t>
  </si>
  <si>
    <t>TAULORDISTRI</t>
  </si>
  <si>
    <t>L'Oreal Distributionsreport</t>
  </si>
  <si>
    <t>CALCDPMPSN</t>
  </si>
  <si>
    <t>TAUMEDICEPOS</t>
  </si>
  <si>
    <t>Medice Pos report</t>
  </si>
  <si>
    <t>TAUNIEHAUS</t>
  </si>
  <si>
    <t>Niehaus report</t>
  </si>
  <si>
    <t>TAUGSK</t>
  </si>
  <si>
    <t>GSK Export</t>
  </si>
  <si>
    <t>CALCOTCOFFTAKE</t>
  </si>
  <si>
    <t>TAULORMICRO</t>
  </si>
  <si>
    <t>L'Oreal Micro report</t>
  </si>
  <si>
    <t>TAULORDERMO</t>
  </si>
  <si>
    <t>L'Oreal Dermocosmetics report</t>
  </si>
  <si>
    <t>TAUBIOMED</t>
  </si>
  <si>
    <t>Biomedica report</t>
  </si>
  <si>
    <t>TAUBAYER</t>
  </si>
  <si>
    <t>Bayer Dashboard</t>
  </si>
  <si>
    <t>TAUSTADA</t>
  </si>
  <si>
    <t>TAUNUTRI</t>
  </si>
  <si>
    <t>Nutricia reports</t>
  </si>
  <si>
    <t>Klosterfrau Mass Market</t>
  </si>
  <si>
    <t>TAUKFMAMA</t>
  </si>
  <si>
    <t>TAUOMRON</t>
  </si>
  <si>
    <t>Omron reports</t>
  </si>
  <si>
    <t>CALCPHS</t>
  </si>
  <si>
    <t>PHS Calculator</t>
  </si>
  <si>
    <t>TAULORSYNTH</t>
  </si>
  <si>
    <t>L'Oreal Synthese, Flash + UGK</t>
  </si>
  <si>
    <t>Zeiterfassung</t>
  </si>
  <si>
    <t>Durchgeführte Tätigkeit</t>
  </si>
  <si>
    <t xml:space="preserve"> </t>
  </si>
  <si>
    <r>
      <t xml:space="preserve">Auftraggeber:    </t>
    </r>
    <r>
      <rPr>
        <sz val="11"/>
        <color theme="0"/>
        <rFont val="Calibri"/>
        <family val="2"/>
        <scheme val="minor"/>
      </rPr>
      <t xml:space="preserve"> .</t>
    </r>
  </si>
  <si>
    <t>cognovo Inhaber Michael Wolff</t>
  </si>
  <si>
    <r>
      <t xml:space="preserve">Stundenanzahl:     </t>
    </r>
    <r>
      <rPr>
        <sz val="11"/>
        <color theme="0"/>
        <rFont val="Calibri"/>
        <family val="2"/>
        <scheme val="minor"/>
      </rPr>
      <t>.</t>
    </r>
  </si>
  <si>
    <t>Std.</t>
  </si>
  <si>
    <t xml:space="preserve">Hinweis: Projektbezeichnung nicht ausfüllen, wird automatisch befüllt! </t>
  </si>
  <si>
    <t>4300042018</t>
  </si>
  <si>
    <t>DPMPSN Calculator</t>
  </si>
  <si>
    <t>PVTBOE</t>
  </si>
  <si>
    <t>Powerpivot Boehringer</t>
  </si>
  <si>
    <t>PVTPFIZ</t>
  </si>
  <si>
    <t>Powerpivot Pfizer</t>
  </si>
  <si>
    <t>INTINFRA</t>
  </si>
  <si>
    <t>Infrastruktur cognovo</t>
  </si>
  <si>
    <t>INTERN</t>
  </si>
  <si>
    <t>Thorsten</t>
  </si>
  <si>
    <t>Bezahlter Urlaub</t>
  </si>
  <si>
    <t>OM: Urlaubsreview und Übergabe Arbeitspakete</t>
  </si>
  <si>
    <t>Sichtung, Ablage und Beantowrtung Mails nach Urlaub</t>
  </si>
  <si>
    <t>Beschreibung (GitHub) und Übergabe Arbeitspakete an Joachim</t>
  </si>
  <si>
    <t>Integration des Kommentarfeldes bei ExcelExport</t>
  </si>
  <si>
    <t>Vor- und Nachbereitung sowie OM mit Andreas Buteweg</t>
  </si>
  <si>
    <t>Anpassung und ReRun der Vita-Zink-Reports</t>
  </si>
  <si>
    <t>OM: Branch-Systematik GitHub</t>
  </si>
  <si>
    <t>OM: Erläuterung Szenario-Feature</t>
  </si>
  <si>
    <t>Mailing Wenzel</t>
  </si>
  <si>
    <t>Beauftragung Kommentar-Feld für Excel-Export bei Martina</t>
  </si>
  <si>
    <t>Rückfrage/Mailing MPT Frau Pechstein</t>
  </si>
  <si>
    <t>Installation SnagIt</t>
  </si>
  <si>
    <t>Anpassung Integration des Kommentarfeldes bei ExcelExport</t>
  </si>
  <si>
    <t>Implementierung des Excel-Exports und Update/Reassignment der zugehörigen Issues</t>
  </si>
  <si>
    <t>OM mit Wenzel: Erläuterung Branch-Systematik und Übergabe Arbeitspaket Szeanrio-Feature NPACalculator</t>
  </si>
  <si>
    <t>OM: Dashboard-Integration; Aktueller Stand CostCalculator</t>
  </si>
  <si>
    <t>OM mit Sebastian: Abstimmung nächste Schritte ScenarioFeature</t>
  </si>
  <si>
    <t>Anlegen von Wikis für CostCalculator und PowerSpreadsheet auf GitHub</t>
  </si>
  <si>
    <t>Automatisierte Dashboard-Integration (Issue #10)</t>
  </si>
  <si>
    <t>Rücksprache MPT mit Frau Pechstein</t>
  </si>
  <si>
    <t>OM Michael: Nachvollziehen Bedeutung BreakUp-Id</t>
  </si>
  <si>
    <t>OM Michael: Priorisierung Arbeitspakete (insb. Report-Erstellungen August)</t>
  </si>
  <si>
    <t>Anpassungen der .psh-files für August-Produktion</t>
  </si>
  <si>
    <t>Fehler-Identifikation und Anpassung Regio Apo aufgrund neuer Gebietsstruktur</t>
  </si>
  <si>
    <t>August-Produktion Klosterfrau National</t>
  </si>
  <si>
    <t>August-Produktion Klosterfrau Regio Apo &amp; PoS</t>
  </si>
  <si>
    <t>OM Michael: Übergabe Arbeitspakete PhsCalculator und PowerSpreadsheet</t>
  </si>
  <si>
    <t>Mailing  Wenzel, Joachim und Martina</t>
  </si>
  <si>
    <t>Erstellen von Issues gemäß ChangeRequest0914 auf GitHub</t>
  </si>
  <si>
    <t>Anpassungsversuch Schriftart eMail Signatur</t>
  </si>
  <si>
    <t>Übergabe Arbeitspakete an Wenzel</t>
  </si>
  <si>
    <t>Farbanpassung: Vorbereitung und Telefonat Martina</t>
  </si>
  <si>
    <t>MasterPriceTables: Dokumentation BreakUpId und Mail an Frau Pechstein</t>
  </si>
  <si>
    <t>Fehler-Behebung und August-Produktion</t>
  </si>
  <si>
    <t>Erstellen von Issue für PhytoReports auf GitHub</t>
  </si>
  <si>
    <t>Input RowHeader PhytoReports und Übergabe Arbeitspaket an Joachim</t>
  </si>
  <si>
    <t xml:space="preserve">OM Joachim: Zeiterfassung + Wokflow-Ausrichtung mittels Branches </t>
  </si>
  <si>
    <t>OM Joachim: Verwendung von Header und Footer</t>
  </si>
  <si>
    <t>Mail Frau Pechstein Runden</t>
  </si>
  <si>
    <t>Farbanpassung: Abstimmung Anpassungen an den Entwürfen mit Martina</t>
  </si>
  <si>
    <t>Terminfindung Strategie-Meeting</t>
  </si>
  <si>
    <t>Dashboard-Integration: SetThemeSettings mittels MySpreadsheetLight</t>
  </si>
  <si>
    <t>Sichtung, Ablage und Beantowrtung Mails</t>
  </si>
  <si>
    <t>Leere Spalte OffizinAktuell und OffizinVJ für Expektoranzien in August-Produktion</t>
  </si>
  <si>
    <t>Regio Apo: Sonderwunsch Hustenbonbons August (Dr. Soldan)</t>
  </si>
  <si>
    <t>Mail mit Entwürfen zur Farbgebung an Frau Hermann</t>
  </si>
  <si>
    <t>Vorbereitung und Durchführung OM mit Frau Pechstein: BreakUpId</t>
  </si>
  <si>
    <t>Neues Dashboard Schlaf- und Beruhigungsmittel (PtrPhytoReports)</t>
  </si>
  <si>
    <t>Abstimmung Printversion Klosterfrau National Reports</t>
  </si>
  <si>
    <t>Abstimmung Printversion Klosterfrau Regio Reports</t>
  </si>
  <si>
    <t>Abstimmung Printversion NutriciaReports</t>
  </si>
  <si>
    <t>Mails Zeiterfassung Elke; Urlaub Martina</t>
  </si>
  <si>
    <t>OM Michael: Stand der Dinge; Übergabe Arbeitspaket Spezialreports Klosterfrau</t>
  </si>
  <si>
    <t>Anlegen neuer Issues (PhsCalculator) auf GitHub</t>
  </si>
  <si>
    <t>Sichtung und Beantwortung aktuelle Issues</t>
  </si>
  <si>
    <t>Neur Report PTRRegions: Übergabe an Joachim und Rückfragen an Julia</t>
  </si>
  <si>
    <t>Neuer Report RegioYTDSpezial: Dokumentation auf GitHub</t>
  </si>
  <si>
    <t>Sichtung, Ablage und Beantwortung E-Mails</t>
  </si>
  <si>
    <t>Anpassungen und Re-Run Schlaf- und Beruhigungsmittel</t>
  </si>
  <si>
    <t>OM: StatusQuo und Priorisierung Arbeitspakete</t>
  </si>
  <si>
    <t>Update MasterPriceTables</t>
  </si>
  <si>
    <t>Fertigstellung neuer Report: RegioYTDSpezial</t>
  </si>
  <si>
    <t>Erste Schritte neuer Report: RegioYTDSpezial</t>
  </si>
  <si>
    <t>OM: Berechnung Linienpreis</t>
  </si>
  <si>
    <t>OM mit Wenzel: Datenbank-Anpassungen</t>
  </si>
  <si>
    <t>Abschluss Anpassung MasterPriceTables</t>
  </si>
  <si>
    <t>Neuer Report RegioYTDSpezial: input files und .bat-Datei für alle Märkte</t>
  </si>
  <si>
    <t xml:space="preserve">(Vorbereitung, Terminierung und Durchführung) OM mit Andreas Buteweg zwecks Rückfragen zu Report-Vorlage </t>
  </si>
  <si>
    <t>Vereinfachungsvorschlag QV_Hersteller</t>
  </si>
  <si>
    <t>Sichtung Fehler PhytoReport</t>
  </si>
  <si>
    <t>Spezifikation und Issue Reportvorlage</t>
  </si>
  <si>
    <t>Update Excel-Export</t>
  </si>
  <si>
    <t>Regio Apo Spezial Reports: August-Produktion</t>
  </si>
  <si>
    <t>Regio Apo Spezial Reports: Manuelle Anpassung Hustenbonbions (Dr. Soldan)</t>
  </si>
  <si>
    <t>Sichtung, Ablage und Beantwortung E-Mails &amp; GitHub</t>
  </si>
  <si>
    <t>OM Michael: Abstimmung Arbeitspakete + Merge NpaSzenarioFeature-Branch</t>
  </si>
  <si>
    <t>Vorbereitung und Durchführung OM mit Frau Werner &amp; Herrmann: Versionierung</t>
  </si>
  <si>
    <t>OM Michael: Spezifikation &amp; Timing Arbeitspakete für CostCalculator</t>
  </si>
  <si>
    <t>Änderungswunsch ProdPack</t>
  </si>
  <si>
    <t>Check Druckvorlage für Änderungswunsch ProdPack-Report</t>
  </si>
  <si>
    <t>Terminabstimmung Andreas Buteweg</t>
  </si>
  <si>
    <t>Terminabstimmung Alexander Crone</t>
  </si>
  <si>
    <t>Erstellung und Update Issues auf GitHUb (CostCalculator)</t>
  </si>
  <si>
    <t>Anpassung Issues auf GitHub (CostCalculator)</t>
  </si>
  <si>
    <t>Abstimmung mit Andreas Buteweg und Update Report-Vorlage</t>
  </si>
  <si>
    <t>VPN-Verbindungsprobleme</t>
  </si>
  <si>
    <t>Implementierung Druckvorlage für Regio-Reports</t>
  </si>
  <si>
    <t>Update Issues auf GitHub (Klosterfrau QuickView)</t>
  </si>
  <si>
    <t>Austauschordner .psh-Files mit IMS</t>
  </si>
  <si>
    <t>Erste Schritte Implementierung Druckvorlage</t>
  </si>
  <si>
    <t>Update Issues auf GitHub (PowerSpreadsheet)</t>
  </si>
  <si>
    <t>StadaPtrRegions-Report: Vorbereitung .psh-File</t>
  </si>
  <si>
    <t>Anpassungen Druck-Version für Regio-Reports</t>
  </si>
  <si>
    <t>Makro für Druckversionen National-Reports</t>
  </si>
  <si>
    <t>Rückfragen September-Reports</t>
  </si>
  <si>
    <t>Manuelle Anpassungen und Auslieferung Regio Apo Reports</t>
  </si>
  <si>
    <t>Auflösung Merge-Konflikt (CostCalculator)</t>
  </si>
  <si>
    <t>OM, Michael: Update Status Quo Arbeitspakete</t>
  </si>
  <si>
    <t>OM, Michael: Abstimmung Arbeitspakete</t>
  </si>
  <si>
    <t>OM, Michael: Provisorische Lösung Druckversionen für National-Reports und PageBreak-Methode</t>
  </si>
  <si>
    <t>Manuelle Produktion Regio Apo Hustenbonbons Sonderwunsch (Dr. Soldan)</t>
  </si>
  <si>
    <t>Rückfragen Regions-Report</t>
  </si>
  <si>
    <t>Implementierung Druckversion für National-Reports</t>
  </si>
  <si>
    <t>Manuelle Anpassungen und Auslieferung National Reports</t>
  </si>
  <si>
    <t>Manuelle Anpassungen und Auslieferung September Reports (Ptr &amp; PtrMicro)</t>
  </si>
  <si>
    <t>Implementierung Druckversion</t>
  </si>
  <si>
    <t>Manuelle Anpassungen und Auslieferung September-Report</t>
  </si>
  <si>
    <t>Produktion und Auslieferung September Reports (ProdPack &amp; Otc4)</t>
  </si>
  <si>
    <t>Aktualisierung .psh-Files im IMS-Austauschordner</t>
  </si>
  <si>
    <t>Aufräumen der Ordner-Struktur PowerSpreadsheet</t>
  </si>
  <si>
    <t>Spalte1</t>
  </si>
  <si>
    <t>Spalte2</t>
  </si>
  <si>
    <t>Spalte3</t>
  </si>
  <si>
    <t>Spalte4</t>
  </si>
  <si>
    <t>Spalte5</t>
  </si>
  <si>
    <t>XML-Recherche Druckeinstellung Excel</t>
  </si>
  <si>
    <t>XML-Recherche ThemeSettings Excel</t>
  </si>
  <si>
    <t>Merge NpaScenarioFeature-Branch &amp; master</t>
  </si>
  <si>
    <t>Abstimmung Anforderungen QV-Reports für MDX</t>
  </si>
  <si>
    <t>30, 31</t>
  </si>
  <si>
    <t>29, 32</t>
  </si>
  <si>
    <t>Überarbeitung Zeiterfassung Thorsten</t>
  </si>
  <si>
    <t>OM, Michael: Status Quo und Übergabe neue Arbeitspakete</t>
  </si>
  <si>
    <t>GitHub Issue #</t>
  </si>
  <si>
    <t>Überarbeitung Zeiterfassung Joachim, Sebastian &amp; Wenzel</t>
  </si>
  <si>
    <t>OM, Michael: Abstimmung weitere Arbeitspakete aus ChangeRequest1014</t>
  </si>
  <si>
    <t>33, 34</t>
  </si>
  <si>
    <t>OM, Michael: Absimmung weitere Arbeitspakete aus ChangeRequest1014</t>
  </si>
  <si>
    <t>35, 36, 37</t>
  </si>
  <si>
    <t>ChangeRequest1014: Einstellung Issue auf GitHub</t>
  </si>
  <si>
    <t>ChangeRequest1014: Einstellung Issues auf GitHub</t>
  </si>
  <si>
    <t>OM, Wenzel: BugFix falsche Berechnung Zusatzinformationen (ChangeRequest1014:)</t>
  </si>
  <si>
    <t>OM, Frau Pechstein: Abstimmung Anpasungen (ChangeRequest1014)</t>
  </si>
  <si>
    <t>Telefonische Urlaubsübergabe mit Frau Pechstein</t>
  </si>
  <si>
    <t>Sichtung und Ablage E-Mails</t>
  </si>
  <si>
    <t>Anpassung Export-Template: Vorbereitung und Übergabe an Martina</t>
  </si>
  <si>
    <t>ApoSpezialReports: Implementierung Druckeinstellung + Auslieferung September-Reports</t>
  </si>
  <si>
    <t>Überblick und Priorisierung aktuelle Arbeitspakete</t>
  </si>
  <si>
    <t>Anpassung Excel-Export</t>
  </si>
  <si>
    <t>OM, Michael: Vorüberlegungen MPT-Import (gilt eigentlich Kalkulator-übergreifend)</t>
  </si>
  <si>
    <t>OM, Michael: Vorüberlegungen Versionierung (gilt eigentlich Kalkulator-übergreifen)</t>
  </si>
  <si>
    <t>OM, Michael: falsches Verhalten Lieferformate und Variablen-Auswahl</t>
  </si>
  <si>
    <t>Update Issue auf GitHub</t>
  </si>
  <si>
    <t>Erstellung Issue auf GitHub</t>
  </si>
  <si>
    <t>OM, Michael: Vorbesprechung und Vorbereitung mdx-Schulung</t>
  </si>
  <si>
    <t>MDX-Seminar</t>
  </si>
  <si>
    <t>OM, Michael: Priorisierung Arbeitspakete KW 46</t>
  </si>
  <si>
    <t>Test Änderungen und Update Issue auf GitHub</t>
  </si>
  <si>
    <t>Mail Alexander Oktober-Produktion</t>
  </si>
  <si>
    <t>Mail Julia Oktober-Produktion</t>
  </si>
  <si>
    <t>Mail Tanja Änderung Produktauswahl</t>
  </si>
  <si>
    <t>Terminvereinbarung Andreas</t>
  </si>
  <si>
    <t>Einstellung Issue auf GitHub: Update AtcPickList</t>
  </si>
  <si>
    <t>Anpassung MDX (Änderung der Produktauswahl)</t>
  </si>
  <si>
    <t>Telefonat Alexander Crone: Anpassungen an KlosterfrauNationalReport (Reimport)</t>
  </si>
  <si>
    <t>OM, Wenzel: Fehlerbehebung CalculateAdditionalPrice</t>
  </si>
  <si>
    <t>Start: Einrichtung Ordnerstruktur und .bat-file auf Server FFMWV0130</t>
  </si>
  <si>
    <t>Problemanalyse bzgl. Feinschliff QuickView-Layout und Vorbereitung OM mit Joachim</t>
  </si>
  <si>
    <t>Feinschliff QuickView-Layout: Anpassung MDX, OM Joachim (Farbgebung, IsKlosterfrau, Spalten ausblenden)</t>
  </si>
  <si>
    <t>E-Mail Tanja zwecks Anpassungen</t>
  </si>
  <si>
    <t>Fehleranalyse RepairDataDir (Mail von Sandra)</t>
  </si>
  <si>
    <t>OM, Michael: Aktueller Stand, Priorisierung Arbeitspakete und Beratschlagung akute Probleme  (PP2, QuickView)</t>
  </si>
  <si>
    <t>Telefonat Elke: Urlaubsübergabe und div. Organisatorisches (Zeiterfassung, Urlaubsantrag)</t>
  </si>
  <si>
    <t>OM, Andreas Buteweg: Zwischenabstimmung Feinschliff QuickView-Layout</t>
  </si>
  <si>
    <t>Telefonat, Julia Propp: Problem beim Öffnen des .psh-files</t>
  </si>
  <si>
    <t>Produktion, manuelle Anpassungen und Auslieferung RegioApo-Reports (Oktober)</t>
  </si>
  <si>
    <t>Manuelle Anpassungen und Auslieferung Oktober-Reports</t>
  </si>
  <si>
    <t>OM, Joachim: Feinschliff QuickView-Layout</t>
  </si>
  <si>
    <t>Telefonat, Martina: Übergabe Auftrag Dashboard-Erstellung für PtrRegions-Report</t>
  </si>
  <si>
    <t>Erstellung Oktober-Report für Julia Propp (wegen korruptem .psh-file)</t>
  </si>
  <si>
    <t>Screenshot-Anleitung zur Anmeldung auf Server</t>
  </si>
  <si>
    <t>Erstellung Issue Anpassung National-Reports</t>
  </si>
  <si>
    <t>Anpassung MDX (Änderung der Produktauswahl) und Erstellung Zwischenstand</t>
  </si>
  <si>
    <t>Nachproduktion Regio Apo Hustenbonbons (alte Konfiguration ohne Dr. Soldan)</t>
  </si>
  <si>
    <t>Mail Julia, Frage aktueller Stand .psh-Files</t>
  </si>
  <si>
    <t>Anpassung Einfärbung von KLF Marken und Spaltenköpfen</t>
  </si>
  <si>
    <t xml:space="preserve">Erstellung Oktober-Report </t>
  </si>
  <si>
    <t>Anpassungen mdx National-Reports</t>
  </si>
  <si>
    <t>Erstellung Issue für laufende Anpassungen auf GitHub</t>
  </si>
  <si>
    <t>OM, Michael: Merge PhsFeature-Branch</t>
  </si>
  <si>
    <t>OM, Michael &amp; Elke: Arbeitsauslastung Sebastian</t>
  </si>
  <si>
    <t>Fertigstellung Anpassungen National-Reports, Produktion und manuelle Anpassungen Oktober-Reports</t>
  </si>
  <si>
    <t>Anpassung IsKlosterfrau-measure für MarkenDetail, Produktion und Auslieferung aktualisierte Version (Korrektur Restmarkt + ausschließlich Brands)</t>
  </si>
  <si>
    <t>Telefonat Sebastian: Ergebnis OM mit Michael &amp; Elke zwecks Arbeitsauslastung</t>
  </si>
  <si>
    <t>Druckeinstellungen und Auslieferung aktualisierte Version</t>
  </si>
  <si>
    <t>Dokumentation manuelle Anpassungen für Indien</t>
  </si>
  <si>
    <t>Korrektur National-Berichte (zusätzliche Produkte Laxatan und Nasic-Cur)</t>
  </si>
  <si>
    <t>Fertigstellung Anpassungen Produktauswahl und Produktion + Auslieferung Oktober-Reports</t>
  </si>
  <si>
    <t>Neuproduktion, manuelle Anpassungen &amp; Auslieferung nach Korrektur Restmarkt-Berechnung</t>
  </si>
  <si>
    <t>Fehlerbehebung: doppelte Einträge in tblProductionKeyInfo (Punkt &lt;NVHF61PP Bug&gt; in todo-Liste)</t>
  </si>
  <si>
    <t>OM, Michael: Update-Systematik .exe und .psh-Files</t>
  </si>
  <si>
    <t>OM, Michael: Vorgehen zwecks Update KW 49</t>
  </si>
  <si>
    <t>OM, Michael: Fehlerbehebung doppelte Einträge in tblProductionKeyInfo</t>
  </si>
  <si>
    <t>OM, Michael &amp; Elke: Aktueller Stand und Planung Arbeitspakete + Organisatorisches</t>
  </si>
  <si>
    <t>Telefonat Sebastian: PhsRollout1214-Branch zur Koordination von Update Phs und Szenario-Feature DpmPsn</t>
  </si>
  <si>
    <t>Erstellung des PhsRollout1214-Branches</t>
  </si>
  <si>
    <t>Fehlerbehebung: kein Prodesis-Export für Bayer PHS Produktionen (Punkt 2, Mail Sandra)</t>
  </si>
  <si>
    <t>National-Reports: Erstellung Issue auf GitHub für laufende Anpassungen</t>
  </si>
  <si>
    <t>Umbenennung Expectorantien &gt;&gt; Expektorantien (Punkt 1)</t>
  </si>
  <si>
    <t>OM, Michael: Besprechung verbleibende todos für Auslieferung Update</t>
  </si>
  <si>
    <t>Mail Frau Pechstein zwecks Abstimmung Termin für Telefonat</t>
  </si>
  <si>
    <t>OM, Joachim: Konventionen und BestPractice Zeiterfassung</t>
  </si>
  <si>
    <t>Re-Produktion und manuelle Anpassungen Oktober Regio-Reports Hustenbonbons (da Cube bei erster Auslieferung fehlerhaft)</t>
  </si>
  <si>
    <t>Mail Sandra: Erläuterung Rückfragen Lösungsvorschlag (Gültigkeitsstempel für adhocProdKeyInfos)</t>
  </si>
  <si>
    <t>OM, Michael: Review Fehler Prodesis-Export PHS Produktionen Bayer und Erarbeitung Lösungsvorschlag (Gültigkeitsstempel für adhocProdKeyInfos)</t>
  </si>
  <si>
    <t>Anpassung Excel-Export und allg. Tests zweck Auslieferung Update</t>
  </si>
  <si>
    <t>Telefonat, Alexander Crone: Fehlersuche Summenabweichung Massmarket zwischen DataView und Cube</t>
  </si>
  <si>
    <t>Telefonat, Alexander Crone: Rückfragen zum Aussteuern bestimmter Brands</t>
  </si>
  <si>
    <t>OM, Michael: Hilfestellung mdx-Anpassung zwecks Aussteuern bestimmter Brands (Punkt 2)</t>
  </si>
  <si>
    <t>OM, Michael: Demonstration Problem (Änderungen verwerfen Meldung an falscher Stelle) zwecks Auslieferung</t>
  </si>
  <si>
    <t>Telefonat, Frau Pechstein: Aktueller Stand und Ergebnis weitere Tests durch ims</t>
  </si>
  <si>
    <t>Telefonat, Michael: Berichterstattung Telefonat Frau Pechstein</t>
  </si>
  <si>
    <t>Telefonat, Michael: Besprechung aktuelle todos NationalReports (Aussteuern bestimmter Brands)</t>
  </si>
  <si>
    <t>Nachvollziehen falsche Berechnung ATC-Preis und Erstellung Issue auf GitHub</t>
  </si>
  <si>
    <t>Verbesserung Usability beim Löschen zuvor definierter Aufpreise: Erstellung Issue auf Github</t>
  </si>
  <si>
    <t>Szenario-Feature: Beantwortung Rückfrage Sebastian</t>
  </si>
  <si>
    <t>OM, Wenzel: Lösung und Dokumentation Verbesserung Usability</t>
  </si>
  <si>
    <t>Mail Tanja: Beantwortung Frage Aktualität .exe auf Server</t>
  </si>
  <si>
    <t>Telefonat, Frau Pechstein: Weitere Planung Anpassungen</t>
  </si>
  <si>
    <t>OM, Sebastian: Fehlerbehebung .sql-Skripte</t>
  </si>
  <si>
    <t>Mail, Frau Herrmann: Rückfrage zum weiteren Vorgehen</t>
  </si>
  <si>
    <t>Mail, Frau Pechstein: Beantwortung Rückfrage zum Aussteuern bestimmter Segmente</t>
  </si>
  <si>
    <t>Fehleranalyse Import Adhoc-Produktionen (Study-Erkennung; ActualMonth-Mapping) -&gt; Punkt 3, Mail Sandra</t>
  </si>
  <si>
    <t>Abstimmung (Telefonat Andreas) und Anpassung Druckeinstellungen</t>
  </si>
  <si>
    <t>Neuproduktion, manuelle Anpassungen &amp; Auslieferung nach Anpassung Druckeinstellungen</t>
  </si>
  <si>
    <t>OM, Michael &amp; Elke: Aktueller Stand Arbeitspakete</t>
  </si>
  <si>
    <t>OM, Sebastian: Problemanalyse und Lösungsvorschlag Anpassung Datenbank-Design zwecks Szenario-Feature</t>
  </si>
  <si>
    <t>OM, Michael: Problemanalyse und Lösungsvorschlag Anpassung Datenbank-Design zwecks Szenario-Feature</t>
  </si>
  <si>
    <t>OM, Sebastian: Breefing Lösungsansatz Anpassung Datenbank-Design zwecks Szenario-Feature</t>
  </si>
  <si>
    <t>Update Cube, Neuproduktion, manuelle Anpassungen und Auslieferung Oktober-Report</t>
  </si>
  <si>
    <t>Dokumentation Lösungsansatz Anpassung Datenbank-Design zwecks Szenario-Feature auf GitHub</t>
  </si>
  <si>
    <t>OM, Wenzel: Code-Review Lösung/Korrektur ATC-Preis-Berechnung</t>
  </si>
  <si>
    <t>Mail, Sandra: Beantwortung Rückfragen Punkt 3</t>
  </si>
  <si>
    <t>Erweiterung Issue auf Github: Usability-Verbesserung auch für TextBoxen in Punkte-Matrix</t>
  </si>
  <si>
    <t>Mail, Michael: Lösungsvorschlag Korrektur Study Detection</t>
  </si>
  <si>
    <t>#22 (Punkt 2)</t>
  </si>
  <si>
    <t>Ausschluss Marken Dobendan und Nurofen</t>
  </si>
  <si>
    <t>Telefonat, Michael: Anpassung Branch-Struktur</t>
  </si>
  <si>
    <t>Manuelle Anpassungen und Auslieferung Novemver-Reports Klosterfrau National</t>
  </si>
  <si>
    <t>Manuelle Anpassungen und Auslieferung November-Report</t>
  </si>
  <si>
    <t>Beantwortung Rückfrage Andreas</t>
  </si>
  <si>
    <t>Telefonat Sebastian und Re-Strukturierung Branches zwecks Szenario-Feature DpmPsn</t>
  </si>
  <si>
    <t>Integration des Attributes Dr. Soldan Hubo bei Klosterfrau Regio Reports</t>
  </si>
  <si>
    <t>Manuelle Anpassungen und Auslieferung November-Reports Klosterfrau Regio</t>
  </si>
  <si>
    <t>Korrektur Integration Rheila</t>
  </si>
  <si>
    <t>Beantwortung Rückfragen Umesh</t>
  </si>
  <si>
    <t>1. Weihnachtsfeiertag</t>
  </si>
  <si>
    <t>2. Weihnachtsfeiertag</t>
  </si>
  <si>
    <t>TAUKFNAT</t>
  </si>
  <si>
    <t>Klosterfrau National</t>
  </si>
  <si>
    <t>TAUKFREG</t>
  </si>
  <si>
    <t>Klosterfrau Regio</t>
  </si>
  <si>
    <t>TAUKFSSASEXP</t>
  </si>
  <si>
    <t>Klosterfrau SSAS Export</t>
  </si>
  <si>
    <t>TAUBDF</t>
  </si>
  <si>
    <t>Beiersdorf reports</t>
  </si>
  <si>
    <t>OM, Michael: Abstimmung Wochenplanung KW2 und aktuelle toDos</t>
  </si>
  <si>
    <t>OM, Michael: Problemanalyse Fremdschlüssel DataLevelId und Doku Lösungsvorschlag auf GitHub</t>
  </si>
  <si>
    <t>Sichtung und Ablage E-Mails; Überblick Status Arbeitspakete für KickOff-Telefonate</t>
  </si>
  <si>
    <t>Analyse Branch-Struktur und Vorschlag zur Reparatur</t>
  </si>
  <si>
    <t>40, 43</t>
  </si>
  <si>
    <t xml:space="preserve">OM, Michael: KickOff 2015; Agenda </t>
  </si>
  <si>
    <t>OM, Michael: KickOff 2015; Workflow-Optimierung</t>
  </si>
  <si>
    <t>OM, Michael: KickOff 2015; Reparatur Branch-Struktur (für ScenarioFeature &amp; Versionierung)</t>
  </si>
  <si>
    <t>OM, Michael: KickOff 2015; Tests Szenario-Feature</t>
  </si>
  <si>
    <t>OM, Michael: KickOff 2015; Ausblick Import-Schnittstelle (CostCalculator allgemein)</t>
  </si>
  <si>
    <t>45, 46</t>
  </si>
  <si>
    <t>Erstellung Issues auf GitHub (Datenbankanpassungen)</t>
  </si>
  <si>
    <t>OM, Wenzel: Übergabe Arbeitspakete</t>
  </si>
  <si>
    <t>Versionierung; Update Issue auf GitHub</t>
  </si>
  <si>
    <t>OM, Michael: KickOff 2015; Update- und Produktionsprozess (anlässlich Probleme bei Indien-Produktion)</t>
  </si>
  <si>
    <t>OM, Michael: KickOff 2015; Ausblick Batch-Funktionalität</t>
  </si>
  <si>
    <t>OM, Michael: KickOff 2015; Ausblick Dashboard-Integration</t>
  </si>
  <si>
    <t>OM, Michael: KickOff 2015; Ausblick Neue Reports</t>
  </si>
  <si>
    <t>OM, Michael: KickOff 2015; Review letzte Issues 2014 und Lösungsvorschlag</t>
  </si>
  <si>
    <t>Tests, Szenario-Feature</t>
  </si>
  <si>
    <t>Anpassung Excel-Listen Zeiterfassung</t>
  </si>
  <si>
    <t>Produktion, manuelle Anpassungen und Auslieferung PtrRegionsReport Nov'14 (inkl. neuem Dashboard)</t>
  </si>
  <si>
    <t>Anpassung und Test Excel-Export sowie Update #40 auf GitHub</t>
  </si>
  <si>
    <t>OM, Michael: Tests, Scenario-Feature</t>
  </si>
  <si>
    <t>Anpassung und Test Excel-Export</t>
  </si>
  <si>
    <t>Überarbeitung Protokoll KickOff-Telefonate</t>
  </si>
  <si>
    <t>TelKo, Frau Pechstein: Auslieferung Scenario-Feature</t>
  </si>
  <si>
    <t>Produktion, manuelle Anpassungen und Auslieferung QuickView-Report für Nov'14</t>
  </si>
  <si>
    <t>Mindestpreis, TM Lizenzen: Erstellung Issue auf GitHub</t>
  </si>
  <si>
    <t>Entwurf Doku für Versionierung</t>
  </si>
  <si>
    <t>Sichtung und Ablage E-Mails; Überblick Arbeitspakete</t>
  </si>
  <si>
    <t>Terminabstimmung Frau Herrmann</t>
  </si>
  <si>
    <t>Diskussion: Struktur Datenbank/MPTs für Import</t>
  </si>
  <si>
    <t>Revision Anpassungsbedarf der Kalkulatoren aufgrund von Differenzen zwischen Datenbank und MPTs</t>
  </si>
  <si>
    <t>Marken-Anpassung (Ausschluss Dobendan, Nurofen und Gaviscon) und Abstimmung mit Andreas Buteweg</t>
  </si>
  <si>
    <t>Aktualisierung Issues auf GitHub</t>
  </si>
  <si>
    <t>15, 18, 20</t>
  </si>
  <si>
    <t>OM, Michael: Definition Vorgehen bzgl. Struktur Datenbank/MPTs für Import</t>
  </si>
  <si>
    <t>OM, Michael: Abstimmung Vorschlag für Navigation (Pfeiltasten) an Frau Herrmann</t>
  </si>
  <si>
    <t>OM, Michael: Abstimmung Vorschlag für Lebensdauer adhoc-ProductionKey-Infos an Sandra</t>
  </si>
  <si>
    <t>OM, Michael: Ausblick zukünftige Projekte</t>
  </si>
  <si>
    <t>Produktion, manuelle Anpassungen und Auslieferung Reports Dez 2014</t>
  </si>
  <si>
    <t>Telefonat Frau Herrmann: Abstimmung Navigation und Listpreis</t>
  </si>
  <si>
    <t>Produktion, manuelle Anpassungen und Auslieferung Report Dez 2014</t>
  </si>
  <si>
    <t>Telko Sandra und Abstimmung mit Michael: Lösung Lebensdauer adhoc-ProdKey-Infos</t>
  </si>
  <si>
    <t>20, 21</t>
  </si>
  <si>
    <t>Update (#20: Lebensdauer) und Erstellung (#21: Anpassung vwReadyForProdesisProductions) Issues auf Github</t>
  </si>
  <si>
    <t>Erstellung Issue auf GitHub: Erweiterung manueller Prodesis-Export</t>
  </si>
  <si>
    <t>Erstellung Issue auf GitHub: KonsistenzCheck beim Zuordnen von adhoc-Produktionen</t>
  </si>
  <si>
    <t>Erstellung Issue auf GitHub: Fehlerhafte Study-Erkennung CMR</t>
  </si>
  <si>
    <t>Analyse zur Reparatur bzw. re-Integration nicht gepushter lokaler Änderungen (Problem beim Push wegen Testdaten &gt; 100MB)</t>
  </si>
  <si>
    <t>Produktion, manuelle Anpassungen und Auslieferung Regio Apo Reports Dez 2014</t>
  </si>
  <si>
    <t>cognovo Strategie-Meeting</t>
  </si>
  <si>
    <t>Produktion, manuelle Anpassungen und Auslieferung Regio Apo SPEZIAL Reports Dez 2014</t>
  </si>
  <si>
    <t>Anpassung Markenauswahl (Acne &amp; ThermalWater), Produktion und Auslieferung des Dirstributionsreport für Dez 2014</t>
  </si>
  <si>
    <t>Produktion und Auslieferung der Reports Dez 2014 für Micro LRP &amp; Vichy</t>
  </si>
  <si>
    <t>Abstimmung TimeLine zwecks Dez 2014 Produktion mit Julia Propp</t>
  </si>
  <si>
    <t>Fix Study-Erkennung CMR</t>
  </si>
  <si>
    <t>Reparatur bzw. manuelle Re-Integration nicht gepushter Commits (insb. CreateCubes2) wegen zu großer Testdaten</t>
  </si>
  <si>
    <t>Produktion, manuelle Anpassungen und Auslieferung Reports (Ptr, PtrMicro und PtrRegions) Dez 2014</t>
  </si>
  <si>
    <t>Produktion und Auslieferung Reports Dez 2014</t>
  </si>
  <si>
    <t>Produktion und Auslieferung Report Dez 2014</t>
  </si>
  <si>
    <t>Mail an Frau Pechstein zwecks Rückfrage zur Anpassung der Durchschnittspreisberechnung</t>
  </si>
  <si>
    <t>Erstellung Issue auf GitHub: Anpassung Durchschnittspreis</t>
  </si>
  <si>
    <t>Erstellung Issue auf GitHub: Navigation per Pfeiltasten</t>
  </si>
  <si>
    <t>SystemTest: Kleinere Anpassungen und Durchlauf zum Test der Reintegration von CreateCubes2</t>
  </si>
  <si>
    <t>Erstellung Issue auf GitHub: Umstrukturierung .sql-Files</t>
  </si>
  <si>
    <t>Bereitstellung eines Datenbank-Backup-Files aufgrund Fehler bei Build-Automatisierung</t>
  </si>
  <si>
    <t>OM, Michael: Aktueller Stand und Priorisierung Arbeitspakete</t>
  </si>
  <si>
    <t>OM, Elke: Anpassung Monatsabrechnung aufgrund Änderung der Steuerklasse</t>
  </si>
  <si>
    <t>Anpassung der Build-Automatisierung aufgrund der geänderten sql-File-Struktur</t>
  </si>
  <si>
    <t>Support Wenzel</t>
  </si>
  <si>
    <t>Fix Build-Automatisierung</t>
  </si>
  <si>
    <t>Erstellung Issue auf GitHub und erste Analyse: Fehlermeldung CopyNewFromProduction</t>
  </si>
  <si>
    <t>Erstellung Issue auf GitHub: automatisches Setzen von ReadyForProd</t>
  </si>
  <si>
    <t>Entfernung Listpreis aus Excel-Export und Update Issue</t>
  </si>
  <si>
    <t>Check Build-Problematik (fehlende Parametrisierung) und Diskussion fachlicher Schlüssel für Tabelle DPMPSN_DatabaseType</t>
  </si>
  <si>
    <t>Update Issue für Wenzel</t>
  </si>
  <si>
    <t>Setup, Einarbeitung, erste Tests und Anpassungen Dashboard-Integration</t>
  </si>
  <si>
    <t>Rücksprache Frau Pechstein und Michael sowie Erstellung Issue auf GitHub zwecks Update AtcPickList</t>
  </si>
  <si>
    <t>Setup der Infrastruktur zur Dashboard-Integration für Stada-Reports</t>
  </si>
  <si>
    <t>zu klären</t>
  </si>
  <si>
    <t>CALC</t>
  </si>
  <si>
    <t>Calculator übergreifend</t>
  </si>
  <si>
    <t>4300058330</t>
  </si>
  <si>
    <t>4300058328</t>
  </si>
  <si>
    <t>STP</t>
  </si>
  <si>
    <t>Subterritory Planner</t>
  </si>
  <si>
    <t>TAUSA</t>
  </si>
  <si>
    <t>Sales Analyzer</t>
  </si>
  <si>
    <t>OM, Michael: Scrum-Konzept</t>
  </si>
  <si>
    <t>Mail Frau Pechstein und Versuch Zugrff auf Server ssql010</t>
  </si>
  <si>
    <t>Korrektur reportTemplates.xlsx und check Drucktitel-Problem</t>
  </si>
  <si>
    <t>Erstellung Issue + Umsetzung Aktualisierung Kundenliste</t>
  </si>
  <si>
    <t>Reparatur alterTables.sql.temlate</t>
  </si>
  <si>
    <t>Check Produkt-Dimension für Julia (Anruf)</t>
  </si>
  <si>
    <t>OM, Michael: Analyse Problem Druckeinstellungen</t>
  </si>
  <si>
    <t>OM, Michael: Analyse und Aufwandsschätzung Anpassungen Trinknahrung</t>
  </si>
  <si>
    <t>OM, Michael: aktueller Stand</t>
  </si>
  <si>
    <t>Mail an Frau Pechstein bzgl. Update</t>
  </si>
  <si>
    <t>Analyse Fehlermeldung CopyNewFromProduction</t>
  </si>
  <si>
    <t>OM, Michael: Sprint-Planung Februar und Aktualisierung Branch-Struktur</t>
  </si>
  <si>
    <t>OM, Michael: Sprint-Planung Februar</t>
  </si>
  <si>
    <t>OM, Michael: neues Repository Infrastruktur</t>
  </si>
  <si>
    <t>Tests Dashboard-Integration nach Anpassung der Cache-Logik</t>
  </si>
  <si>
    <t>OM, Michael: Stand-Up-Meeting (Tagesplanung)</t>
  </si>
  <si>
    <t>Mail an Frau Pechstein/Herrmann bzgl. Terminierung nächstes Update</t>
  </si>
  <si>
    <t>Erstellung Issue und Start Anpassungen Trinknahrung</t>
  </si>
  <si>
    <t>Fertigstellung Anpassungen Trinknahrung, Neuproduktion und Auslieferung</t>
  </si>
  <si>
    <t>Analyse Fehlermeldung CopyNewFromProduction, Bug-Fix und Dokumentation Problem/Lösung</t>
  </si>
  <si>
    <t>Info-Meeting mit Michael, Elke, Sebastian und Wenzel: Scrum, Branches etc.</t>
  </si>
  <si>
    <t>alterInitData.sql.template für Versionierung</t>
  </si>
  <si>
    <t>Übergabe Anpassungen Navigation an Sebastian</t>
  </si>
  <si>
    <t>Start Anpassung System-Tests aufgrund der Änderungen</t>
  </si>
  <si>
    <t>Start Doku Navigation per Tastatur</t>
  </si>
  <si>
    <t>Fertigstellung Doku Navigation per Tastatur</t>
  </si>
  <si>
    <t>Antwort Sebastian</t>
  </si>
  <si>
    <t>Anpassung PrimaryKey</t>
  </si>
  <si>
    <t>Sichtung, Ablage und Beantwortung Mails</t>
  </si>
  <si>
    <t>Planung Arbeitspakete für 12.02.2015 (Zugfahrt)</t>
  </si>
  <si>
    <t>Check Archive/Deploy Database</t>
  </si>
  <si>
    <t>Anpassung der System-Tests aufgrund der neuen Prodesis-Logik</t>
  </si>
  <si>
    <t>Lauf aller SystemTests</t>
  </si>
  <si>
    <t>Setup der Infrastruktur zur Dashboard-Integration für KLF National reports</t>
  </si>
  <si>
    <t>Setup der Infrastruktur zur Dashboard-Integration für KLF Regio und QuickView reports</t>
  </si>
  <si>
    <t>OM, Michael: Vorgehen zur Logik und Anpassung des SystemTests TestExcludeFromFtpFileTransfer</t>
  </si>
  <si>
    <t>Nachstellung doppelte Einträge in tblAdhocProductionKeyInfo</t>
  </si>
  <si>
    <t>Start Anpassung der .psh-files zwecks Austausch root-Element und Erweiterung um Attribut version</t>
  </si>
  <si>
    <t>Anpassung der .psh-files zwecks Austusch root-Element und Erweiterung um Attribut version</t>
  </si>
  <si>
    <t>Setup der Infrastruktur zur Dashboard-Integration für Nutricia reports</t>
  </si>
  <si>
    <t>Umwandlung aller .bat-files in neue .psb-files</t>
  </si>
  <si>
    <t>OM, Michael: Besprechung Arbeitspakete für 16.02.</t>
  </si>
  <si>
    <t>Umbenennung .psh-, .psb- und .xlsx-files zwecks Versionierung per Datumsstempel</t>
  </si>
  <si>
    <t>Erweiterung der .psb-files um versions-Attribut</t>
  </si>
  <si>
    <t>Erstellung der ProductionMap.xlsx</t>
  </si>
  <si>
    <t>Aktualisierung der psh-files im Austauschordner + Start Stichprobentest auf Produktionsumgebung (ffmwv0130)</t>
  </si>
  <si>
    <t>Backup der imsPP2Test-DB zwecks Performance-Tests</t>
  </si>
  <si>
    <t>Wiki-Doku: Git-Branching</t>
  </si>
  <si>
    <t>OM, Michael: Fehler- und Lösungssuche Key-Deployment OfficeWriter</t>
  </si>
  <si>
    <t>OM, Michael: Priorisierung Arbeitspakete 17.02.</t>
  </si>
  <si>
    <t>Installation License-Manager auf Server</t>
  </si>
  <si>
    <t>19, 21</t>
  </si>
  <si>
    <t>Übergabe Issues an Joachim</t>
  </si>
  <si>
    <t>OM, Joachim: Erläuterung Labels auf GitHub</t>
  </si>
  <si>
    <t>Durchführung Stichprobentest</t>
  </si>
  <si>
    <t>Anpassung Produktauswahl Stada-Reports</t>
  </si>
  <si>
    <t>Restore Produktiv-DB und Performance-Test ProdKey-Suche</t>
  </si>
  <si>
    <t>OM, Joachim: Installation OfficeWriter</t>
  </si>
  <si>
    <t>OM, Michael: PullRequests</t>
  </si>
  <si>
    <t>Relative Pfade in allen .psb-files</t>
  </si>
  <si>
    <t>Produktion Januar-Reports auf Server</t>
  </si>
  <si>
    <t>Manuelle Anpassungen und Auslieferung Januar-Reports</t>
  </si>
  <si>
    <t>Integration Übersichtsseite in ProductionMap</t>
  </si>
  <si>
    <t>Produktion und Auslieferung Januar-Report</t>
  </si>
  <si>
    <t>Performance-Test ProdKey-Suche + Fix TestDB (korrupte tblLog)</t>
  </si>
  <si>
    <t>OM, Michael: Besprechung und Update Issues Infrastruktur</t>
  </si>
  <si>
    <t>Installation VS2013</t>
  </si>
  <si>
    <t>Anpassung .psh-files und mdxe aufgrund geänderter Gebietsstruktur</t>
  </si>
  <si>
    <t>Produktion und Auslieferung Ptr Januar-Reports</t>
  </si>
  <si>
    <t>Übergabe Anpassungen ProductionMap an Martina</t>
  </si>
  <si>
    <t>OM, Michael: Anpassungen ProductionMap</t>
  </si>
  <si>
    <t>OM, Michael: Sprint-Planung März</t>
  </si>
  <si>
    <t>OM, Michael: Einrichtung Server 0162</t>
  </si>
  <si>
    <t>Fix Cache Druckeinstellungen + Tests</t>
  </si>
  <si>
    <t>OM, Michael: PullRequests auf einem Branch!?</t>
  </si>
  <si>
    <t>SharePoint mit Martina: Erstellung Issue</t>
  </si>
  <si>
    <t>TelKo mit Frau Herrmann</t>
  </si>
  <si>
    <t>Nachbesprechung TelKo Frau Herrmann mit Michael und Erstellung Issue</t>
  </si>
  <si>
    <t>Update Übersicht und Datenstand ProductionMap</t>
  </si>
  <si>
    <t>Tests auf Server 0162</t>
  </si>
  <si>
    <t>Telefonat Alexander Crone und Update Issue aufgrund Cube-Fehler</t>
  </si>
  <si>
    <t>Beantwortung Rückfragen Jenny Müller und Produktion PtrRegions-Report</t>
  </si>
  <si>
    <t>Test Lösung Joachim</t>
  </si>
  <si>
    <t>Test Lösung Joachim und Behebung Autofit-Probleme</t>
  </si>
  <si>
    <t>Refactoring formatBody(): Erstellung Issue auf GitHub</t>
  </si>
  <si>
    <t>Update Wiki-Eintrag: Scrum-Statistik</t>
  </si>
  <si>
    <t>OM, Wenzel zwecks Umsetzung (inkl. Erläuterung Feature-Branch &amp; Pull-Request)</t>
  </si>
  <si>
    <t>Erstellung Wiki-Eintrag: Workflow für Entwickler</t>
  </si>
  <si>
    <t>Anpassung Excel-Export aufgrund von Umbenennung der Preiskomponenten</t>
  </si>
  <si>
    <t>Mail Alexander und Start Neu-Produktion KLF National-Reports</t>
  </si>
  <si>
    <t>Mail Julia, Vorgehen Korrektur Biomedica</t>
  </si>
  <si>
    <t>Mail Julia, Vorgehen Korrektur StadaPtr (Spalt)</t>
  </si>
  <si>
    <t>Mail Julia, Excel auf Server FFMWV0130</t>
  </si>
  <si>
    <t>Problemsuche und -Behebung Formatierung Lager Berichte; Auslieferung korrigierter Report</t>
  </si>
  <si>
    <t>Erstellung Issue auf GitHub: englische Measure-Names</t>
  </si>
  <si>
    <t>Anpassung Spalt und Auslieferung korrigierter Report</t>
  </si>
  <si>
    <t>Manuelle Anpassungen und Auslieferung neu erstellte Reports</t>
  </si>
  <si>
    <t>Mail Michael</t>
  </si>
  <si>
    <t>Mail Frau Herrmann</t>
  </si>
  <si>
    <t>Lösung VPN-Verbindungsprobleme ims-Netz</t>
  </si>
  <si>
    <t>Update/Publish auf Version 1.0.0.96</t>
  </si>
  <si>
    <t>Neuproduktion, manuelle Anpassungen und Auslieferung Januar-Report</t>
  </si>
  <si>
    <t>45, 46, 47, 48, 49, 50, 51</t>
  </si>
  <si>
    <t>Erstellung Issues auf GitHub</t>
  </si>
  <si>
    <t>Erstellung Issue auf GitHub: Neue Reihenfolge für Preiskomponenten</t>
  </si>
  <si>
    <t>Erstellung Issue auf GitHub: Nullwerte in Matrix ausblenden</t>
  </si>
  <si>
    <t>Erstellung Issue auf GitHub: Anpassung Excel-Export</t>
  </si>
  <si>
    <t>Erstellung Issue auf GitHub: Aufwandsschätzung neue Varianten</t>
  </si>
  <si>
    <t>Umbenennung Kalkulator in Phs Rx Kalkulator</t>
  </si>
  <si>
    <t>OM, Michael: Installation und Konfiguration VS2013-Komponenten</t>
  </si>
  <si>
    <t xml:space="preserve">Spracheinstellungen auf Produktionsserver FFMWV0130 </t>
  </si>
  <si>
    <t>OM, Michael: Anpassung Sprint-Planung März aufgrund neuer Issues</t>
  </si>
  <si>
    <t>Update Issue für Sebastian</t>
  </si>
  <si>
    <t>67, 71</t>
  </si>
  <si>
    <t>Merge und Clean-Up Pull-Request</t>
  </si>
  <si>
    <t>Mail mit Lösung an Julia</t>
  </si>
  <si>
    <t>Terminvereinbarung für OM mit Julia</t>
  </si>
  <si>
    <t>Anfrage Alexander wegen angeblich fehlender Linien für Fortimel =&gt; hat sich erledigt</t>
  </si>
  <si>
    <t>Mails an Julia und Start Monatsproduktion PtrMicro-Reports (inkl. Feststellung, dass Cubes noch nicht aktuell)</t>
  </si>
  <si>
    <t>Übergabe Anpassung Excel-Template an Martina</t>
  </si>
  <si>
    <t>OM, Michael: Aufwandsschätzung und Vorüberlegung Umsetzung Kalkulator-Varianten</t>
  </si>
  <si>
    <t>Telefonat, Sebastian: Hintergrund Separater Branch und Pull-Request</t>
  </si>
  <si>
    <t>Test Ausblenden 0en und Update Issue</t>
  </si>
  <si>
    <t>Anpassung Wiki-Eintrag: Workflow für Entwickler</t>
  </si>
  <si>
    <t>66, 68</t>
  </si>
  <si>
    <t>Kommentar zu todos Wenzel und Sebastian sowie Erstellung PullRequest #74</t>
  </si>
  <si>
    <t>Auflösung Missverständnis bzgl. Micro-Reports, Fehlersuche Cube2278, Anpassung .psh-files und mdxe für VITA-Reports aufgrund neuer Gebietsstruktur, Neuproduktion Januar-Berichte und Mail an Julia Propp</t>
  </si>
  <si>
    <t>68, 74</t>
  </si>
  <si>
    <t>Merge und Clean-Up Pull-Request HideZerosInMatrix</t>
  </si>
  <si>
    <t>Vorbereitung, Durchführung und Nachbereitung (inkl. Mail an Roland) des OM mit Julia Propp</t>
  </si>
  <si>
    <t>Orga OM mit Julia Propp</t>
  </si>
  <si>
    <t>OM, Michael: Ideen zur Anregung eines Workshops: strategische Ausrichtung PSW7</t>
  </si>
  <si>
    <t>Erstellung Issue und Mail Alexander Crone</t>
  </si>
  <si>
    <t>69, 75</t>
  </si>
  <si>
    <t>Merge und Clean-Up AnpassungExcelExport</t>
  </si>
  <si>
    <t>Anlage develop-Branch in allen Projekten</t>
  </si>
  <si>
    <t>Start Produktion QuickView-Report</t>
  </si>
  <si>
    <t>OM, Michael: Git-Workflow</t>
  </si>
  <si>
    <t>OM, Michael: Fix Druckeinstellungen per Template (resetPrintTitleSettings)</t>
  </si>
  <si>
    <t>OM, Alle: Git-Workflow für Entwickler</t>
  </si>
  <si>
    <t>Erstellung Issue für Joachim</t>
  </si>
  <si>
    <t xml:space="preserve">Antwort Sebastian und Entfernung problematischer Files aus Repository </t>
  </si>
  <si>
    <t>TeamSpeak: Erstellung Issue auf GitHub</t>
  </si>
  <si>
    <t>Ersetzen von YTD01 und YTD02: Erstellung Issue auf GitHub</t>
  </si>
  <si>
    <t>Erweiterung Wiki-Einträge zum Git-Workflow</t>
  </si>
  <si>
    <t>Überprüfung Abweichung MAT12/14 per mdx und Erstellung Issue</t>
  </si>
  <si>
    <t>OM, Michael und Elke: Formulierung Mail an Roland</t>
  </si>
  <si>
    <t>Produktion, manuelle Anpassungen und Auslieferung QuickView-Report für Dez'14</t>
  </si>
  <si>
    <t>Installation und Test TeamSpeak</t>
  </si>
  <si>
    <t>Vorbesprechung TelKo mit FrauHerrmann: Zeitliche Planung der PHS-Varianten</t>
  </si>
  <si>
    <t>Nachbesprechung TelKo Frau Herrmann mit Michael und Ableitung todos</t>
  </si>
  <si>
    <t>Neue Kalkulatoren PHS POS und RPM: Erstellung Issue auf GitHub</t>
  </si>
  <si>
    <t>Telefonat, Michael: Priorisierung Arbeitspakete für 17.03.</t>
  </si>
  <si>
    <t>Rohlinge für 4 Kalkulatoren: Erstellung Issue auf GitHub</t>
  </si>
  <si>
    <t>Excel-Templates für neue Kalkulatoren: Erstellung Issue auf GitHub</t>
  </si>
  <si>
    <t>Fußzeile mit Versions-Nummer: Erstellung Issue auf GitHub</t>
  </si>
  <si>
    <t>Dialog Konfiguration Laden: Erstellung Issue auf GitHub</t>
  </si>
  <si>
    <t>Erweiterung tblCalculation: Erstellung Issue auf GitHub</t>
  </si>
  <si>
    <t>Sichtung und Ablage E-Mails, Update und Close diverse Issues</t>
  </si>
  <si>
    <t>Monatsproduktion 01/15 QuickView: Erstellung Issue auf GitHub</t>
  </si>
  <si>
    <t>Analyse Löschprozess (Backdata und SA/SMP)</t>
  </si>
  <si>
    <t>OM, Michael: Preisversionierung und Erstellung Issue auf GitHub</t>
  </si>
  <si>
    <t>Support Sebastian</t>
  </si>
  <si>
    <t>46, (47)</t>
  </si>
  <si>
    <t>Anpassung Brandauswahl Regions-Report</t>
  </si>
  <si>
    <t>Mail Alexander, Abstimmung Fortimel</t>
  </si>
  <si>
    <t>Ableitung nötige Anpassungen und Start Umsetzung: automatische Löschfunktion(en) des pp2Service</t>
  </si>
  <si>
    <t>OM, Michael: Merge develop =&gt; master nach Änderungen an .psh-files</t>
  </si>
  <si>
    <t>Vorbereitung und Durchführung OM, Martina: Übergabe neue Templates (DIA, DOC &amp; ISSOR)</t>
  </si>
  <si>
    <t>OM, Martina: Übergabe Fußzeile in Excel-Templates zwecks Versionierung</t>
  </si>
  <si>
    <t>OM, Michael &amp; Elke: Terminplanung Vor-Ort-Workshop</t>
  </si>
  <si>
    <t xml:space="preserve">Mail an Alexander + Kommentar Issue </t>
  </si>
  <si>
    <t>79, 82</t>
  </si>
  <si>
    <t>Freigabe Issues für Sebastian</t>
  </si>
  <si>
    <t>Telefonat, Michael: Manuelle Anpassungen für Auslieferung QuickView</t>
  </si>
  <si>
    <t>Sichtung und Ablage Mails</t>
  </si>
  <si>
    <t>Telefonat, Michael: aktueller Stand Arbeitspakete und Priorisierung für 21.03.</t>
  </si>
  <si>
    <t>Mail an Julia bzgl. Batch-Lauf der Februar-Reports auf ffmw0130</t>
  </si>
  <si>
    <t>Fortsetzung Arbeiten an Löschfunktion(en) pp2Service</t>
  </si>
  <si>
    <t>Abstimmung Vorgehen mit Sebastian</t>
  </si>
  <si>
    <t>Implementierung der CleanUpLog()-Methoden</t>
  </si>
  <si>
    <t>Telefonat, Michael: Priorisierung Arbeitspakete für laufende Woche</t>
  </si>
  <si>
    <t>94, 95</t>
  </si>
  <si>
    <t>Anpassungen neue Kalkulatoren PHS_DOC &amp; PHS_DIA: Erstellung Issues auf GitHub</t>
  </si>
  <si>
    <t>61, 49</t>
  </si>
  <si>
    <t>Mail an Alexander: Terminierung Rückfragen Fortimel</t>
  </si>
  <si>
    <t>Kommentare @Wenzel</t>
  </si>
  <si>
    <t>Anmeldung und Test HipChat</t>
  </si>
  <si>
    <t>Produktion, manuelle Anpassungen und Auslieferung 02/15-Reports</t>
  </si>
  <si>
    <t>Produktion und Auslieferung 02/15-Reports</t>
  </si>
  <si>
    <t>Anpassungen CleanUpLog()</t>
  </si>
  <si>
    <t>OM, Michael: Vorbesprechung Termin mit Frau Pechstein =&gt; neue Erkenntnise aus UAT</t>
  </si>
  <si>
    <t>TelKo mit Frau Pechstein</t>
  </si>
  <si>
    <t>OM, Michael: Nachbesprechung TelKo mit Frau Pechstein =&gt; Ableitung Issues</t>
  </si>
  <si>
    <t>97, 98, 99, 100</t>
  </si>
  <si>
    <t>Telefonat mit Alexander Crone: Neue Cube-Strukur Fortimel</t>
  </si>
  <si>
    <t>OM, Michael: Sprint-Planung 04/15</t>
  </si>
  <si>
    <t>OM, Michael: Vorgehen für Anpassungen Nutricia und Aufwandsschätzung wegen neuer Fortimel-Attribute</t>
  </si>
  <si>
    <t>SystemTests für CleanUpLog-Methoden</t>
  </si>
  <si>
    <t>Bereitstellung Excel-Template für PHS DIA und Update Issue für Wenzel</t>
  </si>
  <si>
    <t>Vorbereitung und Durchführung OM, Wenzel: Anpassung Excel-Export für PHS DOC + Fertigstellung Anpassungen</t>
  </si>
  <si>
    <t>MDX-Anpassungen aufgrund geänderter Cube-Struktur</t>
  </si>
  <si>
    <t>Produktion 02/15-Berichte für TN_Erwachsene</t>
  </si>
  <si>
    <t>OTC Offtake Calculator</t>
  </si>
  <si>
    <t>CALCPHSDOC</t>
  </si>
  <si>
    <t>PHS DocSplit Calculator</t>
  </si>
  <si>
    <t>CALCPHSDIA</t>
  </si>
  <si>
    <t>PHS Diagnostics Calculator</t>
  </si>
  <si>
    <t>CALCPHSMED</t>
  </si>
  <si>
    <t>PHS Medical Calculator</t>
  </si>
  <si>
    <t>CALCPHSPOS</t>
  </si>
  <si>
    <t>PHS POS Calculator</t>
  </si>
  <si>
    <t>CALCRPM</t>
  </si>
  <si>
    <t>RPM Calculator</t>
  </si>
  <si>
    <t>OM, Michael: Urlaubs-Update; Priorisierung Arbeitspakete</t>
  </si>
  <si>
    <t>Vorbereitung Workshop: Erstellung Issue auf GitHub</t>
  </si>
  <si>
    <t>Anpassung VL-Struktur für Micro-Reports (Vichy und LRP)</t>
  </si>
  <si>
    <t>Anpassung des ISSOR-Rohlings: Erstellung Issue auf GitHub</t>
  </si>
  <si>
    <t>103, 105</t>
  </si>
  <si>
    <t>OM, Wenzel: Merge Pull-Request mit Konflikten</t>
  </si>
  <si>
    <t>Mail Frau Herrmann: Rückfrage zu Masterfiles</t>
  </si>
  <si>
    <t>Mail Tanja</t>
  </si>
  <si>
    <t>Fertigstellung Löschfunktionalität</t>
  </si>
  <si>
    <t>OM, Michael: Definition Anpassungen Löschfunktionalität</t>
  </si>
  <si>
    <t>Analyse Problemstellen Löschfunktionalität</t>
  </si>
  <si>
    <t>Start Präsentation: Anwenderschulung</t>
  </si>
  <si>
    <t>30, 42</t>
  </si>
  <si>
    <t>Refactoring Code Löschfunktionalität</t>
  </si>
  <si>
    <t>OM, Michael: Stand-Up-Meeting (Tages- bzw. Wochenplanung)</t>
  </si>
  <si>
    <t>Anpassungen bzgl. Fortimel: Erstellung Issue auf GitHub</t>
  </si>
  <si>
    <t>Update Issue und Mail an Frau Herrmann</t>
  </si>
  <si>
    <t>Präsentation: Anwenderschulung</t>
  </si>
  <si>
    <t>Präsentation: White-Label</t>
  </si>
  <si>
    <t>OM, Michael: Entwicklung Konzept Preisversionierung</t>
  </si>
  <si>
    <t>Mail an Frau Salwa-Emmel zwecks Timing Anpassungen</t>
  </si>
  <si>
    <t>Feinschliff Präsentationen</t>
  </si>
  <si>
    <t>Anpassung mdx aufgrund neuer Markt- und Brandstruktur</t>
  </si>
  <si>
    <t>Anpassung mdx aufgrund neuer Benennung von Attributen im cube</t>
  </si>
  <si>
    <t>Monatsproduktion Klosterfrau Regio</t>
  </si>
  <si>
    <t>Monatsproduktion und manuelle Anpassungen Klosterfrau National</t>
  </si>
  <si>
    <t>Manuelle Anpassungen und Mail an Frau Salwa-Emmel mit Unklarheiten</t>
  </si>
  <si>
    <t>Mail an Herrn Sdunzig</t>
  </si>
  <si>
    <t>Feinschliff Präsentation: Anwenderschulung</t>
  </si>
  <si>
    <t>Versand Mail an Frau Salwa-Emmel</t>
  </si>
  <si>
    <t xml:space="preserve">Versand sonstige Mails (Sdunzig, Alexander Crone) mit Ankündigung Vor-Ort-Termin </t>
  </si>
  <si>
    <t>Produktion und manuelle Anpassungen Nutricia 03/15</t>
  </si>
  <si>
    <t>Anpassung Brandauswahl Thermal Water und Neuproduktion</t>
  </si>
  <si>
    <t>SetUp Beispiele für Live-Demo im Rahmen des Workshops</t>
  </si>
  <si>
    <t>Vor-Ort-Besprechung CHA Kalkulatoren mit Team Marketing (Frau Werner, Herrmann, Pechstein, Madelung)</t>
  </si>
  <si>
    <t>Sonstige Tätigkeiten Vor-Ort-Termin ims</t>
  </si>
  <si>
    <t xml:space="preserve">Vor-Ort-Termin ims mit Sandra Despotovoc: Aufnahme neuer Issues und Test Löschschwelle </t>
  </si>
  <si>
    <t>Vor-Ort-Termin ims: Anwenderschulung</t>
  </si>
  <si>
    <t>Vor-Ort-Termin: Workshop White-Label</t>
  </si>
  <si>
    <t>Dokumentation der Ideen zur Anwendungsarchitektur</t>
  </si>
  <si>
    <t>Stand-Up-Meeting, Michael: todos KW18</t>
  </si>
  <si>
    <t>CALCISSOR</t>
  </si>
  <si>
    <t>OM, Michael: Entwicklung Template Method Pattern</t>
  </si>
  <si>
    <t>OM, Michael: Besprechung Timing Kalkulatorentwicklung 2015</t>
  </si>
  <si>
    <t>Umsetzung Template Method Pattern für Klosterfrau QuickView_Hersteller</t>
  </si>
  <si>
    <t>OM, Michael: Sprint-Planung Mai/15</t>
  </si>
  <si>
    <t>OM, Michael: Erstellung Cube für Datenlieferung 03/15</t>
  </si>
  <si>
    <t>Erstellung, manuelle Anpassungen und Auslieferung 03/15-Report</t>
  </si>
  <si>
    <t>Update Issue für Wenzel (Korrekturwünsche von Frau Herrmann)</t>
  </si>
  <si>
    <t>OM, Michael: Spezifikation, Aufwandsschätzung und TimeLine für Fertigstellung Admin-Schnittstelle (Preis-Versionierung, 3 Jahre, etc.)</t>
  </si>
  <si>
    <t>OM, Michael: Feinschliff Template Method Pattern</t>
  </si>
  <si>
    <t>CALCCH</t>
  </si>
  <si>
    <t>Calculator Schweiz</t>
  </si>
  <si>
    <t>PHS Issor Calculator</t>
  </si>
  <si>
    <t>CALCRVM</t>
  </si>
  <si>
    <t>RVM Calculator</t>
  </si>
  <si>
    <t>CALCXMM</t>
  </si>
  <si>
    <t>XMM Calculator</t>
  </si>
  <si>
    <t>Stand-Up-Call, Michael: Upgrade Solution auf VS2013</t>
  </si>
  <si>
    <t>Stand-Up-Call, Michael: Demo Komponentenzerlegung</t>
  </si>
  <si>
    <t>Stand-Up-Call, Michael: Besprechung Anpassungen</t>
  </si>
  <si>
    <t>Stand-Up-Call, Michael: Sonstiges</t>
  </si>
  <si>
    <t>Installation VS 2013 auf ims-Notebook</t>
  </si>
  <si>
    <t>Set-Up VS2013 und PowerSpreadsheet-Solution für Maik</t>
  </si>
  <si>
    <t>Vorbereitung und Durchführung OM, Maik: Einführung in PowerSpreadsheet und die Aufgabenstellung</t>
  </si>
  <si>
    <t>Anfrage Alexander Crone wegen TotalSales-Werte für 2012 für Hersteller-Report</t>
  </si>
  <si>
    <t>Vorbereitung + Durchführung OM, Martina: Anpassungen Excel-Template</t>
  </si>
  <si>
    <t>OM, Maik: Refactoring formatBody() KLFRegioYTD und KLFRegioYTDSpezial</t>
  </si>
  <si>
    <t>Fix Build-Automatisierung nach Erstellung XMM-Rohling</t>
  </si>
  <si>
    <t>Test, Merge und Publish Update refactorFormatBody()</t>
  </si>
  <si>
    <t>Start Anpassungen Fortimel</t>
  </si>
  <si>
    <t>Start refactoring formatBody() KLFQuickView_MarkenDetail</t>
  </si>
  <si>
    <t>Start Produktion 04/15 für KLFNational</t>
  </si>
  <si>
    <t>OM, Michael: Anpassungen Fortimel --&gt; Änderungen am MDX</t>
  </si>
  <si>
    <t>Produktion und Auslieferung 04/15-Regio-Reports</t>
  </si>
  <si>
    <t>Manuelle Anpassungen und Auslieferung 04/15-National-Reports</t>
  </si>
  <si>
    <t>Anpassungen MDX Fortimel</t>
  </si>
  <si>
    <t>Rückfrage Herr Sdunzig</t>
  </si>
  <si>
    <t>refactoring formatBody() KLFQuickView_MarkenDetail</t>
  </si>
  <si>
    <t>Produktion, manuelle Anpassungen und Auslieferung vorläufiger Stand</t>
  </si>
  <si>
    <t>OM, Michael: Sprintplanung Juni</t>
  </si>
  <si>
    <t>OM, Michael: allg. Update &amp; Sprintplanung Juni</t>
  </si>
  <si>
    <t>Einrichtung Silverlight für Chrome</t>
  </si>
  <si>
    <t>Fix Druckeinstellungen beim Excel-Export</t>
  </si>
  <si>
    <t>Letzte Anpassungen MDX, Produktion und Auslieferung angepasster Bericht</t>
  </si>
  <si>
    <t>OM, Michael und Erstellung Issue bzgl. Fehler bei .build-Prozess</t>
  </si>
  <si>
    <t>8, 13</t>
  </si>
  <si>
    <t>Mail zur Nachfrage bzgl. Berichtsentwicklung bei Frau Salwa-Emmel</t>
  </si>
  <si>
    <t>OM, Michael: Refactoring FormatBody() QuickView_MarkenDetail &gt; Einklappen der untersten Level</t>
  </si>
  <si>
    <t>Telefonat mit Frau Salwa-Emmel und Update Issues</t>
  </si>
  <si>
    <t>Erstellung Issue auf GitHub: Automatisiertes Ranking</t>
  </si>
  <si>
    <t>Erstellung Issue auf GitHub: Re-Design Testumgebung</t>
  </si>
  <si>
    <t>Erstellung Issue auf GitHub: Einbindung OfficeWriter</t>
  </si>
  <si>
    <t>OM, Michael: Abstimmung zur Erstellung des neuen DA-Kalkulators</t>
  </si>
  <si>
    <t>Mail mit Aufwandsschätzung an Frau Salwa-Emmel</t>
  </si>
  <si>
    <t>Mail an Frau Müller zwecks Nachfrage Änderungswunsch vom April</t>
  </si>
  <si>
    <t>Abschluss Refaktorierung QV_MarkenDetail</t>
  </si>
  <si>
    <t>Erstellung 04/15-Report</t>
  </si>
  <si>
    <t>manuelle Anpassungen und Auslieferung 04/15-Report</t>
  </si>
  <si>
    <t>80, 84</t>
  </si>
  <si>
    <t>Merge Änderungen Nutricia und QuickView und Publish Update</t>
  </si>
  <si>
    <t>Installation Resharper</t>
  </si>
  <si>
    <t>Mail zwecks Klarstellung Änderungsbedarf an Frau Salwa-Emmel</t>
  </si>
  <si>
    <t>Disease-Analyzer: Analyse Excel-Vorlage und Start Mock-Up</t>
  </si>
  <si>
    <t>Disease-Analyzer: Erstellung Mock-Up und MPT sowie Terminvereinbarung mit Frau Madelung</t>
  </si>
  <si>
    <t>Support Wenzel bzgl. Fehler beim build</t>
  </si>
  <si>
    <t>Analyse Serviceabsturz bei Einsatz der Löschschwelle</t>
  </si>
  <si>
    <t>Support Maik Refactoring formatBody()</t>
  </si>
  <si>
    <t>Zukünftige Produktionen ignorieren; Umsetzung + SystemTest</t>
  </si>
  <si>
    <t>OM, Michael: Tages- und Wochenplanung, Diverses</t>
  </si>
  <si>
    <t>Terminvereinbarung mit Alexander Crone bzgl. Telefonat "Berichterstellung Klosterfrau"</t>
  </si>
  <si>
    <t>Rohling für Disease-Analyzer: Erstellung Issue auf GitHub</t>
  </si>
  <si>
    <t>Installation Jabber 10 auf ims-Notebook</t>
  </si>
  <si>
    <t>Migration auf VS2013 und Funktionsanalyse zur Vorbereitung des Telefonats mit Frau Spiegel</t>
  </si>
  <si>
    <t>Fix Thread-übergreifende Referenzierung von glbProductionContext</t>
  </si>
  <si>
    <t>OM, Michael: Zwischenstand Reorganisation Projektstruktur</t>
  </si>
  <si>
    <t>OM, Michael: Refaktorierung ImportDirectory()</t>
  </si>
  <si>
    <t>OM, Michael: Vorbereitung Telefonat mit Frau Spiegel</t>
  </si>
  <si>
    <t>TelKo mit Frau Spiegel und Nachbesprechung</t>
  </si>
  <si>
    <t>Lizenzierung/Aktivierung Resharper</t>
  </si>
  <si>
    <t>Terminvereinbarung mit Frau Madelung</t>
  </si>
  <si>
    <t>Umzug Repository von Mercurial nach Git</t>
  </si>
  <si>
    <t>Telefonat und Nachbereitung (per Mail) mit Alexander Crone bzgl. Liefertermin-Vereinbarung QuickView-Report</t>
  </si>
  <si>
    <t>Mail an Frau Cikes zwecks Terminvereinbarung</t>
  </si>
  <si>
    <t>4, 5, 6, 7, 8, 9, 10, 11, 12</t>
  </si>
  <si>
    <t>Check und Live-Test PullRequest Maik</t>
  </si>
  <si>
    <t>Austausch mit Sebastian bzgl. Arbeitsauslastung</t>
  </si>
  <si>
    <t>Ablage und Sichtung Mails + Planung Arbeitspakete</t>
  </si>
  <si>
    <t>Check neuer Input von Frau Cikes und Antwort (Anforderung Excel Tool Stand 2013)</t>
  </si>
  <si>
    <t>Antwort Alexander und Start Produktion National-Reports</t>
  </si>
  <si>
    <t>Start Refaktorierung ImportDirectory()</t>
  </si>
  <si>
    <t>CALCDA</t>
  </si>
  <si>
    <t>Disease Analyzer</t>
  </si>
  <si>
    <t>4300064786</t>
  </si>
  <si>
    <t>Hospital Calculator</t>
  </si>
  <si>
    <t>CALCLRX</t>
  </si>
  <si>
    <t>4300064787</t>
  </si>
  <si>
    <t>Vorbereitung, Durchführung und Nachbereitung des OM mit Frau Cikes und Frau Madelung</t>
  </si>
  <si>
    <t>Telefonat Michael: Arbeitspakete für Sebastian?</t>
  </si>
  <si>
    <t>13, 15</t>
  </si>
  <si>
    <t>Reorganisation: Zuweisung an Sebastian (an Stelle von Wenzel) und Update der Issues</t>
  </si>
  <si>
    <t>PtrReports: Anpassung BRAND-Selection für Sonnenmärkte und Mail an Julia Propp</t>
  </si>
  <si>
    <t>Produktion und Auslieferung RegioApo- und RegioApoSpezial-Reports</t>
  </si>
  <si>
    <t>Sichtung und Ablage Mails, Aktualisierung Kostenstellen</t>
  </si>
  <si>
    <t>Telefonat und Nachbereitung (per Mail) mit Herrn Sdunzig bzgl. RVM-, XMM- und CMCalculator</t>
  </si>
  <si>
    <t>Erweiterung Report um neuen Markt OTC36, Produktion und Auslieferung 05/15-Bericht</t>
  </si>
  <si>
    <t>Produktion und Auslieferung 05/15-Report</t>
  </si>
  <si>
    <t>Mail mit Rückfragen an Frau Spiegel</t>
  </si>
  <si>
    <t>Aktualisierung MockUp und MPT auf Basis der neuen Vorlage</t>
  </si>
  <si>
    <t>Anpassung MDX aufgrund Performance-Problem (Timeout), Produktion und Auslieferung 05/15-Bericht</t>
  </si>
  <si>
    <t>Mail an Julia wegen Timeout bei Beruhigungs- und Schlafmittel-Bericht</t>
  </si>
  <si>
    <t>Fertigstellung MockUp + MPT</t>
  </si>
  <si>
    <t>OM, Michael: Allg. Update, Tagesplanung</t>
  </si>
  <si>
    <t>Update Issue</t>
  </si>
  <si>
    <t>MockUp Import-Schnittstelle</t>
  </si>
  <si>
    <t>OM, Michael: Import-Schnittstelle</t>
  </si>
  <si>
    <t>OM, Michael: MockUp + MPT</t>
  </si>
  <si>
    <t>OM, Michael: Stand-Up-Call; Tagesplanung</t>
  </si>
  <si>
    <t>OM, Michael: Code-Review und Beschluss weiterer Umstrukturierungen</t>
  </si>
  <si>
    <t>4, 6, 8</t>
  </si>
  <si>
    <t>Update Issues: Einpflegen der Antworten von Frau Spiegel</t>
  </si>
  <si>
    <t>Update Issue: Weitere Umbaumaßnahmen für Sebastian</t>
  </si>
  <si>
    <t>6, 8, 17</t>
  </si>
  <si>
    <t>Erneute Rücksprache mit Frau Spiegel und Update Issues</t>
  </si>
  <si>
    <t>Erstellung MPT für UpdateFrequency und Mail an Frau Spiegel</t>
  </si>
  <si>
    <t>Übergabe Issue an Maik</t>
  </si>
  <si>
    <t>Mail an Roland bzgl. regelmäßiger Produktionen durch cognovo</t>
  </si>
  <si>
    <t>Vorbesprechung und TelKo mit Alexander Crone bzgl. "Berichtserstellung Klosterfrau"</t>
  </si>
  <si>
    <t>OM, Michael: Einrichtung Applikation nach Reorganisation der Projektstruktur</t>
  </si>
  <si>
    <t>OM, Michael: Infrastruktur für MPT-Import und Preisversionierung</t>
  </si>
  <si>
    <t>TelKo mit Frau Cikes und Madelung zwecks weiterer Spezifikation auf Basis des neuen Mock-Ups</t>
  </si>
  <si>
    <t>Support Sebastian: sql-Skripte/Build-Automatisierung</t>
  </si>
  <si>
    <t>Erstellung Issue auf GitHub: Views für Admin-Schnittstelle</t>
  </si>
  <si>
    <t>159-164; 89; 153; 147</t>
  </si>
  <si>
    <t>Erstellung Issues (159-164) sowie Update (Rest) auf GitHub: todos im Zusammenhang mit Jahresmodell, Admin-Schnittstelle und Preisversionierung</t>
  </si>
  <si>
    <t>Erstellung Issue auf GitHub: fachliche Schlüssel einführen</t>
  </si>
  <si>
    <t>Erstellung und Auslieferung 05/15-Bericht</t>
  </si>
  <si>
    <t>Bereitstellung aktuelle MPTs (2015er Preise) an Frau Pechstein</t>
  </si>
  <si>
    <t>Anpassung MDX aufgrund neuer Cube-Struktur, Tests und Produktion 05/15-Bericht</t>
  </si>
  <si>
    <t>OM, Michael: Konsolidierung und Update PowerSpreadsheet (Versionen 1.0.0.105 &amp; 1.0.0.106)</t>
  </si>
  <si>
    <t>Finetuning MDX (Performance-Optimierung Distributionsreport)</t>
  </si>
  <si>
    <t>OM, Michael: Sichtung und Besprechung neue Spezifikation</t>
  </si>
  <si>
    <t>OM, Michael: Sprint-Planung Juli PowerSpreadsheet</t>
  </si>
  <si>
    <t>165, 166</t>
  </si>
  <si>
    <t>OM, Michael: Diskussion Branch-Struktur und Releasemangement auf Basis der neuen Projektstruktur und Erstellung Issues auf GitHub</t>
  </si>
  <si>
    <t>OM, Michael: Sprint-Planung Juli CostCalculator</t>
  </si>
  <si>
    <t>OM, Michael: Sprint-Planung Juli CHACalculator</t>
  </si>
  <si>
    <t>OM, Michael: Sprint-Planung Juli PP2</t>
  </si>
  <si>
    <t>OM, Michael: Sprint-Planung Juli Infrastruktur</t>
  </si>
  <si>
    <t>OM, Michael: Allgemeines</t>
  </si>
  <si>
    <t>Bereitstellung fehlende MPTs (RVM und XMM) and Frau Pechstein/Herrn Sdunzig</t>
  </si>
  <si>
    <t>TelKo neue Spezifikation + Nachbesprechung/Aufwandsschätzung</t>
  </si>
  <si>
    <t>Clean-Up und Installation neues Update nach Anpassungen an Cesra</t>
  </si>
  <si>
    <t>Refaktorierung ImportDirectory() und Tests der Änderungen per SystemTests</t>
  </si>
  <si>
    <t>Start Automatisierung des Rankings und Refaktorierung formatBody()</t>
  </si>
  <si>
    <t>68, 91</t>
  </si>
  <si>
    <t>Fertigstellung Automatisierung Ranking und Refaktorierung formatBody()</t>
  </si>
  <si>
    <t>Update Issue nach Mail mit Entscheidung von Frau Cikes</t>
  </si>
  <si>
    <t>Erstellung Mock-Up und MPT-Entwurf für Workstation-Kalkulator</t>
  </si>
  <si>
    <t>148, 168, 169</t>
  </si>
  <si>
    <t>Split 148 in 168 und 169 gemäß der beiden Varianten: Adhoc und Workstation (Erstellung Issues auf GitHub)</t>
  </si>
  <si>
    <t>Feinschliff Mock-Up + Versand an Frau Cikes</t>
  </si>
  <si>
    <t>Erstellung Issue und Antwort Frau Salwa-Emmel</t>
  </si>
  <si>
    <t>Erstellung Issue und Antwort Frau Pechstein</t>
  </si>
  <si>
    <t>Anpassung MDX aufgrund von Herstellerwechsel</t>
  </si>
  <si>
    <t>Automatisiertes Einfügen der Marktbasis auf Dashboard</t>
  </si>
  <si>
    <t>Update Issue: Dokumentation der einzelnen Entwicklungsschritte</t>
  </si>
  <si>
    <t>Performance-Problem bei StadaPtrDistribution-Report nach Herstellerwechsel</t>
  </si>
  <si>
    <t>Berichtsproduktion und Auslieferung 06/15</t>
  </si>
  <si>
    <t>Umstellung auf Excel-Template-Logik und Berichtsproduktion sowie Auslieferung 06/16</t>
  </si>
  <si>
    <t>Feinschliff Performance-Verbesserung MDX bei StadaPtrDistribution und Update der Anwendung</t>
  </si>
  <si>
    <t>Support Maik</t>
  </si>
  <si>
    <t>Merge Panels (Pro &amp; Complete) in eine gemeinsame Tabelle im MPT-File</t>
  </si>
  <si>
    <t>Erstellung 06/15-Bericht</t>
  </si>
  <si>
    <t>Erstellung 06/15-Berichte RegioApo</t>
  </si>
  <si>
    <t>Dokumentation Fehler auf Github: NullReferenceException bei Ausführung von Stada .psb-file</t>
  </si>
  <si>
    <t>OM, Michael: Vorgehen zur Behebung des Fehlers bzw. Auslieferung der deshalb noch fehlenden Berichte</t>
  </si>
  <si>
    <t>Produktion und Auslieferung Sonnen-Märkte 06/15</t>
  </si>
  <si>
    <t>Manuelle Anpassungen und Auslieferung 06/15-Berichte</t>
  </si>
  <si>
    <t>Produktion und Auslieferung 06/15-Berichte RegioApoSpezial</t>
  </si>
  <si>
    <t>Rollback Automatisierung Marktbasis auf Dashboard und Installation Update 1.0.0.110 als Hotfix</t>
  </si>
  <si>
    <t>Sichtung und Ablage Mails + Sichtung und Kommentierung Issues</t>
  </si>
  <si>
    <t>164, 171</t>
  </si>
  <si>
    <t>Tests nach Umstellung der Szenario-Systematik auf Jahresmodell</t>
  </si>
  <si>
    <t>Fehlersuche Differenzen bei Teilmarktkalkulation</t>
  </si>
  <si>
    <t>Antwort Mail Frau Cikes</t>
  </si>
  <si>
    <t>Sichtung und Kommentierung Issues</t>
  </si>
  <si>
    <t>48, 102</t>
  </si>
  <si>
    <t>Fehlersuche Exception bei Markt auf Dashboard</t>
  </si>
  <si>
    <t>164, 172</t>
  </si>
  <si>
    <t>OM, Michael: fehlender Filter bei AtcPickList; Analyse, Lösungssuche und Mail an Frau Pechstein</t>
  </si>
  <si>
    <t>Tests (teilweise per OM mit Maik) nach Umstellung der Szenario-Systematik auf Jahresmodell</t>
  </si>
  <si>
    <t>Terminanfrage Martina zwecks Erstellung Excel-Template für Workstation-Kalkulator</t>
  </si>
  <si>
    <t>Erstellung Issue auf GitHub: verschobene Borders</t>
  </si>
  <si>
    <t>Erstellung Issue auf Github: verdächtiges Verhalten Punktematrix</t>
  </si>
  <si>
    <t>OM, Michael: weiteres Vorgehen/Reihenfolge bei Implementierung Admin-Interface</t>
  </si>
  <si>
    <t>Tests DpmPsn nach Umstellung Jahresmodell und Multi-Selection-Box + Merge &amp; Clean-Up Pull-Request</t>
  </si>
  <si>
    <t>Einfügen Screenshots als Vorlage für Korrektur Borders</t>
  </si>
  <si>
    <t>Sichtung + Kommentierung verschiedene Issues</t>
  </si>
  <si>
    <t>Erstellung Vorlage für Martina bzgl. Excel-Template</t>
  </si>
  <si>
    <t>57, 75</t>
  </si>
  <si>
    <t>Refaktorierung formatBody() für Marken-Report; Dabei automatisiertes Ersetzen von YTD</t>
  </si>
  <si>
    <t>Abschluss Refaktorierung QV_Marken</t>
  </si>
  <si>
    <t>OM, Wenzel: Support Issues</t>
  </si>
  <si>
    <t>5, 6, 9</t>
  </si>
  <si>
    <t>MPT-Entwurf Mindestpreis</t>
  </si>
  <si>
    <t>OM, Martina: Übergabe Vorlage Excel-Template</t>
  </si>
  <si>
    <t>OM, Michael: allg. Rücksprache</t>
  </si>
  <si>
    <t>OM, Michael: Diskussion Systematik Mindestpreis + Mail an Frau Spiegel zwecks Rücksprache</t>
  </si>
  <si>
    <t>Erstellung Issue + Antwort-Mail an Frau Koehnke</t>
  </si>
  <si>
    <t>Erstellung Issue + Rückfrage-Mail bei Herrn Sdunzig</t>
  </si>
  <si>
    <t>Mock-Up Kurzabo und Mindestpreis</t>
  </si>
  <si>
    <t>6, 8</t>
  </si>
  <si>
    <t>Erstellung Issue; Produktion, manuelle Anpassungen und Auslieferung QuickView 06/15</t>
  </si>
  <si>
    <t>6, 28</t>
  </si>
  <si>
    <t>Erstellung Isssue 28 und Update Issue 6</t>
  </si>
  <si>
    <t>8, 28</t>
  </si>
  <si>
    <t>OM, Michael: Demo Admin-Interface und Entwicklung Lösung für ScenarioTimeFrame</t>
  </si>
  <si>
    <t>OM, Wenzel: Merge develop in AdjustUpdateFrequency</t>
  </si>
  <si>
    <t>Vorbereitung Vorlage Excel-Template und Übergabe an Martina</t>
  </si>
  <si>
    <t>Anpassung Excel-Template (Entwurf Martina) und Start Integration in Anwendung</t>
  </si>
  <si>
    <t>OM, Michael: Tagesplanung</t>
  </si>
  <si>
    <t>OM, Michael: toDos CC</t>
  </si>
  <si>
    <t>OM, Michael: Systematik Speichern/Laden</t>
  </si>
  <si>
    <t>Implementierung kalkulatorspezifische alterVersion.sql.template</t>
  </si>
  <si>
    <t>6, 8, 28</t>
  </si>
  <si>
    <t>Test Aktualisierungsfrequenz, Kurzabo und Mindestpreis + Update Issues</t>
  </si>
  <si>
    <t>Fertigstellung Anpassung Excel-Export</t>
  </si>
  <si>
    <t>Test Mindestpreis und Update Issue</t>
  </si>
  <si>
    <t>186, 187</t>
  </si>
  <si>
    <t>Erstellung Issues auf Github</t>
  </si>
  <si>
    <t>Rückmeldung an Martina mit Anpassungsbedarf Excel-Template</t>
  </si>
  <si>
    <t>OM, Michael: Besprechung MPT für Mindestpreis; entsprechende Anpassung (Split in BasePrice und EffectivePrice)</t>
  </si>
  <si>
    <t>102, 48</t>
  </si>
  <si>
    <t>Vorbereitung; OM, Michael; Anpassung: Fehler bei convertSLDocument</t>
  </si>
  <si>
    <t>Mail an Frau Cikes: Rückfrage Stand der Spezifikation</t>
  </si>
  <si>
    <t>Integration der Versionsinformationen (App + Preis) in Excel-Export</t>
  </si>
  <si>
    <t>Fix Excel-Export (Abfrage der relevanten Infos über Meta-Daten)</t>
  </si>
  <si>
    <t>Vorbereitung Urlaubsübergabe</t>
  </si>
  <si>
    <t>Installation Update 1.0.0.111</t>
  </si>
  <si>
    <t>Sprint Planung August</t>
  </si>
  <si>
    <t>OM, Wenzel: Erklärung Mindestpreis</t>
  </si>
  <si>
    <t>Review Refaktorierung ImportDirectory(); FixSystemtests und merge</t>
  </si>
  <si>
    <t>Anpassung Löschen von SASMP</t>
  </si>
  <si>
    <t>OM, Michael: Allg. Update nach Urlaub</t>
  </si>
  <si>
    <t>OM, Michael: Sprint-Planung Sept. CostCalculator</t>
  </si>
  <si>
    <t>OM, Michael: Sprint-Planung Sept. CHACalculator</t>
  </si>
  <si>
    <t>OM, Michael: Sprint-Planung Sept. PP2</t>
  </si>
  <si>
    <t>OM, Michael: Sprint-Planung Sept. Rest</t>
  </si>
  <si>
    <t>Vorbesprechung und Durchführung TelKo mit Herrn Baumgartner zwecks Weiterentwicklung CHAustria</t>
  </si>
  <si>
    <t>TelKo mit Sandra zwecks neue toDos PP2 und perspektivischer Weiterentwicklung zu PP3</t>
  </si>
  <si>
    <t>Terminanfrage bei Frau Spiegel zwecks Besprechung neue Mindestpreislogik</t>
  </si>
  <si>
    <t>Sichtung und Ablage Mails (ims Account)</t>
  </si>
  <si>
    <t>OM, Michael: Stand-Up-Call; Systematik für automatisiert erstellte Testumgebung für Client-Entwicklung</t>
  </si>
  <si>
    <t>Anpassung Markenauswahl , Update PSW7 und Benachrichtung von Frau Koehnke</t>
  </si>
  <si>
    <t>Start Neuinstallation SQL Server 2008 R2 auf ims Notebook</t>
  </si>
  <si>
    <t>Sichtung und Ablage Mails (cognovo Account)</t>
  </si>
  <si>
    <t>Start Einrichtung Testumgebung</t>
  </si>
  <si>
    <t>Produktion und Auslieferung Regio 08/15-Berichte</t>
  </si>
  <si>
    <t>Produktion National 08/15-Berichte</t>
  </si>
  <si>
    <t>Produktion und Auslieferung RegioSpezial 08/15-Berichte</t>
  </si>
  <si>
    <t>Produktion und Auslieferung 08/15-Bericht</t>
  </si>
  <si>
    <t>Neuproduktion, Manuelle Anpassungen + Auslieferung National 08/15-Berichte</t>
  </si>
  <si>
    <t>Einrichtung Testumgebung</t>
  </si>
  <si>
    <t>56, 57, 58, 59</t>
  </si>
  <si>
    <t>OM, Michael: Besprechung der Issues</t>
  </si>
  <si>
    <t>Vorbesprechung, Durchführung und Nachbesprechung TelKo mit Frau Spiegel bzgl. Mindestpreissystematik</t>
  </si>
  <si>
    <t>OM, Michael: Besprechung Testumgebung und Fix Fehler im edmx/ProductionPlan</t>
  </si>
  <si>
    <t>Telko + Nachbesprechung mit Sandra und Roland bzgl. noch offener Fragen</t>
  </si>
  <si>
    <t>Integration SaSmp-Testdaten</t>
  </si>
  <si>
    <t>Aufwandsschätzung</t>
  </si>
  <si>
    <t>Push fehlender Ressourcen-Dateien</t>
  </si>
  <si>
    <t>Stand-Up-Call; Tagesplanung</t>
  </si>
  <si>
    <t>Produktion, manuelle Anpassungen und Auslieferung QuickView-Bericht 08/15</t>
  </si>
  <si>
    <t>Sichtung Änderungswünsche und Rückfragen bei Frau Cikes</t>
  </si>
  <si>
    <t>Update/Rebuild Anwendung nach Urlaub und größeren Änderungen; Troubleshooting per OM mit Michael</t>
  </si>
  <si>
    <t>Support Maik; StoredProcedure: getStudiesByUnix</t>
  </si>
  <si>
    <t>195 - 200</t>
  </si>
  <si>
    <t>Anpassungen PtrRegions und Update PowerSpreadsheet</t>
  </si>
  <si>
    <t>Feierabend-Call; Tagesresumée</t>
  </si>
  <si>
    <t>CALCAUSTRIA</t>
  </si>
  <si>
    <t>Calculator Österreich, allgemein</t>
  </si>
  <si>
    <t>CALCREFACT</t>
  </si>
  <si>
    <t>Calculator Refactoring</t>
  </si>
  <si>
    <t>4300068060</t>
  </si>
  <si>
    <t>CALCCOMMON</t>
  </si>
  <si>
    <t>Calculator Direkter Aufwand</t>
  </si>
  <si>
    <t>CALCADMIN</t>
  </si>
  <si>
    <t>Calculator Admin Schnittstelle</t>
  </si>
  <si>
    <t>4300067616</t>
  </si>
  <si>
    <t>4300064785</t>
  </si>
  <si>
    <t>4300065760</t>
  </si>
  <si>
    <t>CALCDAAH</t>
  </si>
  <si>
    <t>Disease Analyzer Adhoc</t>
  </si>
  <si>
    <t>CALCDAALT</t>
  </si>
  <si>
    <t>Disease Analyzer falscher Entwurf</t>
  </si>
  <si>
    <t>CALCDAWS</t>
  </si>
  <si>
    <t>Disease Analyzer Workstation</t>
  </si>
  <si>
    <t>4300068106</t>
  </si>
  <si>
    <t>CALCHOS</t>
  </si>
  <si>
    <t>4300065717</t>
  </si>
  <si>
    <t>LRx Calculator</t>
  </si>
  <si>
    <t>4300064783</t>
  </si>
  <si>
    <t>HBTCHK2012</t>
  </si>
  <si>
    <t>HBT Check Anpassung SQL 2012</t>
  </si>
  <si>
    <t>4300062776</t>
  </si>
  <si>
    <t>PCH2012</t>
  </si>
  <si>
    <t>Powercharts Anpassung SQL 2012</t>
  </si>
  <si>
    <t>4300067764</t>
  </si>
  <si>
    <t>PCHSALO</t>
  </si>
  <si>
    <t>Powercharts SA Layout Anpassungen</t>
  </si>
  <si>
    <t>PCHCHALO</t>
  </si>
  <si>
    <t>Powercharts CHA Layout Anpassungen</t>
  </si>
  <si>
    <t>PP3</t>
  </si>
  <si>
    <t>Produktionsportal 3</t>
  </si>
  <si>
    <t>PP2ACC</t>
  </si>
  <si>
    <t>PP2 Accessibility</t>
  </si>
  <si>
    <t>4300067760</t>
  </si>
  <si>
    <t>Mock-Up neue ProductionDetailView</t>
  </si>
  <si>
    <t>Start Anpassung ProductionExport; Einarbeitung in Tests + Troubleshooting Test-Framework mit Michael per OM</t>
  </si>
  <si>
    <t>Releasemanagement: Tests (Austausch .dlls in .xap), Einrichtung WebServer mit Michael, Ideenentwicklung und Diskussion bzgl. Release-Konzept</t>
  </si>
  <si>
    <t>Anpassung ProductionExport: Start Anpassung Tests; Diskussion Anwendungsarchitektur mit Michael; Start Anpasung ProdctionPlanExport.cs; OM zur neuen Anwendungsarchitektur und Besprechung neuer Rahmen für Export</t>
  </si>
  <si>
    <t>Anfertigung, Besprechung mit Michael und Versand angepasste ProductionMap.xlsx (erweitert um Infos zu Zuständigkeit + Automatisierungsgrad)</t>
  </si>
  <si>
    <t>Sichtung Anforderungsmail von Herrn Baumgartner; Vorschlag nächste Schritte; Besprechung weiteres Vorgehen (Arbeitspakete, Zeitplan) mit Michael &amp; Elke</t>
  </si>
  <si>
    <t>Start Dokumentation Ideen zum Release-Konzept und Besprechung mit Michael</t>
  </si>
  <si>
    <t>Sprint Planung Oktober</t>
  </si>
  <si>
    <t>Vorbesprechung (OM, Michael: Spezifiaktionsdateien) und Durchführung TelKo mit Herrn Baumgartner zwecks Weiterentwicklung CHAustria</t>
  </si>
  <si>
    <t>Versuch Fertigstellung Neuinstallation SQL Server 2008 R2 auf ims Notebook</t>
  </si>
  <si>
    <t>195, 199</t>
  </si>
  <si>
    <t>Anpassung Aufwandsschätzung auf Basis neuer Anforderungen von Frau Cikes; Dabei: Fehleranalyse beim MPT-Import mit Michael; Anpassung Issues</t>
  </si>
  <si>
    <t>Fehler MPT-Import; Erstellung Issue auf Github</t>
  </si>
  <si>
    <t>OM, Michael: Meinungsaustausch bzgl. neues Design ProductionDetailView</t>
  </si>
  <si>
    <t>Mail zur Rückfrage bzgl. Aktualität des Issues an Frau Pechstein</t>
  </si>
  <si>
    <t>202, 203</t>
  </si>
  <si>
    <t>Preisaktualisierung + Berechnungsfehler: Erstellung Issues auf GitHub; Sichtung Antwortmail bzgl. Berechnungsfehler</t>
  </si>
  <si>
    <t>Implementierung neue Logik ProductionExport</t>
  </si>
  <si>
    <t>OM, Michael + TelKo mit Sandra: Sichtung neues Design ProductionDetailView; Besprechung Umzugs-Logik, insb. "Familienumzug"</t>
  </si>
  <si>
    <t>OM, Michael: Einstellungen SQL Server 2008 ims-Notebook</t>
  </si>
  <si>
    <t>OM, Michael: Einrichtung/Fix Packages Projekt auf ims-Notebook</t>
  </si>
  <si>
    <t>Telefonat Michael: Zwischenstand Arbeitspakete</t>
  </si>
  <si>
    <t>Mail an Frau Pechstein + Update Issue</t>
  </si>
  <si>
    <t>Freigabe Issues + Mail an Frau Cikes</t>
  </si>
  <si>
    <t>Analyse Berechnungsfehler + Terminanfrage bei Herrn Baumgartner</t>
  </si>
  <si>
    <t>OM, Wenzel: Test Preisaktualisierung</t>
  </si>
  <si>
    <t>Implementierung neue Logik ProductionExport (Anpassung Kombinationslogik nach Missverständnis mit Sandra)</t>
  </si>
  <si>
    <t>Stand-Up-Call: aktueller Stand PP3-Arbeitspakete</t>
  </si>
  <si>
    <t>Stand-Up-Call: aktueller Stand Arbeitspakete</t>
  </si>
  <si>
    <t>Implementierung neue Logik ExportForRerun</t>
  </si>
  <si>
    <t>Start Aufwandsschätzung globale Features (Block 2)</t>
  </si>
  <si>
    <t xml:space="preserve">57, 59 </t>
  </si>
  <si>
    <t>OM, Michael: Gegenseitiges Update + Demo PP3-Arbeitspakete</t>
  </si>
  <si>
    <t>Vorläufige Fertigstellung ProductionExport; Insbesondere: isBusyIndicator-Logik</t>
  </si>
  <si>
    <t>Stand-Up-Call</t>
  </si>
  <si>
    <t>Durchführung und Nachbesprechung Telko Frau Schwarz</t>
  </si>
  <si>
    <t>Fehleranalyse + Behebung Masterfile-Preis-Umschaltung bei Jahreswechsel (träge aufgrund von VS-Performance-Problemen)</t>
  </si>
  <si>
    <t>OM, Michael: Besprechung weiteres Vorgehen bzgl. Abstimmung zur Berechnungslogik mit Herrn Baumgartner</t>
  </si>
  <si>
    <t>OM, Michael: Nachvollziehen Fehlermeldung Wenzel; Fix User-Authentification</t>
  </si>
  <si>
    <t>Anpassung build-Automatisierung zwecks Fix User-Authentification und Kommunikation Lösung an Wenzel</t>
  </si>
  <si>
    <t>Erstellung und Auslieferung 09/15-Bericht</t>
  </si>
  <si>
    <t>Anlage Issue und Aufwandsschätzung Brandumbenennung Dobendan</t>
  </si>
  <si>
    <t>TelKo + Nachbesprechung ALK</t>
  </si>
  <si>
    <t>Test Änderngen (inkl. MPT-Import-Problem per OM mit Michael)</t>
  </si>
  <si>
    <t>195-200</t>
  </si>
  <si>
    <t>Sichtung Cockpit.xlsb für ALK-Abschätzung</t>
  </si>
  <si>
    <t>OM, Michael: Update auf Testsystem</t>
  </si>
  <si>
    <t>OM, Michael: Grobsichtung Cockpit</t>
  </si>
  <si>
    <t>Tests bzgl. ALK-Rohdatenaktualisierung via Powerspreadsheet</t>
  </si>
  <si>
    <t>Erstellung Wiki-Eintrag: Update-Prozess (Test- u. Produktivsystem)</t>
  </si>
  <si>
    <t>Anayse Berechnungslogik auf Basis aktualisierter Spezifikation und erneute Rückfragemail an Herrn Baumgartner</t>
  </si>
  <si>
    <t>Mailentwurf (@Alexander Crone) zur Aufwandsschätzung bzgl. Brandumbenennung Dobendan</t>
  </si>
  <si>
    <t>Mailentwurf (@Frau Köhnke/Gajjar) zur Aufwandsschätzung bzgl. Brandumbenennung Dobendan</t>
  </si>
  <si>
    <t>Erstellung und Auslieferung 09/15-Berichte</t>
  </si>
  <si>
    <t>Erstellung, manuelle Anpassungen und Auslieferung 09/15-Berichte</t>
  </si>
  <si>
    <t xml:space="preserve">Antwort auf Fehlermeldungen von Hr. Hauser und Fr. Cikes </t>
  </si>
  <si>
    <t>Antwort an Alexander nach dessen Rückmeldung bzfgl. Brandumbenennung Dobendan</t>
  </si>
  <si>
    <t>Anpassung Berechnungslogik PharmatrendCalc</t>
  </si>
  <si>
    <t>Rückfrage bei Sandra bzgl. Testarchiv und Dateninput für tblDefaultClientStudyUnix für pp3 Installation</t>
  </si>
  <si>
    <t>Automatisierung ReleaseManagement (Update von Test auf Prod)</t>
  </si>
  <si>
    <t>Abstimmung Frau Schwarz bzgl. Abschaltung DEV-Server (ffmssql10) und Freigabe Produktiv-Version</t>
  </si>
  <si>
    <t>Strategie-Meeting</t>
  </si>
  <si>
    <t>Nachbesprechung Strategie-Meeting</t>
  </si>
  <si>
    <t>Abstimmung Frau Schwarz bzgl. Excel.exe-Pfad-Konfiguration</t>
  </si>
  <si>
    <t>Test Anpassung Berechnungslogik und Versuch Update</t>
  </si>
  <si>
    <t xml:space="preserve">Anpassung der Aufwandsschätzung bzgl. neues Attribut Dobendan/Dobensana und Mail an Alexander </t>
  </si>
  <si>
    <t>OM, Michael: fix raceCondition bei Listenaktualisierung + browser-Caching; Installation Update + Benachrichtungsmail an Herrn Baumgartner</t>
  </si>
  <si>
    <t>OM, Michael: Sprint-Planung November</t>
  </si>
  <si>
    <t>OM, Michael: Anpassung default-Excel-Pfad; Test MPT-Import und Installation Update</t>
  </si>
  <si>
    <t>Mock-Up für Anzeige Marktauswahl</t>
  </si>
  <si>
    <t>Troubleshooting Passwort ims-Notebook</t>
  </si>
  <si>
    <t>Stand-Up-Call: Tagesplanung Arbeitspakete</t>
  </si>
  <si>
    <t>Aufwandsschätzung Erweiterung um Brands-Hierarchie; Abstimmung mit Jenny Müller</t>
  </si>
  <si>
    <t>Anpassung Aufwandsschätzung bzgl. Dobensana im Einzelausweis; Mail an Alexander</t>
  </si>
  <si>
    <t>Abstimmung mit Wenzel und Maik bzgl. Kapazitäten bis Jahresende</t>
  </si>
  <si>
    <t>Umzug von Mercurial nach Git; Anlage Lables und Milestones</t>
  </si>
  <si>
    <t>Erstellung Issue auf GitHub: Anpassung Anzeige Marktauswahl</t>
  </si>
  <si>
    <t>2 bis 12</t>
  </si>
  <si>
    <t>Anlage Issues auf GitHub: globale Features</t>
  </si>
  <si>
    <t>Bearbeitung Anfrage von Jenny Müller bzgl. Anpassung des Biomedica-Reports</t>
  </si>
  <si>
    <t>TelKo Michael &amp; Elke: Strategie 2016 (mögliche Lösung inkl. Benjamin; evtl. Auftrag durch RaBot, Hamburg)</t>
  </si>
  <si>
    <t>"Akquise-Treffen" RaBot; Berlin</t>
  </si>
  <si>
    <t>Vorbesprechung, TelKo mit Andreas Horst und Nachbesprechung bzgl. ALK/Novo-Reporting</t>
  </si>
  <si>
    <t>120, 121</t>
  </si>
  <si>
    <t>Anlage Issues auf GitHub</t>
  </si>
  <si>
    <t>Vorbesprechung, TelKo Roland und Sandra bzgl. PP2/PP3</t>
  </si>
  <si>
    <t>TelKo mit Roland und Andreas Horst bzgl. Novo-Reporting</t>
  </si>
  <si>
    <t>Start Anpassung MDX bzgl. neues Attribut Dobendan/Dobensana</t>
  </si>
  <si>
    <t>Erstellung initiale Version MPTs</t>
  </si>
  <si>
    <t>Fix Archivierungsprozess</t>
  </si>
  <si>
    <t>Anpassung build-Automatisierung</t>
  </si>
  <si>
    <t>Erstellung Issue auf GitHub: Anpassung Server-Adresse in .psh-Files</t>
  </si>
  <si>
    <t>Anpassung Server-Adresse und Anstoß (batch) 10/15-Berichte</t>
  </si>
  <si>
    <t>Erstellung Issue auf GitHub: Fehlermeldungen (re-open)</t>
  </si>
  <si>
    <t>3, 8</t>
  </si>
  <si>
    <t>Update Issues auf GitHub</t>
  </si>
  <si>
    <t>Mail an Herrn Baugartner: Timeline Weiterentwicklung</t>
  </si>
  <si>
    <t>Anpassung MDX bzgl. Neuer Brand Dobendan/Dobensana</t>
  </si>
  <si>
    <t>Monatsproduktion (09/15), manuelle Anpassungen und Auslieferung</t>
  </si>
  <si>
    <t>Anpassung MDX bzgl. neues Attribut Dobendan/Dobensana</t>
  </si>
  <si>
    <t>Mail an Frau Köhnke bzgl. Performance-Problem StadaPtrPhyto</t>
  </si>
  <si>
    <t>OM, Michael: Demo Prototyp Novo</t>
  </si>
  <si>
    <t>OM, Michael: Server-Berechtigungen ffmspcc01p &amp; ffmspcc01t</t>
  </si>
  <si>
    <t>Erneute Anpassung Server + Mail an Frau Köhnke</t>
  </si>
  <si>
    <t>Anstoß Monatsproduktion (10/15)</t>
  </si>
  <si>
    <t>Monatsproduktion (10/15), manuelle Anpassungen und Auslieferung</t>
  </si>
  <si>
    <t>Erstellung Issue auf GitHub: Fehlermeldungen (new)</t>
  </si>
  <si>
    <t>OM, Michael: Besprechung DPMPSN-Issues</t>
  </si>
  <si>
    <t>Sichtung E-Mails</t>
  </si>
  <si>
    <t>Update .psh-Files, Aktualisierung ProductionMap und Mail an Alexander wegen Anpassung bzgl. neues Attribut Dobendan/Dobensana</t>
  </si>
  <si>
    <t>TelKo, Michael &amp; Elke: Abstimmung Arbeitspakte; Vertragsmodalitäten 2016</t>
  </si>
  <si>
    <t>68, 69</t>
  </si>
  <si>
    <t>Übergabe Issue an Wenzel</t>
  </si>
  <si>
    <t>OM, Michael: Update</t>
  </si>
  <si>
    <t>OM, Michael: Sprint-Planung Dezember</t>
  </si>
  <si>
    <t>Analyse Fehlermeldungen und Troubleshooting (Authorization) mit Michael</t>
  </si>
  <si>
    <t>Koordination cube-Erstellung; Mail an Frau Schöning</t>
  </si>
  <si>
    <t>Test Anzeige Marktauswahl</t>
  </si>
  <si>
    <t>Erstellung, manuelle Anpassungen und Auslieferung 10/15-Bericht</t>
  </si>
  <si>
    <t>Aufwandsschätzung Anpassung Biomedica-Bericht und Rücksprache mit Jenny Müller</t>
  </si>
  <si>
    <t>217, 218</t>
  </si>
  <si>
    <t>Vorbesprechung, TelKo mit Frau Pechstein und Nachbesprechung</t>
  </si>
  <si>
    <t>Rücksprache (per Mail) mit Roland bzgl. QualiCheck für Nachproduktionen (Version &gt;= 1)</t>
  </si>
  <si>
    <t>fix Issues re-open; Punkte 4), 5) und 6)</t>
  </si>
  <si>
    <t>32, 68</t>
  </si>
  <si>
    <t>Analyse QualiCheck</t>
  </si>
  <si>
    <t>Start Konzept Service-Parallelisierung</t>
  </si>
  <si>
    <t>Rückruf/Mail bzgl. Anliegen von Frau Rings</t>
  </si>
  <si>
    <t>Abklärung Status der Issues und der verbleibenden Kapazitäten von Maik und Wenzel</t>
  </si>
  <si>
    <t>OM, Michael: allgemeines (update)</t>
  </si>
  <si>
    <t>OM, Michael: Analyse Phänomen CreateCubes ignoriert RPM100 Produktionen</t>
  </si>
  <si>
    <t>Einbau eines umfangreicheren Loggings</t>
  </si>
  <si>
    <t>Konfiguration Resharper</t>
  </si>
  <si>
    <t>Konzept für QualiCheck</t>
  </si>
  <si>
    <t>Analyse StammdatenCheck</t>
  </si>
  <si>
    <t>52, 68</t>
  </si>
  <si>
    <t>OM, Michael: Konzepte QualiCheck und Parallelisierung ppService</t>
  </si>
  <si>
    <t>Start Implementierung QualiCheck</t>
  </si>
  <si>
    <t>Antwortmail Rückfrage Roland</t>
  </si>
  <si>
    <t>Fortsetzung Implementierung QualiCheck</t>
  </si>
  <si>
    <t>OM, Michael: Planung Arbeitspakete</t>
  </si>
  <si>
    <t>8, 9, 10</t>
  </si>
  <si>
    <t>Start Anpassung Excel-Export (Templates)</t>
  </si>
  <si>
    <t>Anpassung Excel-Export (kalkulatorseitig)</t>
  </si>
  <si>
    <t>Troubleshooting VPN-Verbindung</t>
  </si>
  <si>
    <t>OM, Michael: Analyse Problem Regio nach Merge-Konflikt (V 1.0.0.117)</t>
  </si>
  <si>
    <t>Test und BugFix devGlobalFeatures</t>
  </si>
  <si>
    <t>Tests und BugFix devGlobalFeatures + Mail an Herrn Baumgartner</t>
  </si>
  <si>
    <t>Telko mit Sandra zwecks Eindeutigkeit ReportId</t>
  </si>
  <si>
    <t>Recovery nach Merge-Konflikt (V 1.0.0.117)</t>
  </si>
  <si>
    <t>Tests und BugFix devGlobalFeatures</t>
  </si>
  <si>
    <t>Tests und letzte Bugfixes devGlobalFeatures; Mail an Baumgartner zwecks Installationstermin und vorbereitende Maßnahmen</t>
  </si>
  <si>
    <t>Fortsetzung und Test Implementierung QualiCheck</t>
  </si>
  <si>
    <t>OM, Michael: boxstarter/chocolatey</t>
  </si>
  <si>
    <t>Produktion, mnauelle Anpassungen und Auslieferung 11/15-Bericht</t>
  </si>
  <si>
    <t>Fertigstellung QualiCheck</t>
  </si>
  <si>
    <t>Start Stammdatencheck und Klärung Rückfragen</t>
  </si>
  <si>
    <t xml:space="preserve">Mail Baumgartner und Terminvereinbarung Schulung Januar </t>
  </si>
  <si>
    <t>Fortsetzung Implementierung StammdatenCheck</t>
  </si>
  <si>
    <t>Tests</t>
  </si>
  <si>
    <t>Tests und Fertigstellung Stammdatencheck</t>
  </si>
  <si>
    <t>OM, Michael: Installation Update</t>
  </si>
  <si>
    <t>OM, Michael und Fix: web.config-Parametrierung; Build-Automatisierung</t>
  </si>
  <si>
    <t>OM, Michael: Demo Boxstarter/Powershell</t>
  </si>
  <si>
    <t>Sprint-Planung Januar 2016</t>
  </si>
  <si>
    <t>Mail Baumgartner: Vorbereitung und Zeitplanung Installation</t>
  </si>
  <si>
    <t>Merge und Push initialer Stand aus PP2/pp3develop</t>
  </si>
  <si>
    <t>Systemabbild neues Notebook</t>
  </si>
  <si>
    <t>Einrichtung neues Notebook</t>
  </si>
  <si>
    <t>OM, Michael: Breefing Installation PP3</t>
  </si>
  <si>
    <t>OM, Michael: Breefing Benutzerrollen &amp; Installation Update</t>
  </si>
  <si>
    <t>Installation + Einrichtung Office und Outlook neues Notebook</t>
  </si>
  <si>
    <t>Mail an Jenny Müller und close Issue</t>
  </si>
  <si>
    <t>Mail an Frau Gaijar und close Issue</t>
  </si>
  <si>
    <t>Clone/Erstellung working copy aller Projekte auf neuem Notebook</t>
  </si>
  <si>
    <t>Start Umbenennungen/Re-Organisation Projekt-Struktur PP2 &gt; PP3</t>
  </si>
  <si>
    <t>Umbenennungen/Re-Organisation Projekt-Struktur PP2 &gt; PP3</t>
  </si>
  <si>
    <t>Mail an Frau Pechstein bzgl. Ergebnisse neueste UAT und Terminvereinbarung Besprechung</t>
  </si>
  <si>
    <t>Vorbereitung Installation Update (Test Ordner für MPTs)</t>
  </si>
  <si>
    <t>Installation PP3 auf ffmssql0016</t>
  </si>
  <si>
    <t>Anpassungen (Nutzerrollen, Version, etc) und Installation Update; Test MPT-Import und Rückfragen bei Baumgartner</t>
  </si>
  <si>
    <t>Import Prodplan von PP2 (201511) und fix sp_GetProductionDetailsForClientStudyMonth</t>
  </si>
  <si>
    <t>Anpassung QualiCheck-Log CountData</t>
  </si>
  <si>
    <t>68 (PP2)</t>
  </si>
  <si>
    <t>Anpassung Logo und Text in Kopfzeile auf der MainPage</t>
  </si>
  <si>
    <t>Konfiguration prod.config; Erstellung createArchiveProd  und Anpassung init-Skripte</t>
  </si>
  <si>
    <t>Support Sandra; Funktionsweise neuer ProductionToUnix-Export</t>
  </si>
  <si>
    <t>Reopen und Update Issue: Änderungswünsche Roland</t>
  </si>
  <si>
    <t>Anlage Issue (vgl. pp2/68)</t>
  </si>
  <si>
    <t>221, 222</t>
  </si>
  <si>
    <t>Liste fehlender Programme/Einstellungen für Boxstarter-Skript</t>
  </si>
  <si>
    <t>OM, Michael: Vorbesprechung TelKo Frau Pechstein</t>
  </si>
  <si>
    <t>OM, Michael: Lösung Problem MPT-Import (Temp-Folder)</t>
  </si>
  <si>
    <t>TelKo mit Frau Pechstein und Nachbesprechung</t>
  </si>
  <si>
    <t>Mail an Herrn Baumgartner bzgl. Schulungstermin</t>
  </si>
  <si>
    <t>Anlage Issue auf GitHub und Klärung von Rückfragen</t>
  </si>
  <si>
    <t>Check/Analyse Punkte 11) und 12) bzw. zugehörige Bsp.Kalkulationen und Mail an Frau Pechstein mit Zwischenstand</t>
  </si>
  <si>
    <t>Korrektur Berechnung ATC-Preis; = Punkt 13)</t>
  </si>
  <si>
    <t>OM, Michael: Review Änderungen Berechnung ATC-Preis</t>
  </si>
  <si>
    <t>Anpassungen ExportProductionsToUnixFolder und Installation Update</t>
  </si>
  <si>
    <t>Update verschiedener Issues auf GitHub</t>
  </si>
  <si>
    <t>Tests nach Fix Speichern/Laden</t>
  </si>
  <si>
    <t>Start Umsetzung Änderungswünsche Roland</t>
  </si>
  <si>
    <t>Schulung Herr Baumgartner und Klärung Missverständnis bzgl. Vermeintlich falscher Preise</t>
  </si>
  <si>
    <t>Fix Stammdatencheck: Erweiterung der Zugriffsrechte (ins. Netzlaufwerke) des WebServers</t>
  </si>
  <si>
    <t xml:space="preserve">Aufklärung Verwirrung seitens Sandra bzgl. Benennung des Stammdaten-Quellverzeichnisses </t>
  </si>
  <si>
    <t>*** Krank ***</t>
  </si>
  <si>
    <t>224, 225</t>
  </si>
  <si>
    <t>Erstellung Issues auf GitHub: Korrektur Berechnung Zusatzinformationen &amp; kalk. Variablen Rabatt</t>
  </si>
  <si>
    <t>Produktion, manuelle Anpassungen und Auslieferung QuickView 12/15-Bericht</t>
  </si>
  <si>
    <t>Hackday: Start Schulung Introduction to Powershell</t>
  </si>
  <si>
    <t>OM, Michael: allg. Update + Tagesplanung</t>
  </si>
  <si>
    <t>Sichtung und Ablage Mails; Update diverse Issues</t>
  </si>
  <si>
    <t>Anpassung des QualiChecks (qualicheck.compact.csv nur für SUHxxxx.dat und Erweiterung um Kopfzeile aus  prodliste.csv)</t>
  </si>
  <si>
    <t>Problemanalyse und Erstellung Issue (MPT-Import Specialty-Preisstaffel)</t>
  </si>
  <si>
    <t>Hackday: Schulung Introduction to Powershell</t>
  </si>
  <si>
    <t>Fix MPT-Import (Specialty-Preisstaffel)</t>
  </si>
  <si>
    <t>Merge PullRequest &amp; CleanUp; Mail an Roland bzgl. Installationszeitpunkt</t>
  </si>
  <si>
    <t>Vorbereitung Release Update (Merge PullRequest; CleanUp; Archive)</t>
  </si>
  <si>
    <t>OM, Michael &amp; Elke: allg. Update + Analyse Gehaltsabrechnung 01/16</t>
  </si>
  <si>
    <t>Erster Entwurf Konzept Service-Parallelisierung und Besprechung mit Michael</t>
  </si>
  <si>
    <t>Accessability/Screenreader: Erstellung Issue auf GitHub</t>
  </si>
  <si>
    <t>OM, Michael: allg. Update</t>
  </si>
  <si>
    <t>Überarbeitung Konzept Service-Parallelisierung</t>
  </si>
  <si>
    <t>Telefonat Frau Schwarz; allg. Rückfragen ihrerseits + Idee Strategieworkshop</t>
  </si>
  <si>
    <t>Analyse Frage Sandra und Erklärung per Mail</t>
  </si>
  <si>
    <t>Versuch Installation Update; Klärung Berechtigungen</t>
  </si>
  <si>
    <t>Installation Update und Benachrichtigung Fr. Schwarz/Hr. Sdunzig</t>
  </si>
  <si>
    <t>OM, Michael: allg. Update; Planung Hackday</t>
  </si>
  <si>
    <t>Code-Review; Refactoring; Tests; Installation Update</t>
  </si>
  <si>
    <t>Hackday: Demo psm1-Modul psftp; Demo nupkg sql server; Konzept PriceCalcDeployment</t>
  </si>
  <si>
    <t>Antwort an Frau Schwarz bzgl. Vorgehen bei Updates auf Produktionsserver</t>
  </si>
  <si>
    <t>Erstellung Issue auf GitHub: kalkulatorspezifische create/alterDB.bat-Files</t>
  </si>
  <si>
    <t>Sprint-Planung Februar 2016</t>
  </si>
  <si>
    <t>Analyse Problem mit R134SUPI; Erstellung Issue; Mail an Roland und Nachbesprechung mit Michael</t>
  </si>
  <si>
    <t>Erstellung Issue; Vorbesprechung und Durchführung TelKo mit Frau Schwarz</t>
  </si>
  <si>
    <t>Erstellung Issue; Vorbesprechung, Durchführung und Nachbesprechung TelKo mit Frau Schwarz</t>
  </si>
  <si>
    <t>Erstellung kalkulatorspezifische create/alterDB-.bat-Files</t>
  </si>
  <si>
    <t>Update SMP-Preise</t>
  </si>
  <si>
    <t>Sichtung und Kommentierung Deployment-Konzept</t>
  </si>
  <si>
    <t>Doku Branchstruktur im Wiki</t>
  </si>
  <si>
    <t>Doku Issue in Wiki</t>
  </si>
  <si>
    <t>Performance-Probleme PP2: Analyse, Bereinigung tblLog und Mails bzgl. Weiteres Vorgehen</t>
  </si>
  <si>
    <t>Update pp2Service nach Anpassungen am QualiCheck</t>
  </si>
  <si>
    <t>Aufwandsschätzung bzgl. Anpassung CheckForCubeCreation an Roland</t>
  </si>
  <si>
    <t>Installation Update (Aktualisierung SMP-Preise)</t>
  </si>
  <si>
    <t>Mail an Frau Schwarz bzgl. Strategie-Workshop</t>
  </si>
  <si>
    <t xml:space="preserve">Anpassung Entwicklungsumgebung </t>
  </si>
  <si>
    <t>Erstentwurf Folien Strategie-Workshop</t>
  </si>
  <si>
    <t>Hackday: Schulung Powershell Scripting for Developers</t>
  </si>
  <si>
    <t>OM, Michael: Wrap-Up Hackday</t>
  </si>
  <si>
    <t xml:space="preserve">OM, Michael: Konzept Deployment </t>
  </si>
  <si>
    <t>Start Programmierung Module PriceCalcDeployment.psm1 und Besprechung/Demo mit Michael</t>
  </si>
  <si>
    <t>Fertigstellung Erstentwurf Module PriceCalcDeployment.psm1 und Besprechung Integration in nuget-Package mit Michael</t>
  </si>
  <si>
    <t>Erstellung Issue auf Github: neue Sortierung der Monate im ProdDate-Filter</t>
  </si>
  <si>
    <t>Erstellung Issue auf Github: Fix SP für ReportingChart</t>
  </si>
  <si>
    <t>Aktualisierung Folien für Strategie-Workshop</t>
  </si>
  <si>
    <t>Aktualisierung Folien Service-Parallelisierung</t>
  </si>
  <si>
    <t>Erstellung Issue auf Github, Grobanalyse und Antwort an Alexander: neue Gebietsstruktur</t>
  </si>
  <si>
    <t>OM, Michael &amp; Elke: Besprechung Präsentation für Strategie-Workshop</t>
  </si>
  <si>
    <t>OM, Michael &amp; Elke: Besprechung Konzept/Vorgehen für Aufwandsschätzung bzw. Angebotserstellung</t>
  </si>
  <si>
    <t>Planung Arbeitspakete für 18.02.2016 (Zugfahrt)</t>
  </si>
  <si>
    <t>Erstellung Präsentation für Strategie-Workshop</t>
  </si>
  <si>
    <t>Überarbeitung Folien für Strategie-Workshop und Besprechnung mit Michael und Elke</t>
  </si>
  <si>
    <t>Reiseplanung/Zugbuchung Termin Frankfurt</t>
  </si>
  <si>
    <t>Überarbeitung Folien für Strategie-Workshop</t>
  </si>
  <si>
    <t>OM, Michael: Besprechung Folien Strategie-Workshop und Konzept ppService-Parallelisierung</t>
  </si>
  <si>
    <t>Implementierung chocolateyinstall.ps1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</si>
</sst>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yyyy"/>
    <numFmt numFmtId="165" formatCode="dd/mm/yy"/>
  </numFmts>
  <fonts count="17" x14ac:knownFonts="1">
    <font>
      <sz val="10"/>
      <name val="Arial"/>
    </font>
    <font>
      <b/>
      <sz val="16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545454"/>
      <name val="Calibri"/>
      <family val="2"/>
      <scheme val="minor"/>
    </font>
    <font>
      <b/>
      <sz val="11"/>
      <color rgb="FF545454"/>
      <name val="Calibri"/>
      <family val="2"/>
      <scheme val="minor"/>
    </font>
    <font>
      <b/>
      <sz val="8"/>
      <color rgb="FF9CB92D"/>
      <name val="Calibri"/>
      <family val="2"/>
      <scheme val="minor"/>
    </font>
    <font>
      <sz val="9"/>
      <color rgb="FF545454"/>
      <name val="Calibri"/>
      <family val="2"/>
      <scheme val="minor"/>
    </font>
    <font>
      <b/>
      <sz val="16"/>
      <color rgb="FF9CB92D"/>
      <name val="Calibri"/>
      <family val="2"/>
      <scheme val="minor"/>
    </font>
    <font>
      <sz val="12"/>
      <color rgb="FF545454"/>
      <name val="Calibri"/>
      <family val="2"/>
      <scheme val="minor"/>
    </font>
    <font>
      <sz val="12"/>
      <name val="Calibri"/>
      <family val="2"/>
      <scheme val="minor"/>
    </font>
    <font>
      <b/>
      <sz val="9"/>
      <color rgb="FF545454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9"/>
      <color rgb="FF545454"/>
      <name val="Calibri"/>
      <family val="2"/>
      <scheme val="minor"/>
    </font>
    <font>
      <sz val="10"/>
      <color theme="1"/>
      <name val="Arial"/>
      <family val="2"/>
    </font>
    <font>
      <sz val="9"/>
      <color rgb="FF545454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21"/>
      </patternFill>
    </fill>
    <fill>
      <patternFill patternType="solid">
        <fgColor rgb="FF5454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quotePrefix="1"/>
    <xf numFmtId="0" fontId="2" fillId="2" borderId="0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4" xfId="0" quotePrefix="1" applyBorder="1"/>
    <xf numFmtId="0" fontId="0" fillId="0" borderId="0" xfId="0" quotePrefix="1" applyBorder="1"/>
    <xf numFmtId="0" fontId="0" fillId="0" borderId="0" xfId="0" applyFill="1" applyAlignment="1">
      <alignment horizontal="left"/>
    </xf>
    <xf numFmtId="0" fontId="0" fillId="0" borderId="0" xfId="0" applyFill="1"/>
    <xf numFmtId="0" fontId="1" fillId="0" borderId="0" xfId="0" applyFont="1" applyFill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left" vertical="center"/>
    </xf>
    <xf numFmtId="0" fontId="3" fillId="0" borderId="0" xfId="0" applyFont="1"/>
    <xf numFmtId="0" fontId="6" fillId="0" borderId="0" xfId="0" applyFont="1" applyFill="1" applyAlignment="1">
      <alignment horizontal="left" vertical="center"/>
    </xf>
    <xf numFmtId="164" fontId="6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2" fillId="0" borderId="0" xfId="0" applyFont="1" applyAlignment="1">
      <alignment vertical="center"/>
    </xf>
    <xf numFmtId="0" fontId="8" fillId="0" borderId="0" xfId="0" applyFont="1" applyAlignment="1"/>
    <xf numFmtId="0" fontId="9" fillId="0" borderId="0" xfId="0" applyFont="1" applyFill="1" applyAlignment="1">
      <alignment vertical="top" wrapText="1"/>
    </xf>
    <xf numFmtId="0" fontId="10" fillId="0" borderId="0" xfId="0" applyFont="1" applyFill="1" applyAlignment="1">
      <alignment horizontal="left" vertical="center"/>
    </xf>
    <xf numFmtId="17" fontId="10" fillId="0" borderId="0" xfId="0" quotePrefix="1" applyNumberFormat="1" applyFont="1" applyFill="1" applyAlignment="1">
      <alignment horizontal="left" vertical="center"/>
    </xf>
    <xf numFmtId="17" fontId="11" fillId="0" borderId="0" xfId="0" quotePrefix="1" applyNumberFormat="1" applyFont="1" applyFill="1" applyAlignment="1">
      <alignment horizontal="left" vertical="center"/>
    </xf>
    <xf numFmtId="0" fontId="0" fillId="6" borderId="0" xfId="0" applyFill="1"/>
    <xf numFmtId="0" fontId="0" fillId="6" borderId="0" xfId="0" applyFill="1" applyAlignment="1">
      <alignment horizontal="left"/>
    </xf>
    <xf numFmtId="14" fontId="0" fillId="0" borderId="0" xfId="0" applyNumberFormat="1"/>
    <xf numFmtId="0" fontId="7" fillId="5" borderId="0" xfId="0" applyFont="1" applyFill="1" applyBorder="1" applyAlignment="1">
      <alignment horizontal="center" vertical="center" wrapText="1"/>
    </xf>
    <xf numFmtId="14" fontId="8" fillId="0" borderId="0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left" vertical="center" wrapText="1"/>
    </xf>
    <xf numFmtId="0" fontId="8" fillId="7" borderId="0" xfId="0" applyFont="1" applyFill="1" applyBorder="1" applyAlignment="1">
      <alignment vertical="center"/>
    </xf>
    <xf numFmtId="14" fontId="14" fillId="0" borderId="0" xfId="0" applyNumberFormat="1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 wrapText="1"/>
    </xf>
    <xf numFmtId="0" fontId="15" fillId="4" borderId="0" xfId="0" applyFont="1" applyFill="1" applyBorder="1"/>
    <xf numFmtId="0" fontId="15" fillId="3" borderId="0" xfId="0" applyFont="1" applyFill="1" applyBorder="1"/>
    <xf numFmtId="0" fontId="15" fillId="3" borderId="0" xfId="0" quotePrefix="1" applyFont="1" applyFill="1" applyBorder="1"/>
    <xf numFmtId="0" fontId="3" fillId="0" borderId="1" xfId="0" applyFont="1" applyBorder="1"/>
    <xf numFmtId="0" fontId="3" fillId="0" borderId="0" xfId="0" quotePrefix="1" applyFont="1"/>
    <xf numFmtId="0" fontId="3" fillId="0" borderId="0" xfId="0" quotePrefix="1" applyFont="1" applyBorder="1"/>
    <xf numFmtId="0" fontId="3" fillId="0" borderId="0" xfId="0" applyFont="1" applyBorder="1"/>
    <xf numFmtId="14" fontId="16" fillId="0" borderId="0" xfId="0" applyNumberFormat="1" applyFont="1" applyFill="1" applyAlignment="1">
      <alignment vertical="center"/>
    </xf>
    <xf numFmtId="0" fontId="16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left" vertical="center" wrapText="1"/>
    </xf>
    <xf numFmtId="0" fontId="0" fillId="0" borderId="0" xfId="0" quotePrefix="1" applyFont="1"/>
    <xf numFmtId="0" fontId="0" fillId="0" borderId="0" xfId="0" quotePrefix="1" applyFont="1" applyBorder="1"/>
    <xf numFmtId="14" fontId="16" fillId="0" borderId="0" xfId="0" applyNumberFormat="1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14" fontId="16" fillId="8" borderId="0" xfId="0" applyNumberFormat="1" applyFont="1" applyFill="1" applyAlignment="1">
      <alignment vertical="center"/>
    </xf>
    <xf numFmtId="0" fontId="16" fillId="8" borderId="0" xfId="0" applyFont="1" applyFill="1" applyAlignment="1">
      <alignment horizontal="center" vertical="center"/>
    </xf>
    <xf numFmtId="0" fontId="16" fillId="8" borderId="0" xfId="0" applyFont="1" applyFill="1" applyAlignment="1">
      <alignment vertical="center"/>
    </xf>
    <xf numFmtId="0" fontId="16" fillId="8" borderId="0" xfId="0" applyFont="1" applyFill="1" applyAlignment="1">
      <alignment horizontal="left" vertical="center"/>
    </xf>
    <xf numFmtId="0" fontId="16" fillId="8" borderId="0" xfId="0" applyFont="1" applyFill="1" applyAlignment="1">
      <alignment horizontal="left" vertical="center" wrapText="1"/>
    </xf>
    <xf numFmtId="16" fontId="16" fillId="0" borderId="0" xfId="0" applyNumberFormat="1" applyFont="1" applyFill="1" applyAlignment="1">
      <alignment horizontal="left" vertical="center"/>
    </xf>
    <xf numFmtId="165" fontId="16" fillId="0" borderId="0" xfId="0" applyNumberFormat="1" applyFont="1" applyFill="1" applyAlignment="1">
      <alignment vertical="center"/>
    </xf>
    <xf numFmtId="0" fontId="5" fillId="0" borderId="0" xfId="0" applyFont="1" applyFill="1" applyAlignment="1">
      <alignment horizontal="left" vertical="center" wrapText="1"/>
    </xf>
    <xf numFmtId="0" fontId="6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top" wrapText="1"/>
    </xf>
    <xf numFmtId="1" fontId="13" fillId="0" borderId="0" xfId="0" quotePrefix="1" applyNumberFormat="1" applyFont="1" applyFill="1" applyAlignment="1">
      <alignment horizontal="center" vertical="center"/>
    </xf>
  </cellXfs>
  <cellStyles count="1">
    <cellStyle name="Standard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165" formatCode="dd/mm/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bottom style="medium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outline="0">
        <bottom style="medium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9CB92D"/>
        <name val="Calibri"/>
        <scheme val="minor"/>
      </font>
      <fill>
        <patternFill patternType="solid">
          <fgColor indexed="21"/>
          <bgColor theme="0"/>
        </patternFill>
      </fill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45454"/>
      <color rgb="FF9CB92D"/>
      <color rgb="FFE8E8E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513587</xdr:colOff>
      <xdr:row>0</xdr:row>
      <xdr:rowOff>160020</xdr:rowOff>
    </xdr:from>
    <xdr:to>
      <xdr:col>10</xdr:col>
      <xdr:colOff>65533</xdr:colOff>
      <xdr:row>1</xdr:row>
      <xdr:rowOff>182880</xdr:rowOff>
    </xdr:to>
    <xdr:sp macro="" textlink="">
      <xdr:nvSpPr>
        <xdr:cNvPr id="10" name="Textfeld 9"/>
        <xdr:cNvSpPr txBox="1"/>
      </xdr:nvSpPr>
      <xdr:spPr>
        <a:xfrm>
          <a:off x="7600187" y="160020"/>
          <a:ext cx="2447546" cy="6038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Inhaber Dipl.-Ing. Michael Wolff</a:t>
          </a:r>
        </a:p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Egelseestraße 2 • 76228 Karlsruhe</a:t>
          </a:r>
          <a:endParaRPr lang="de-DE" sz="24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358112</xdr:rowOff>
    </xdr:from>
    <xdr:to>
      <xdr:col>13</xdr:col>
      <xdr:colOff>7620</xdr:colOff>
      <xdr:row>1</xdr:row>
      <xdr:rowOff>624840</xdr:rowOff>
    </xdr:to>
    <xdr:pic>
      <xdr:nvPicPr>
        <xdr:cNvPr id="20" name="Grafik 1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8112"/>
          <a:ext cx="8199120" cy="845848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</xdr:colOff>
      <xdr:row>0</xdr:row>
      <xdr:rowOff>143855</xdr:rowOff>
    </xdr:from>
    <xdr:to>
      <xdr:col>3</xdr:col>
      <xdr:colOff>710565</xdr:colOff>
      <xdr:row>1</xdr:row>
      <xdr:rowOff>38072</xdr:rowOff>
    </xdr:to>
    <xdr:pic>
      <xdr:nvPicPr>
        <xdr:cNvPr id="21" name="Grafik 20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43855"/>
          <a:ext cx="1762125" cy="473337"/>
        </a:xfrm>
        <a:prstGeom prst="rect">
          <a:avLst/>
        </a:prstGeom>
      </xdr:spPr>
    </xdr:pic>
    <xdr:clientData/>
  </xdr:twoCellAnchor>
  <xdr:twoCellAnchor>
    <xdr:from>
      <xdr:col>5</xdr:col>
      <xdr:colOff>1821180</xdr:colOff>
      <xdr:row>0</xdr:row>
      <xdr:rowOff>121892</xdr:rowOff>
    </xdr:from>
    <xdr:to>
      <xdr:col>5</xdr:col>
      <xdr:colOff>3036570</xdr:colOff>
      <xdr:row>1</xdr:row>
      <xdr:rowOff>144752</xdr:rowOff>
    </xdr:to>
    <xdr:sp macro="" textlink="">
      <xdr:nvSpPr>
        <xdr:cNvPr id="22" name="Textfeld 21"/>
        <xdr:cNvSpPr txBox="1"/>
      </xdr:nvSpPr>
      <xdr:spPr>
        <a:xfrm>
          <a:off x="7399020" y="121892"/>
          <a:ext cx="1215390" cy="60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info@cognovo.de </a:t>
          </a:r>
        </a:p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www.cognovo.de</a:t>
          </a:r>
          <a:endParaRPr lang="de-DE" sz="16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</xdr:colOff>
      <xdr:row>0</xdr:row>
      <xdr:rowOff>121892</xdr:rowOff>
    </xdr:from>
    <xdr:to>
      <xdr:col>11</xdr:col>
      <xdr:colOff>739140</xdr:colOff>
      <xdr:row>1</xdr:row>
      <xdr:rowOff>144752</xdr:rowOff>
    </xdr:to>
    <xdr:sp macro="" textlink="">
      <xdr:nvSpPr>
        <xdr:cNvPr id="23" name="Textfeld 22"/>
        <xdr:cNvSpPr txBox="1"/>
      </xdr:nvSpPr>
      <xdr:spPr>
        <a:xfrm>
          <a:off x="4747260" y="121892"/>
          <a:ext cx="1432560" cy="60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+49 721 5979389   </a:t>
          </a:r>
        </a:p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+49 170 3445286</a:t>
          </a:r>
          <a:endParaRPr lang="de-DE" sz="16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11</xdr:col>
      <xdr:colOff>693420</xdr:colOff>
      <xdr:row>0</xdr:row>
      <xdr:rowOff>259052</xdr:rowOff>
    </xdr:from>
    <xdr:to>
      <xdr:col>11</xdr:col>
      <xdr:colOff>815340</xdr:colOff>
      <xdr:row>0</xdr:row>
      <xdr:rowOff>380972</xdr:rowOff>
    </xdr:to>
    <xdr:pic>
      <xdr:nvPicPr>
        <xdr:cNvPr id="24" name="Grafik 2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59052"/>
          <a:ext cx="121920" cy="121920"/>
        </a:xfrm>
        <a:prstGeom prst="rect">
          <a:avLst/>
        </a:prstGeom>
      </xdr:spPr>
    </xdr:pic>
    <xdr:clientData/>
  </xdr:twoCellAnchor>
  <xdr:twoCellAnchor editAs="oneCell">
    <xdr:from>
      <xdr:col>11</xdr:col>
      <xdr:colOff>693420</xdr:colOff>
      <xdr:row>0</xdr:row>
      <xdr:rowOff>464792</xdr:rowOff>
    </xdr:from>
    <xdr:to>
      <xdr:col>11</xdr:col>
      <xdr:colOff>815820</xdr:colOff>
      <xdr:row>1</xdr:row>
      <xdr:rowOff>8072</xdr:rowOff>
    </xdr:to>
    <xdr:pic>
      <xdr:nvPicPr>
        <xdr:cNvPr id="25" name="Grafik 2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64792"/>
          <a:ext cx="122400" cy="12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2348865</xdr:colOff>
      <xdr:row>0</xdr:row>
      <xdr:rowOff>266672</xdr:rowOff>
    </xdr:from>
    <xdr:to>
      <xdr:col>11</xdr:col>
      <xdr:colOff>2471265</xdr:colOff>
      <xdr:row>0</xdr:row>
      <xdr:rowOff>389072</xdr:rowOff>
    </xdr:to>
    <xdr:pic>
      <xdr:nvPicPr>
        <xdr:cNvPr id="26" name="Grafik 2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9545" y="266672"/>
          <a:ext cx="122400" cy="12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2348865</xdr:colOff>
      <xdr:row>0</xdr:row>
      <xdr:rowOff>472412</xdr:rowOff>
    </xdr:from>
    <xdr:to>
      <xdr:col>11</xdr:col>
      <xdr:colOff>2471265</xdr:colOff>
      <xdr:row>1</xdr:row>
      <xdr:rowOff>15692</xdr:rowOff>
    </xdr:to>
    <xdr:pic>
      <xdr:nvPicPr>
        <xdr:cNvPr id="27" name="Grafik 2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9545" y="472412"/>
          <a:ext cx="122400" cy="122400"/>
        </a:xfrm>
        <a:prstGeom prst="rect">
          <a:avLst/>
        </a:prstGeom>
      </xdr:spPr>
    </xdr:pic>
    <xdr:clientData/>
  </xdr:twoCellAnchor>
  <xdr:twoCellAnchor>
    <xdr:from>
      <xdr:col>8</xdr:col>
      <xdr:colOff>513587</xdr:colOff>
      <xdr:row>0</xdr:row>
      <xdr:rowOff>160020</xdr:rowOff>
    </xdr:from>
    <xdr:to>
      <xdr:col>10</xdr:col>
      <xdr:colOff>65533</xdr:colOff>
      <xdr:row>1</xdr:row>
      <xdr:rowOff>182880</xdr:rowOff>
    </xdr:to>
    <xdr:sp macro="" textlink="">
      <xdr:nvSpPr>
        <xdr:cNvPr id="28" name="Textfeld 27"/>
        <xdr:cNvSpPr txBox="1"/>
      </xdr:nvSpPr>
      <xdr:spPr>
        <a:xfrm>
          <a:off x="7600187" y="160020"/>
          <a:ext cx="2447546" cy="6038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Inhaber Dipl.-Ing. Michael Wolff</a:t>
          </a:r>
        </a:p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Egelseestraße 2 • 76228 Karlsruhe</a:t>
          </a:r>
          <a:endParaRPr lang="de-DE" sz="24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304800</xdr:colOff>
      <xdr:row>0</xdr:row>
      <xdr:rowOff>121920</xdr:rowOff>
    </xdr:from>
    <xdr:to>
      <xdr:col>5</xdr:col>
      <xdr:colOff>992126</xdr:colOff>
      <xdr:row>1</xdr:row>
      <xdr:rowOff>144780</xdr:rowOff>
    </xdr:to>
    <xdr:sp macro="" textlink="">
      <xdr:nvSpPr>
        <xdr:cNvPr id="29" name="Textfeld 28"/>
        <xdr:cNvSpPr txBox="1"/>
      </xdr:nvSpPr>
      <xdr:spPr>
        <a:xfrm>
          <a:off x="2712720" y="121920"/>
          <a:ext cx="2470406" cy="60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Inhaber Dipl.-Ing. Michael Wolff</a:t>
          </a:r>
        </a:p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Egelseestraße 2 • 76228 Karlsruhe</a:t>
          </a:r>
          <a:endParaRPr lang="de-DE" sz="24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883920</xdr:colOff>
      <xdr:row>0</xdr:row>
      <xdr:rowOff>121920</xdr:rowOff>
    </xdr:from>
    <xdr:to>
      <xdr:col>11</xdr:col>
      <xdr:colOff>2377440</xdr:colOff>
      <xdr:row>1</xdr:row>
      <xdr:rowOff>144780</xdr:rowOff>
    </xdr:to>
    <xdr:sp macro="" textlink="">
      <xdr:nvSpPr>
        <xdr:cNvPr id="30" name="Textfeld 29"/>
        <xdr:cNvSpPr txBox="1"/>
      </xdr:nvSpPr>
      <xdr:spPr>
        <a:xfrm>
          <a:off x="6324600" y="121920"/>
          <a:ext cx="1493520" cy="60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info@cognovo.de </a:t>
          </a:r>
        </a:p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www.cognovo.de</a:t>
          </a:r>
          <a:endParaRPr lang="de-DE" sz="1600" b="0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9" name="Tabelle9" displayName="Tabelle9" ref="B9:L1500" totalsRowShown="0" headerRowDxfId="15" dataDxfId="13" headerRowBorderDxfId="14" tableBorderDxfId="12">
  <autoFilter ref="B9:L1500"/>
  <tableColumns count="11">
    <tableColumn id="1" name="Datum" dataDxfId="11"/>
    <tableColumn id="2" name="Std." dataDxfId="10"/>
    <tableColumn id="3" name="Projekt-Code" dataDxfId="9"/>
    <tableColumn id="4" name="Projektbezeichnung" dataDxfId="8">
      <calculatedColumnFormula>VLOOKUP(D10,tblProjekt[],2,FALSE)</calculatedColumnFormula>
    </tableColumn>
    <tableColumn id="5" name="GitHub Issue #" dataDxfId="7"/>
    <tableColumn id="6" name="Spalte1" dataDxfId="6"/>
    <tableColumn id="7" name="Spalte2" dataDxfId="5"/>
    <tableColumn id="8" name="Spalte3" dataDxfId="4"/>
    <tableColumn id="9" name="Spalte4" dataDxfId="3"/>
    <tableColumn id="10" name="Spalte5" dataDxfId="2"/>
    <tableColumn id="11" name="Durchgeführte Tätigkeit" dataDxfId="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blProjekt" displayName="tblProjekt" ref="A3:C69" totalsRowShown="0">
  <autoFilter ref="A3:C69"/>
  <sortState ref="A4:F36">
    <sortCondition ref="A3:A37"/>
  </sortState>
  <tableColumns count="3">
    <tableColumn id="1" name="Projekt Code"/>
    <tableColumn id="2" name="Projektname"/>
    <tableColumn id="3" name="PurchaseOrderNumbe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Q1500"/>
  <sheetViews>
    <sheetView showGridLines="0" tabSelected="1" zoomScale="115" zoomScaleNormal="115" zoomScalePageLayoutView="115" workbookViewId="0">
      <pane ySplit="9" topLeftCell="A1254" activePane="bottomLeft" state="frozen"/>
      <selection pane="bottomLeft" activeCell="B1263" sqref="B1263"/>
    </sheetView>
  </sheetViews>
  <sheetFormatPr baseColWidth="10" defaultRowHeight="12.75" x14ac:dyDescent="0.2"/>
  <cols>
    <col min="1" max="1" width="3.28515625" customWidth="1"/>
    <col min="2" max="2" width="9.7109375" style="30" customWidth="1"/>
    <col min="3" max="3" width="6.42578125" customWidth="1"/>
    <col min="4" max="4" width="16.7109375" customWidth="1"/>
    <col min="5" max="5" width="26.7109375" style="4" customWidth="1"/>
    <col min="6" max="6" width="18.7109375" customWidth="1"/>
    <col min="7" max="7" width="33.140625" style="4" hidden="1" customWidth="1"/>
    <col min="8" max="8" width="18.28515625" style="4" hidden="1" customWidth="1"/>
    <col min="9" max="11" width="16" style="4" hidden="1" customWidth="1"/>
    <col min="12" max="12" width="38" customWidth="1"/>
    <col min="13" max="13" width="3.140625" customWidth="1"/>
  </cols>
  <sheetData>
    <row r="1" spans="1:17" ht="45.75" customHeight="1" x14ac:dyDescent="0.2">
      <c r="A1" s="28"/>
      <c r="B1" s="28"/>
      <c r="C1" s="28"/>
      <c r="D1" s="28"/>
      <c r="E1" s="29"/>
      <c r="F1" s="29"/>
      <c r="G1" s="28"/>
      <c r="H1" s="29"/>
      <c r="I1" s="29"/>
      <c r="J1" s="29"/>
      <c r="K1" s="29"/>
      <c r="L1" s="29"/>
      <c r="M1" s="29"/>
      <c r="N1" s="10"/>
      <c r="O1" s="11"/>
      <c r="P1" s="11"/>
      <c r="Q1" s="11"/>
    </row>
    <row r="2" spans="1:17" ht="60" customHeight="1" x14ac:dyDescent="0.2">
      <c r="B2"/>
      <c r="C2" s="12"/>
      <c r="D2" s="13"/>
      <c r="E2" s="14"/>
      <c r="F2" s="13"/>
      <c r="G2" s="13"/>
      <c r="L2" s="4"/>
      <c r="M2" s="4"/>
      <c r="N2" s="4"/>
      <c r="P2" s="15" t="s">
        <v>72</v>
      </c>
    </row>
    <row r="3" spans="1:17" ht="49.5" customHeight="1" x14ac:dyDescent="0.2">
      <c r="B3" s="76" t="s">
        <v>70</v>
      </c>
      <c r="C3" s="76"/>
      <c r="D3" s="76"/>
      <c r="E3" s="76"/>
      <c r="F3" s="24"/>
      <c r="L3" s="4"/>
      <c r="M3" s="4"/>
    </row>
    <row r="4" spans="1:17" ht="14.25" customHeight="1" x14ac:dyDescent="0.25">
      <c r="B4" s="74" t="s">
        <v>73</v>
      </c>
      <c r="C4" s="74"/>
      <c r="D4" s="75" t="s">
        <v>74</v>
      </c>
      <c r="E4" s="75"/>
      <c r="F4" s="20" t="s">
        <v>3</v>
      </c>
      <c r="G4" s="17">
        <v>41852</v>
      </c>
      <c r="K4" s="18" t="s">
        <v>72</v>
      </c>
      <c r="L4" s="17">
        <v>42401</v>
      </c>
      <c r="M4" s="4"/>
    </row>
    <row r="5" spans="1:17" ht="15" customHeight="1" x14ac:dyDescent="0.25">
      <c r="B5" s="19" t="s">
        <v>2</v>
      </c>
      <c r="C5" s="20"/>
      <c r="D5" s="75" t="s">
        <v>87</v>
      </c>
      <c r="E5" s="75"/>
      <c r="F5" s="20" t="s">
        <v>75</v>
      </c>
      <c r="G5" s="21">
        <f>SUM(C8:C112)</f>
        <v>136</v>
      </c>
      <c r="L5" s="21">
        <f>SUM(C1213:C1403)</f>
        <v>67.25</v>
      </c>
      <c r="M5" s="4"/>
    </row>
    <row r="6" spans="1:17" ht="24.75" customHeight="1" x14ac:dyDescent="0.2">
      <c r="B6" s="25"/>
      <c r="C6" s="25"/>
      <c r="D6" s="26"/>
      <c r="E6" s="27"/>
      <c r="F6" s="27"/>
    </row>
    <row r="7" spans="1:17" ht="18.75" customHeight="1" x14ac:dyDescent="0.2">
      <c r="B7" s="16"/>
      <c r="C7" s="16"/>
      <c r="D7" s="77" t="s">
        <v>77</v>
      </c>
      <c r="E7" s="77"/>
      <c r="F7" s="77"/>
    </row>
    <row r="8" spans="1:17" ht="20.25" customHeight="1" x14ac:dyDescent="0.2">
      <c r="B8" s="22"/>
      <c r="C8" s="23"/>
      <c r="D8" s="23"/>
      <c r="E8" s="23"/>
      <c r="F8" s="23"/>
    </row>
    <row r="9" spans="1:17" ht="20.25" customHeight="1" x14ac:dyDescent="0.2">
      <c r="B9" s="31" t="s">
        <v>0</v>
      </c>
      <c r="C9" s="31" t="s">
        <v>76</v>
      </c>
      <c r="D9" s="31" t="s">
        <v>1</v>
      </c>
      <c r="E9" s="31" t="s">
        <v>8</v>
      </c>
      <c r="F9" s="31" t="s">
        <v>212</v>
      </c>
      <c r="G9" s="31" t="s">
        <v>199</v>
      </c>
      <c r="H9" s="31" t="s">
        <v>200</v>
      </c>
      <c r="I9" s="31" t="s">
        <v>201</v>
      </c>
      <c r="J9" s="31" t="s">
        <v>202</v>
      </c>
      <c r="K9" s="31" t="s">
        <v>203</v>
      </c>
      <c r="L9" s="31" t="s">
        <v>71</v>
      </c>
    </row>
    <row r="10" spans="1:17" x14ac:dyDescent="0.2">
      <c r="B10" s="32">
        <v>41883</v>
      </c>
      <c r="C10" s="33">
        <v>4</v>
      </c>
      <c r="D10" s="34" t="s">
        <v>84</v>
      </c>
      <c r="E10" s="34" t="str">
        <f>VLOOKUP(D10,tblProjekt[],2,FALSE)</f>
        <v>Infrastruktur cognovo</v>
      </c>
      <c r="F10" s="39"/>
      <c r="G10" s="35"/>
      <c r="H10" s="35"/>
      <c r="I10" s="35"/>
      <c r="J10" s="35"/>
      <c r="K10" s="35"/>
      <c r="L10" s="40" t="s">
        <v>88</v>
      </c>
    </row>
    <row r="11" spans="1:17" x14ac:dyDescent="0.2">
      <c r="B11" s="32">
        <v>41884</v>
      </c>
      <c r="C11" s="33">
        <v>4</v>
      </c>
      <c r="D11" s="34" t="s">
        <v>84</v>
      </c>
      <c r="E11" s="34" t="str">
        <f>VLOOKUP(D11,tblProjekt[],2,FALSE)</f>
        <v>Infrastruktur cognovo</v>
      </c>
      <c r="F11" s="39"/>
      <c r="G11" s="35"/>
      <c r="H11" s="35"/>
      <c r="I11" s="35"/>
      <c r="J11" s="35"/>
      <c r="K11" s="35"/>
      <c r="L11" s="40" t="s">
        <v>88</v>
      </c>
    </row>
    <row r="12" spans="1:17" x14ac:dyDescent="0.2">
      <c r="B12" s="32">
        <v>41885</v>
      </c>
      <c r="C12" s="33">
        <v>4</v>
      </c>
      <c r="D12" s="34" t="s">
        <v>84</v>
      </c>
      <c r="E12" s="34" t="str">
        <f>VLOOKUP(D12,tblProjekt[],2,FALSE)</f>
        <v>Infrastruktur cognovo</v>
      </c>
      <c r="F12" s="39"/>
      <c r="G12" s="35"/>
      <c r="H12" s="35"/>
      <c r="I12" s="35"/>
      <c r="J12" s="35"/>
      <c r="K12" s="35"/>
      <c r="L12" s="40" t="s">
        <v>88</v>
      </c>
    </row>
    <row r="13" spans="1:17" x14ac:dyDescent="0.2">
      <c r="B13" s="32">
        <v>41886</v>
      </c>
      <c r="C13" s="33">
        <v>4</v>
      </c>
      <c r="D13" s="34" t="s">
        <v>84</v>
      </c>
      <c r="E13" s="34" t="str">
        <f>VLOOKUP(D13,tblProjekt[],2,FALSE)</f>
        <v>Infrastruktur cognovo</v>
      </c>
      <c r="F13" s="39"/>
      <c r="G13" s="35"/>
      <c r="H13" s="35"/>
      <c r="I13" s="35"/>
      <c r="J13" s="35"/>
      <c r="K13" s="35"/>
      <c r="L13" s="40" t="s">
        <v>88</v>
      </c>
    </row>
    <row r="14" spans="1:17" x14ac:dyDescent="0.2">
      <c r="B14" s="32">
        <v>41887</v>
      </c>
      <c r="C14" s="33">
        <v>4</v>
      </c>
      <c r="D14" s="34" t="s">
        <v>84</v>
      </c>
      <c r="E14" s="34" t="str">
        <f>VLOOKUP(D14,tblProjekt[],2,FALSE)</f>
        <v>Infrastruktur cognovo</v>
      </c>
      <c r="F14" s="39"/>
      <c r="G14" s="35"/>
      <c r="H14" s="35"/>
      <c r="I14" s="35"/>
      <c r="J14" s="35"/>
      <c r="K14" s="35"/>
      <c r="L14" s="40" t="s">
        <v>88</v>
      </c>
    </row>
    <row r="15" spans="1:17" ht="24" x14ac:dyDescent="0.2">
      <c r="B15" s="32">
        <v>41890</v>
      </c>
      <c r="C15" s="33">
        <v>1</v>
      </c>
      <c r="D15" s="34" t="s">
        <v>84</v>
      </c>
      <c r="E15" s="34" t="str">
        <f>VLOOKUP(D15,tblProjekt[],2,FALSE)</f>
        <v>Infrastruktur cognovo</v>
      </c>
      <c r="F15" s="39"/>
      <c r="G15" s="35"/>
      <c r="H15" s="35"/>
      <c r="I15" s="35"/>
      <c r="J15" s="35"/>
      <c r="K15" s="35"/>
      <c r="L15" s="40" t="s">
        <v>89</v>
      </c>
    </row>
    <row r="16" spans="1:17" ht="24" x14ac:dyDescent="0.2">
      <c r="B16" s="32">
        <v>41892</v>
      </c>
      <c r="C16" s="33">
        <v>1</v>
      </c>
      <c r="D16" s="34" t="s">
        <v>84</v>
      </c>
      <c r="E16" s="34" t="str">
        <f>VLOOKUP(D16,tblProjekt[],2,FALSE)</f>
        <v>Infrastruktur cognovo</v>
      </c>
      <c r="F16" s="39"/>
      <c r="G16" s="35"/>
      <c r="H16" s="35"/>
      <c r="I16" s="35"/>
      <c r="J16" s="35"/>
      <c r="K16" s="35"/>
      <c r="L16" s="40" t="s">
        <v>90</v>
      </c>
    </row>
    <row r="17" spans="2:12" ht="24" x14ac:dyDescent="0.2">
      <c r="B17" s="32">
        <v>41892</v>
      </c>
      <c r="C17" s="33">
        <v>2</v>
      </c>
      <c r="D17" s="34" t="s">
        <v>68</v>
      </c>
      <c r="E17" s="34" t="str">
        <f>VLOOKUP(D17,tblProjekt[],2,FALSE)</f>
        <v>L'Oreal Synthese, Flash + UGK</v>
      </c>
      <c r="F17" s="39"/>
      <c r="G17" s="35"/>
      <c r="H17" s="35"/>
      <c r="I17" s="35"/>
      <c r="J17" s="35"/>
      <c r="K17" s="35"/>
      <c r="L17" s="40" t="s">
        <v>91</v>
      </c>
    </row>
    <row r="18" spans="2:12" ht="24" x14ac:dyDescent="0.2">
      <c r="B18" s="32">
        <v>41892</v>
      </c>
      <c r="C18" s="33">
        <v>1</v>
      </c>
      <c r="D18" s="34" t="s">
        <v>43</v>
      </c>
      <c r="E18" s="34" t="str">
        <f>VLOOKUP(D18,tblProjekt[],2,FALSE)</f>
        <v>DPMPSN Calculator</v>
      </c>
      <c r="F18" s="39"/>
      <c r="G18" s="35"/>
      <c r="H18" s="35"/>
      <c r="I18" s="35"/>
      <c r="J18" s="35"/>
      <c r="K18" s="35"/>
      <c r="L18" s="40" t="s">
        <v>92</v>
      </c>
    </row>
    <row r="19" spans="2:12" ht="24" x14ac:dyDescent="0.2">
      <c r="B19" s="32">
        <v>41892</v>
      </c>
      <c r="C19" s="33">
        <v>1</v>
      </c>
      <c r="D19" s="34" t="s">
        <v>35</v>
      </c>
      <c r="E19" s="34" t="str">
        <f>VLOOKUP(D19,tblProjekt[],2,FALSE)</f>
        <v>NPA Calculator</v>
      </c>
      <c r="F19" s="39"/>
      <c r="G19" s="35"/>
      <c r="H19" s="35"/>
      <c r="I19" s="35"/>
      <c r="J19" s="35"/>
      <c r="K19" s="35"/>
      <c r="L19" s="40" t="s">
        <v>92</v>
      </c>
    </row>
    <row r="20" spans="2:12" ht="24" x14ac:dyDescent="0.2">
      <c r="B20" s="32">
        <v>41892</v>
      </c>
      <c r="C20" s="33">
        <v>1</v>
      </c>
      <c r="D20" s="34" t="s">
        <v>29</v>
      </c>
      <c r="E20" s="34" t="str">
        <f>VLOOKUP(D20,tblProjekt[],2,FALSE)</f>
        <v>CM Calculator</v>
      </c>
      <c r="F20" s="39"/>
      <c r="G20" s="35"/>
      <c r="H20" s="35"/>
      <c r="I20" s="35"/>
      <c r="J20" s="35"/>
      <c r="K20" s="35"/>
      <c r="L20" s="40" t="s">
        <v>92</v>
      </c>
    </row>
    <row r="21" spans="2:12" ht="24" x14ac:dyDescent="0.2">
      <c r="B21" s="32">
        <v>41892</v>
      </c>
      <c r="C21" s="33">
        <v>2</v>
      </c>
      <c r="D21" s="34" t="s">
        <v>63</v>
      </c>
      <c r="E21" s="34" t="str">
        <f>VLOOKUP(D21,tblProjekt[],2,FALSE)</f>
        <v>Klosterfrau Mass Market</v>
      </c>
      <c r="F21" s="39"/>
      <c r="G21" s="35"/>
      <c r="H21" s="35"/>
      <c r="I21" s="35"/>
      <c r="J21" s="35"/>
      <c r="K21" s="35"/>
      <c r="L21" s="40" t="s">
        <v>93</v>
      </c>
    </row>
    <row r="22" spans="2:12" x14ac:dyDescent="0.2">
      <c r="B22" s="32">
        <v>41894</v>
      </c>
      <c r="C22" s="33">
        <v>1.5</v>
      </c>
      <c r="D22" s="34" t="s">
        <v>59</v>
      </c>
      <c r="E22" s="34" t="str">
        <f>VLOOKUP(D22,tblProjekt[],2,FALSE)</f>
        <v>Stada reports</v>
      </c>
      <c r="F22" s="39"/>
      <c r="G22" s="35"/>
      <c r="H22" s="35"/>
      <c r="I22" s="35"/>
      <c r="J22" s="35"/>
      <c r="K22" s="35"/>
      <c r="L22" s="40" t="s">
        <v>94</v>
      </c>
    </row>
    <row r="23" spans="2:12" x14ac:dyDescent="0.2">
      <c r="B23" s="32">
        <v>41894</v>
      </c>
      <c r="C23" s="33">
        <v>1</v>
      </c>
      <c r="D23" s="34" t="s">
        <v>84</v>
      </c>
      <c r="E23" s="34" t="str">
        <f>VLOOKUP(D23,tblProjekt[],2,FALSE)</f>
        <v>Infrastruktur cognovo</v>
      </c>
      <c r="F23" s="39"/>
      <c r="G23" s="35"/>
      <c r="H23" s="35"/>
      <c r="I23" s="35"/>
      <c r="J23" s="35"/>
      <c r="K23" s="35"/>
      <c r="L23" s="40" t="s">
        <v>95</v>
      </c>
    </row>
    <row r="24" spans="2:12" x14ac:dyDescent="0.2">
      <c r="B24" s="32">
        <v>41894</v>
      </c>
      <c r="C24" s="33">
        <v>0.5</v>
      </c>
      <c r="D24" s="34" t="s">
        <v>35</v>
      </c>
      <c r="E24" s="34" t="str">
        <f>VLOOKUP(D24,tblProjekt[],2,FALSE)</f>
        <v>NPA Calculator</v>
      </c>
      <c r="F24" s="39"/>
      <c r="G24" s="35"/>
      <c r="H24" s="35"/>
      <c r="I24" s="35"/>
      <c r="J24" s="35"/>
      <c r="K24" s="35"/>
      <c r="L24" s="40" t="s">
        <v>96</v>
      </c>
    </row>
    <row r="25" spans="2:12" x14ac:dyDescent="0.2">
      <c r="B25" s="32">
        <v>41894</v>
      </c>
      <c r="C25" s="33">
        <v>0.25</v>
      </c>
      <c r="D25" s="34" t="s">
        <v>35</v>
      </c>
      <c r="E25" s="34" t="str">
        <f>VLOOKUP(D25,tblProjekt[],2,FALSE)</f>
        <v>NPA Calculator</v>
      </c>
      <c r="F25" s="39"/>
      <c r="G25" s="35"/>
      <c r="H25" s="35"/>
      <c r="I25" s="35"/>
      <c r="J25" s="35"/>
      <c r="K25" s="35"/>
      <c r="L25" s="40" t="s">
        <v>97</v>
      </c>
    </row>
    <row r="26" spans="2:12" ht="24" x14ac:dyDescent="0.2">
      <c r="B26" s="32">
        <v>41894</v>
      </c>
      <c r="C26" s="33">
        <v>0.25</v>
      </c>
      <c r="D26" s="34" t="s">
        <v>66</v>
      </c>
      <c r="E26" s="34" t="str">
        <f>VLOOKUP(D26,tblProjekt[],2,FALSE)</f>
        <v>PHS Calculator</v>
      </c>
      <c r="F26" s="39"/>
      <c r="G26" s="35"/>
      <c r="H26" s="35"/>
      <c r="I26" s="35"/>
      <c r="J26" s="35"/>
      <c r="K26" s="35"/>
      <c r="L26" s="40" t="s">
        <v>98</v>
      </c>
    </row>
    <row r="27" spans="2:12" x14ac:dyDescent="0.2">
      <c r="B27" s="32">
        <v>41894</v>
      </c>
      <c r="C27" s="33">
        <v>0.25</v>
      </c>
      <c r="D27" s="34" t="s">
        <v>43</v>
      </c>
      <c r="E27" s="34" t="str">
        <f>VLOOKUP(D27,tblProjekt[],2,FALSE)</f>
        <v>DPMPSN Calculator</v>
      </c>
      <c r="F27" s="39"/>
      <c r="G27" s="35"/>
      <c r="H27" s="35"/>
      <c r="I27" s="35"/>
      <c r="J27" s="35"/>
      <c r="K27" s="35"/>
      <c r="L27" s="40" t="s">
        <v>99</v>
      </c>
    </row>
    <row r="28" spans="2:12" x14ac:dyDescent="0.2">
      <c r="B28" s="32">
        <v>41894</v>
      </c>
      <c r="C28" s="33">
        <v>0.25</v>
      </c>
      <c r="D28" s="34" t="s">
        <v>84</v>
      </c>
      <c r="E28" s="34" t="str">
        <f>VLOOKUP(D28,tblProjekt[],2,FALSE)</f>
        <v>Infrastruktur cognovo</v>
      </c>
      <c r="F28" s="39"/>
      <c r="G28" s="35"/>
      <c r="H28" s="35"/>
      <c r="I28" s="35"/>
      <c r="J28" s="35"/>
      <c r="K28" s="35"/>
      <c r="L28" s="40" t="s">
        <v>100</v>
      </c>
    </row>
    <row r="29" spans="2:12" ht="24" x14ac:dyDescent="0.2">
      <c r="B29" s="32">
        <v>41894</v>
      </c>
      <c r="C29" s="33">
        <v>0.25</v>
      </c>
      <c r="D29" s="34" t="s">
        <v>35</v>
      </c>
      <c r="E29" s="34" t="str">
        <f>VLOOKUP(D29,tblProjekt[],2,FALSE)</f>
        <v>NPA Calculator</v>
      </c>
      <c r="F29" s="39"/>
      <c r="G29" s="35"/>
      <c r="H29" s="35"/>
      <c r="I29" s="35"/>
      <c r="J29" s="35"/>
      <c r="K29" s="35"/>
      <c r="L29" s="40" t="s">
        <v>101</v>
      </c>
    </row>
    <row r="30" spans="2:12" ht="24" x14ac:dyDescent="0.2">
      <c r="B30" s="32">
        <v>41894</v>
      </c>
      <c r="C30" s="33">
        <v>0.25</v>
      </c>
      <c r="D30" s="34" t="s">
        <v>43</v>
      </c>
      <c r="E30" s="34" t="str">
        <f>VLOOKUP(D30,tblProjekt[],2,FALSE)</f>
        <v>DPMPSN Calculator</v>
      </c>
      <c r="F30" s="39"/>
      <c r="G30" s="35"/>
      <c r="H30" s="35"/>
      <c r="I30" s="35"/>
      <c r="J30" s="35"/>
      <c r="K30" s="35"/>
      <c r="L30" s="40" t="s">
        <v>101</v>
      </c>
    </row>
    <row r="31" spans="2:12" ht="24" x14ac:dyDescent="0.2">
      <c r="B31" s="32">
        <v>41895</v>
      </c>
      <c r="C31" s="33">
        <v>3.5</v>
      </c>
      <c r="D31" s="34" t="s">
        <v>66</v>
      </c>
      <c r="E31" s="34" t="str">
        <f>VLOOKUP(D31,tblProjekt[],2,FALSE)</f>
        <v>PHS Calculator</v>
      </c>
      <c r="F31" s="39"/>
      <c r="G31" s="35"/>
      <c r="H31" s="35"/>
      <c r="I31" s="35"/>
      <c r="J31" s="35"/>
      <c r="K31" s="35"/>
      <c r="L31" s="40" t="s">
        <v>102</v>
      </c>
    </row>
    <row r="32" spans="2:12" ht="36" x14ac:dyDescent="0.2">
      <c r="B32" s="32">
        <v>41895</v>
      </c>
      <c r="C32" s="33">
        <v>1</v>
      </c>
      <c r="D32" s="34" t="s">
        <v>84</v>
      </c>
      <c r="E32" s="34" t="str">
        <f>VLOOKUP(D32,tblProjekt[],2,FALSE)</f>
        <v>Infrastruktur cognovo</v>
      </c>
      <c r="F32" s="39"/>
      <c r="G32" s="35"/>
      <c r="H32" s="35"/>
      <c r="I32" s="35"/>
      <c r="J32" s="35"/>
      <c r="K32" s="35"/>
      <c r="L32" s="40" t="s">
        <v>103</v>
      </c>
    </row>
    <row r="33" spans="2:12" ht="24" x14ac:dyDescent="0.2">
      <c r="B33" s="32">
        <v>41899</v>
      </c>
      <c r="C33" s="33">
        <v>1</v>
      </c>
      <c r="D33" s="34" t="s">
        <v>84</v>
      </c>
      <c r="E33" s="34" t="str">
        <f>VLOOKUP(D33,tblProjekt[],2,FALSE)</f>
        <v>Infrastruktur cognovo</v>
      </c>
      <c r="F33" s="39"/>
      <c r="G33" s="35"/>
      <c r="H33" s="35"/>
      <c r="I33" s="35"/>
      <c r="J33" s="35"/>
      <c r="K33" s="35"/>
      <c r="L33" s="40" t="s">
        <v>104</v>
      </c>
    </row>
    <row r="34" spans="2:12" ht="24" x14ac:dyDescent="0.2">
      <c r="B34" s="32">
        <v>41899</v>
      </c>
      <c r="C34" s="33">
        <v>0.25</v>
      </c>
      <c r="D34" s="34" t="s">
        <v>35</v>
      </c>
      <c r="E34" s="34" t="str">
        <f>VLOOKUP(D34,tblProjekt[],2,FALSE)</f>
        <v>NPA Calculator</v>
      </c>
      <c r="F34" s="39"/>
      <c r="G34" s="35"/>
      <c r="H34" s="35"/>
      <c r="I34" s="35"/>
      <c r="J34" s="35"/>
      <c r="K34" s="35"/>
      <c r="L34" s="40" t="s">
        <v>105</v>
      </c>
    </row>
    <row r="35" spans="2:12" ht="24" x14ac:dyDescent="0.2">
      <c r="B35" s="32">
        <v>41899</v>
      </c>
      <c r="C35" s="33">
        <v>1.25</v>
      </c>
      <c r="D35" s="34" t="s">
        <v>84</v>
      </c>
      <c r="E35" s="34" t="str">
        <f>VLOOKUP(D35,tblProjekt[],2,FALSE)</f>
        <v>Infrastruktur cognovo</v>
      </c>
      <c r="F35" s="39"/>
      <c r="G35" s="35"/>
      <c r="H35" s="35"/>
      <c r="I35" s="35"/>
      <c r="J35" s="35"/>
      <c r="K35" s="35"/>
      <c r="L35" s="40" t="s">
        <v>106</v>
      </c>
    </row>
    <row r="36" spans="2:12" ht="24" x14ac:dyDescent="0.2">
      <c r="B36" s="32">
        <v>41899</v>
      </c>
      <c r="C36" s="33">
        <v>2.5</v>
      </c>
      <c r="D36" s="34" t="s">
        <v>17</v>
      </c>
      <c r="E36" s="34" t="str">
        <f>VLOOKUP(D36,tblProjekt[],2,FALSE)</f>
        <v>Powerspreadsheet Win7</v>
      </c>
      <c r="F36" s="39"/>
      <c r="G36" s="35"/>
      <c r="H36" s="35"/>
      <c r="I36" s="35"/>
      <c r="J36" s="35"/>
      <c r="K36" s="35"/>
      <c r="L36" s="40" t="s">
        <v>107</v>
      </c>
    </row>
    <row r="37" spans="2:12" ht="24" x14ac:dyDescent="0.2">
      <c r="B37" s="32">
        <v>41900</v>
      </c>
      <c r="C37" s="33">
        <v>5.25</v>
      </c>
      <c r="D37" s="34" t="s">
        <v>17</v>
      </c>
      <c r="E37" s="34" t="str">
        <f>VLOOKUP(D37,tblProjekt[],2,FALSE)</f>
        <v>Powerspreadsheet Win7</v>
      </c>
      <c r="F37" s="39"/>
      <c r="G37" s="35"/>
      <c r="H37" s="35"/>
      <c r="I37" s="35"/>
      <c r="J37" s="35"/>
      <c r="K37" s="35"/>
      <c r="L37" s="40" t="s">
        <v>107</v>
      </c>
    </row>
    <row r="38" spans="2:12" x14ac:dyDescent="0.2">
      <c r="B38" s="32">
        <v>41900</v>
      </c>
      <c r="C38" s="33">
        <v>0.75</v>
      </c>
      <c r="D38" s="34" t="s">
        <v>43</v>
      </c>
      <c r="E38" s="34" t="str">
        <f>VLOOKUP(D38,tblProjekt[],2,FALSE)</f>
        <v>DPMPSN Calculator</v>
      </c>
      <c r="F38" s="39"/>
      <c r="G38" s="35"/>
      <c r="H38" s="35"/>
      <c r="I38" s="35"/>
      <c r="J38" s="35"/>
      <c r="K38" s="35"/>
      <c r="L38" s="40" t="s">
        <v>108</v>
      </c>
    </row>
    <row r="39" spans="2:12" ht="24" x14ac:dyDescent="0.2">
      <c r="B39" s="32">
        <v>41900</v>
      </c>
      <c r="C39" s="33">
        <v>1.5</v>
      </c>
      <c r="D39" s="34" t="s">
        <v>43</v>
      </c>
      <c r="E39" s="34" t="str">
        <f>VLOOKUP(D39,tblProjekt[],2,FALSE)</f>
        <v>DPMPSN Calculator</v>
      </c>
      <c r="F39" s="39"/>
      <c r="G39" s="35"/>
      <c r="H39" s="35"/>
      <c r="I39" s="35"/>
      <c r="J39" s="35"/>
      <c r="K39" s="35"/>
      <c r="L39" s="40" t="s">
        <v>109</v>
      </c>
    </row>
    <row r="40" spans="2:12" ht="24" x14ac:dyDescent="0.2">
      <c r="B40" s="32">
        <v>41901</v>
      </c>
      <c r="C40" s="33">
        <v>1</v>
      </c>
      <c r="D40" s="34" t="s">
        <v>84</v>
      </c>
      <c r="E40" s="34" t="str">
        <f>VLOOKUP(D40,tblProjekt[],2,FALSE)</f>
        <v>Infrastruktur cognovo</v>
      </c>
      <c r="F40" s="39"/>
      <c r="G40" s="35"/>
      <c r="H40" s="35"/>
      <c r="I40" s="35"/>
      <c r="J40" s="35"/>
      <c r="K40" s="35"/>
      <c r="L40" s="40" t="s">
        <v>110</v>
      </c>
    </row>
    <row r="41" spans="2:12" ht="24" x14ac:dyDescent="0.2">
      <c r="B41" s="32">
        <v>41904</v>
      </c>
      <c r="C41" s="33">
        <v>0.5</v>
      </c>
      <c r="D41" s="34" t="s">
        <v>59</v>
      </c>
      <c r="E41" s="34" t="str">
        <f>VLOOKUP(D41,tblProjekt[],2,FALSE)</f>
        <v>Stada reports</v>
      </c>
      <c r="F41" s="39"/>
      <c r="G41" s="35"/>
      <c r="H41" s="35"/>
      <c r="I41" s="35"/>
      <c r="J41" s="35"/>
      <c r="K41" s="35"/>
      <c r="L41" s="40" t="s">
        <v>111</v>
      </c>
    </row>
    <row r="42" spans="2:12" ht="24" x14ac:dyDescent="0.2">
      <c r="B42" s="32">
        <v>41906</v>
      </c>
      <c r="C42" s="33">
        <v>2.5</v>
      </c>
      <c r="D42" s="34" t="s">
        <v>339</v>
      </c>
      <c r="E42" s="34" t="str">
        <f>VLOOKUP(D42,tblProjekt[],2,FALSE)</f>
        <v>Klosterfrau Regio</v>
      </c>
      <c r="F42" s="39"/>
      <c r="G42" s="35"/>
      <c r="H42" s="35"/>
      <c r="I42" s="35"/>
      <c r="J42" s="35"/>
      <c r="K42" s="35"/>
      <c r="L42" s="40" t="s">
        <v>112</v>
      </c>
    </row>
    <row r="43" spans="2:12" x14ac:dyDescent="0.2">
      <c r="B43" s="32">
        <v>41906</v>
      </c>
      <c r="C43" s="33">
        <v>1</v>
      </c>
      <c r="D43" s="34" t="s">
        <v>337</v>
      </c>
      <c r="E43" s="34" t="str">
        <f>VLOOKUP(D43,tblProjekt[],2,FALSE)</f>
        <v>Klosterfrau National</v>
      </c>
      <c r="F43" s="39"/>
      <c r="G43" s="35"/>
      <c r="H43" s="35"/>
      <c r="I43" s="35"/>
      <c r="J43" s="35"/>
      <c r="K43" s="35"/>
      <c r="L43" s="40" t="s">
        <v>113</v>
      </c>
    </row>
    <row r="44" spans="2:12" x14ac:dyDescent="0.2">
      <c r="B44" s="32">
        <v>41906</v>
      </c>
      <c r="C44" s="33">
        <v>0.5</v>
      </c>
      <c r="D44" s="34" t="s">
        <v>339</v>
      </c>
      <c r="E44" s="34" t="str">
        <f>VLOOKUP(D44,tblProjekt[],2,FALSE)</f>
        <v>Klosterfrau Regio</v>
      </c>
      <c r="F44" s="39"/>
      <c r="G44" s="35"/>
      <c r="H44" s="35"/>
      <c r="I44" s="35"/>
      <c r="J44" s="35"/>
      <c r="K44" s="35"/>
      <c r="L44" s="40" t="s">
        <v>114</v>
      </c>
    </row>
    <row r="45" spans="2:12" ht="24" x14ac:dyDescent="0.2">
      <c r="B45" s="32">
        <v>41906</v>
      </c>
      <c r="C45" s="33">
        <v>1.5</v>
      </c>
      <c r="D45" s="34" t="s">
        <v>84</v>
      </c>
      <c r="E45" s="34" t="str">
        <f>VLOOKUP(D45,tblProjekt[],2,FALSE)</f>
        <v>Infrastruktur cognovo</v>
      </c>
      <c r="F45" s="39"/>
      <c r="G45" s="35"/>
      <c r="H45" s="35"/>
      <c r="I45" s="35"/>
      <c r="J45" s="35"/>
      <c r="K45" s="35"/>
      <c r="L45" s="40" t="s">
        <v>115</v>
      </c>
    </row>
    <row r="46" spans="2:12" x14ac:dyDescent="0.2">
      <c r="B46" s="32">
        <v>41906</v>
      </c>
      <c r="C46" s="33">
        <v>0.5</v>
      </c>
      <c r="D46" s="34" t="s">
        <v>84</v>
      </c>
      <c r="E46" s="34" t="str">
        <f>VLOOKUP(D46,tblProjekt[],2,FALSE)</f>
        <v>Infrastruktur cognovo</v>
      </c>
      <c r="F46" s="39"/>
      <c r="G46" s="35"/>
      <c r="H46" s="35"/>
      <c r="I46" s="35"/>
      <c r="J46" s="35"/>
      <c r="K46" s="35"/>
      <c r="L46" s="40" t="s">
        <v>118</v>
      </c>
    </row>
    <row r="47" spans="2:12" x14ac:dyDescent="0.2">
      <c r="B47" s="32">
        <v>41906</v>
      </c>
      <c r="C47" s="33">
        <v>0.5</v>
      </c>
      <c r="D47" s="34" t="s">
        <v>84</v>
      </c>
      <c r="E47" s="34" t="str">
        <f>VLOOKUP(D47,tblProjekt[],2,FALSE)</f>
        <v>Infrastruktur cognovo</v>
      </c>
      <c r="F47" s="39"/>
      <c r="G47" s="35"/>
      <c r="H47" s="35"/>
      <c r="I47" s="35"/>
      <c r="J47" s="35"/>
      <c r="K47" s="35"/>
      <c r="L47" s="40" t="s">
        <v>116</v>
      </c>
    </row>
    <row r="48" spans="2:12" ht="24" x14ac:dyDescent="0.2">
      <c r="B48" s="32">
        <v>41906</v>
      </c>
      <c r="C48" s="33">
        <v>2</v>
      </c>
      <c r="D48" s="34" t="s">
        <v>66</v>
      </c>
      <c r="E48" s="34" t="str">
        <f>VLOOKUP(D48,tblProjekt[],2,FALSE)</f>
        <v>PHS Calculator</v>
      </c>
      <c r="F48" s="39"/>
      <c r="G48" s="35"/>
      <c r="H48" s="35"/>
      <c r="I48" s="35"/>
      <c r="J48" s="35"/>
      <c r="K48" s="35"/>
      <c r="L48" s="40" t="s">
        <v>117</v>
      </c>
    </row>
    <row r="49" spans="2:12" x14ac:dyDescent="0.2">
      <c r="B49" s="32">
        <v>41907</v>
      </c>
      <c r="C49" s="33">
        <v>0.5</v>
      </c>
      <c r="D49" s="34" t="s">
        <v>66</v>
      </c>
      <c r="E49" s="34" t="str">
        <f>VLOOKUP(D49,tblProjekt[],2,FALSE)</f>
        <v>PHS Calculator</v>
      </c>
      <c r="F49" s="39"/>
      <c r="G49" s="35"/>
      <c r="H49" s="35"/>
      <c r="I49" s="35"/>
      <c r="J49" s="35"/>
      <c r="K49" s="35"/>
      <c r="L49" s="40" t="s">
        <v>119</v>
      </c>
    </row>
    <row r="50" spans="2:12" ht="24" x14ac:dyDescent="0.2">
      <c r="B50" s="32">
        <v>41907</v>
      </c>
      <c r="C50" s="33">
        <v>1</v>
      </c>
      <c r="D50" s="34" t="s">
        <v>66</v>
      </c>
      <c r="E50" s="34" t="str">
        <f>VLOOKUP(D50,tblProjekt[],2,FALSE)</f>
        <v>PHS Calculator</v>
      </c>
      <c r="F50" s="39"/>
      <c r="G50" s="35"/>
      <c r="H50" s="35"/>
      <c r="I50" s="35"/>
      <c r="J50" s="35"/>
      <c r="K50" s="35"/>
      <c r="L50" s="40" t="s">
        <v>120</v>
      </c>
    </row>
    <row r="51" spans="2:12" ht="24" x14ac:dyDescent="0.2">
      <c r="B51" s="32">
        <v>41907</v>
      </c>
      <c r="C51" s="33">
        <v>2.75</v>
      </c>
      <c r="D51" s="34" t="s">
        <v>43</v>
      </c>
      <c r="E51" s="34" t="str">
        <f>VLOOKUP(D51,tblProjekt[],2,FALSE)</f>
        <v>DPMPSN Calculator</v>
      </c>
      <c r="F51" s="39"/>
      <c r="G51" s="35"/>
      <c r="H51" s="35"/>
      <c r="I51" s="35"/>
      <c r="J51" s="35"/>
      <c r="K51" s="35"/>
      <c r="L51" s="40" t="s">
        <v>121</v>
      </c>
    </row>
    <row r="52" spans="2:12" x14ac:dyDescent="0.2">
      <c r="B52" s="32">
        <v>41907</v>
      </c>
      <c r="C52" s="33">
        <v>2.5</v>
      </c>
      <c r="D52" s="34" t="s">
        <v>60</v>
      </c>
      <c r="E52" s="34" t="str">
        <f>VLOOKUP(D52,tblProjekt[],2,FALSE)</f>
        <v>Nutricia reports</v>
      </c>
      <c r="F52" s="39"/>
      <c r="G52" s="35"/>
      <c r="H52" s="35"/>
      <c r="I52" s="35"/>
      <c r="J52" s="35"/>
      <c r="K52" s="35"/>
      <c r="L52" s="40" t="s">
        <v>122</v>
      </c>
    </row>
    <row r="53" spans="2:12" ht="24" x14ac:dyDescent="0.2">
      <c r="B53" s="32">
        <v>41907</v>
      </c>
      <c r="C53" s="33">
        <v>0.75</v>
      </c>
      <c r="D53" s="34" t="s">
        <v>59</v>
      </c>
      <c r="E53" s="34" t="str">
        <f>VLOOKUP(D53,tblProjekt[],2,FALSE)</f>
        <v>Stada reports</v>
      </c>
      <c r="F53" s="39"/>
      <c r="G53" s="35"/>
      <c r="H53" s="35"/>
      <c r="I53" s="35"/>
      <c r="J53" s="35"/>
      <c r="K53" s="35"/>
      <c r="L53" s="40" t="s">
        <v>123</v>
      </c>
    </row>
    <row r="54" spans="2:12" ht="24" x14ac:dyDescent="0.2">
      <c r="B54" s="32">
        <v>41908</v>
      </c>
      <c r="C54" s="33">
        <v>1.25</v>
      </c>
      <c r="D54" s="34" t="s">
        <v>59</v>
      </c>
      <c r="E54" s="34" t="str">
        <f>VLOOKUP(D54,tblProjekt[],2,FALSE)</f>
        <v>Stada reports</v>
      </c>
      <c r="F54" s="39"/>
      <c r="G54" s="35"/>
      <c r="H54" s="35"/>
      <c r="I54" s="35"/>
      <c r="J54" s="35"/>
      <c r="K54" s="35"/>
      <c r="L54" s="40" t="s">
        <v>124</v>
      </c>
    </row>
    <row r="55" spans="2:12" ht="24" x14ac:dyDescent="0.2">
      <c r="B55" s="32">
        <v>41908</v>
      </c>
      <c r="C55" s="33">
        <v>0.5</v>
      </c>
      <c r="D55" s="34" t="s">
        <v>84</v>
      </c>
      <c r="E55" s="34" t="str">
        <f>VLOOKUP(D55,tblProjekt[],2,FALSE)</f>
        <v>Infrastruktur cognovo</v>
      </c>
      <c r="F55" s="39"/>
      <c r="G55" s="35"/>
      <c r="H55" s="35"/>
      <c r="I55" s="35"/>
      <c r="J55" s="35"/>
      <c r="K55" s="35"/>
      <c r="L55" s="40" t="s">
        <v>125</v>
      </c>
    </row>
    <row r="56" spans="2:12" ht="24" x14ac:dyDescent="0.2">
      <c r="B56" s="32">
        <v>41908</v>
      </c>
      <c r="C56" s="33">
        <v>0.5</v>
      </c>
      <c r="D56" s="34" t="s">
        <v>68</v>
      </c>
      <c r="E56" s="34" t="str">
        <f>VLOOKUP(D56,tblProjekt[],2,FALSE)</f>
        <v>L'Oreal Synthese, Flash + UGK</v>
      </c>
      <c r="F56" s="39"/>
      <c r="G56" s="35"/>
      <c r="H56" s="35"/>
      <c r="I56" s="35"/>
      <c r="J56" s="35"/>
      <c r="K56" s="35"/>
      <c r="L56" s="40" t="s">
        <v>126</v>
      </c>
    </row>
    <row r="57" spans="2:12" x14ac:dyDescent="0.2">
      <c r="B57" s="32">
        <v>41908</v>
      </c>
      <c r="C57" s="33">
        <v>0.25</v>
      </c>
      <c r="D57" s="34" t="s">
        <v>66</v>
      </c>
      <c r="E57" s="34" t="str">
        <f>VLOOKUP(D57,tblProjekt[],2,FALSE)</f>
        <v>PHS Calculator</v>
      </c>
      <c r="F57" s="39"/>
      <c r="G57" s="35"/>
      <c r="H57" s="35"/>
      <c r="I57" s="35"/>
      <c r="J57" s="35"/>
      <c r="K57" s="35"/>
      <c r="L57" s="40" t="s">
        <v>127</v>
      </c>
    </row>
    <row r="58" spans="2:12" ht="24" x14ac:dyDescent="0.2">
      <c r="B58" s="32">
        <v>41908</v>
      </c>
      <c r="C58" s="33">
        <v>0.75</v>
      </c>
      <c r="D58" s="34" t="s">
        <v>66</v>
      </c>
      <c r="E58" s="34" t="str">
        <f>VLOOKUP(D58,tblProjekt[],2,FALSE)</f>
        <v>PHS Calculator</v>
      </c>
      <c r="F58" s="39"/>
      <c r="G58" s="35"/>
      <c r="H58" s="35"/>
      <c r="I58" s="35"/>
      <c r="J58" s="35"/>
      <c r="K58" s="35"/>
      <c r="L58" s="40" t="s">
        <v>128</v>
      </c>
    </row>
    <row r="59" spans="2:12" x14ac:dyDescent="0.2">
      <c r="B59" s="32">
        <v>41908</v>
      </c>
      <c r="C59" s="33">
        <v>0.25</v>
      </c>
      <c r="D59" s="34" t="s">
        <v>84</v>
      </c>
      <c r="E59" s="34" t="str">
        <f>VLOOKUP(D59,tblProjekt[],2,FALSE)</f>
        <v>Infrastruktur cognovo</v>
      </c>
      <c r="F59" s="39"/>
      <c r="G59" s="35"/>
      <c r="H59" s="35"/>
      <c r="I59" s="35"/>
      <c r="J59" s="35"/>
      <c r="K59" s="35"/>
      <c r="L59" s="40" t="s">
        <v>129</v>
      </c>
    </row>
    <row r="60" spans="2:12" ht="24" x14ac:dyDescent="0.2">
      <c r="B60" s="32">
        <v>41909</v>
      </c>
      <c r="C60" s="33">
        <v>4.75</v>
      </c>
      <c r="D60" s="34" t="s">
        <v>17</v>
      </c>
      <c r="E60" s="34" t="str">
        <f>VLOOKUP(D60,tblProjekt[],2,FALSE)</f>
        <v>Powerspreadsheet Win7</v>
      </c>
      <c r="F60" s="39"/>
      <c r="G60" s="35"/>
      <c r="H60" s="35"/>
      <c r="I60" s="35"/>
      <c r="J60" s="35"/>
      <c r="K60" s="35"/>
      <c r="L60" s="40" t="s">
        <v>130</v>
      </c>
    </row>
    <row r="61" spans="2:12" x14ac:dyDescent="0.2">
      <c r="B61" s="32">
        <v>41911</v>
      </c>
      <c r="C61" s="33">
        <v>0.5</v>
      </c>
      <c r="D61" s="34" t="s">
        <v>84</v>
      </c>
      <c r="E61" s="34" t="str">
        <f>VLOOKUP(D61,tblProjekt[],2,FALSE)</f>
        <v>Infrastruktur cognovo</v>
      </c>
      <c r="F61" s="39"/>
      <c r="G61" s="35"/>
      <c r="H61" s="35"/>
      <c r="I61" s="35"/>
      <c r="J61" s="35"/>
      <c r="K61" s="35"/>
      <c r="L61" s="40" t="s">
        <v>131</v>
      </c>
    </row>
    <row r="62" spans="2:12" ht="24" x14ac:dyDescent="0.2">
      <c r="B62" s="32">
        <v>41912</v>
      </c>
      <c r="C62" s="33">
        <v>1.25</v>
      </c>
      <c r="D62" s="34" t="s">
        <v>337</v>
      </c>
      <c r="E62" s="34" t="str">
        <f>VLOOKUP(D62,tblProjekt[],2,FALSE)</f>
        <v>Klosterfrau National</v>
      </c>
      <c r="F62" s="39"/>
      <c r="G62" s="35"/>
      <c r="H62" s="35"/>
      <c r="I62" s="35"/>
      <c r="J62" s="35"/>
      <c r="K62" s="35"/>
      <c r="L62" s="40" t="s">
        <v>132</v>
      </c>
    </row>
    <row r="63" spans="2:12" ht="24" x14ac:dyDescent="0.2">
      <c r="B63" s="32">
        <v>41913</v>
      </c>
      <c r="C63" s="33">
        <v>3.25</v>
      </c>
      <c r="D63" s="34" t="s">
        <v>339</v>
      </c>
      <c r="E63" s="34" t="str">
        <f>VLOOKUP(D63,tblProjekt[],2,FALSE)</f>
        <v>Klosterfrau Regio</v>
      </c>
      <c r="F63" s="39"/>
      <c r="G63" s="35"/>
      <c r="H63" s="35"/>
      <c r="I63" s="35"/>
      <c r="J63" s="35"/>
      <c r="K63" s="35"/>
      <c r="L63" s="40" t="s">
        <v>133</v>
      </c>
    </row>
    <row r="64" spans="2:12" ht="24" x14ac:dyDescent="0.2">
      <c r="B64" s="32">
        <v>41913</v>
      </c>
      <c r="C64" s="33">
        <v>0.25</v>
      </c>
      <c r="D64" s="34" t="s">
        <v>66</v>
      </c>
      <c r="E64" s="34" t="str">
        <f>VLOOKUP(D64,tblProjekt[],2,FALSE)</f>
        <v>PHS Calculator</v>
      </c>
      <c r="F64" s="39"/>
      <c r="G64" s="35"/>
      <c r="H64" s="35"/>
      <c r="I64" s="35"/>
      <c r="J64" s="35"/>
      <c r="K64" s="35"/>
      <c r="L64" s="40" t="s">
        <v>134</v>
      </c>
    </row>
    <row r="65" spans="2:12" ht="24" x14ac:dyDescent="0.2">
      <c r="B65" s="32">
        <v>41913</v>
      </c>
      <c r="C65" s="33">
        <v>1.5</v>
      </c>
      <c r="D65" s="34" t="s">
        <v>66</v>
      </c>
      <c r="E65" s="34" t="str">
        <f>VLOOKUP(D65,tblProjekt[],2,FALSE)</f>
        <v>PHS Calculator</v>
      </c>
      <c r="F65" s="39"/>
      <c r="G65" s="35"/>
      <c r="H65" s="35"/>
      <c r="I65" s="35"/>
      <c r="J65" s="35"/>
      <c r="K65" s="35"/>
      <c r="L65" s="40" t="s">
        <v>135</v>
      </c>
    </row>
    <row r="66" spans="2:12" ht="24" x14ac:dyDescent="0.2">
      <c r="B66" s="32">
        <v>41913</v>
      </c>
      <c r="C66" s="33">
        <v>1</v>
      </c>
      <c r="D66" s="34" t="s">
        <v>59</v>
      </c>
      <c r="E66" s="34" t="str">
        <f>VLOOKUP(D66,tblProjekt[],2,FALSE)</f>
        <v>Stada reports</v>
      </c>
      <c r="F66" s="39"/>
      <c r="G66" s="35"/>
      <c r="H66" s="35"/>
      <c r="I66" s="35"/>
      <c r="J66" s="35"/>
      <c r="K66" s="35"/>
      <c r="L66" s="40" t="s">
        <v>136</v>
      </c>
    </row>
    <row r="67" spans="2:12" ht="24" x14ac:dyDescent="0.2">
      <c r="B67" s="32">
        <v>41913</v>
      </c>
      <c r="C67" s="33">
        <v>1</v>
      </c>
      <c r="D67" s="34" t="s">
        <v>84</v>
      </c>
      <c r="E67" s="34" t="str">
        <f>VLOOKUP(D67,tblProjekt[],2,FALSE)</f>
        <v>Infrastruktur cognovo</v>
      </c>
      <c r="F67" s="39"/>
      <c r="G67" s="35"/>
      <c r="H67" s="35"/>
      <c r="I67" s="35"/>
      <c r="J67" s="35"/>
      <c r="K67" s="35"/>
      <c r="L67" s="40" t="s">
        <v>211</v>
      </c>
    </row>
    <row r="68" spans="2:12" ht="24" x14ac:dyDescent="0.2">
      <c r="B68" s="32">
        <v>41914</v>
      </c>
      <c r="C68" s="33">
        <v>1</v>
      </c>
      <c r="D68" s="34" t="s">
        <v>339</v>
      </c>
      <c r="E68" s="34" t="str">
        <f>VLOOKUP(D68,tblProjekt[],2,FALSE)</f>
        <v>Klosterfrau Regio</v>
      </c>
      <c r="F68" s="39"/>
      <c r="G68" s="35"/>
      <c r="H68" s="35"/>
      <c r="I68" s="35"/>
      <c r="J68" s="35"/>
      <c r="K68" s="35"/>
      <c r="L68" s="40" t="s">
        <v>133</v>
      </c>
    </row>
    <row r="69" spans="2:12" ht="24" x14ac:dyDescent="0.2">
      <c r="B69" s="32">
        <v>41914</v>
      </c>
      <c r="C69" s="33">
        <v>0.5</v>
      </c>
      <c r="D69" s="34" t="s">
        <v>337</v>
      </c>
      <c r="E69" s="34" t="str">
        <f>VLOOKUP(D69,tblProjekt[],2,FALSE)</f>
        <v>Klosterfrau National</v>
      </c>
      <c r="F69" s="39"/>
      <c r="G69" s="35"/>
      <c r="H69" s="35"/>
      <c r="I69" s="35"/>
      <c r="J69" s="35"/>
      <c r="K69" s="35"/>
      <c r="L69" s="40" t="s">
        <v>137</v>
      </c>
    </row>
    <row r="70" spans="2:12" ht="24" x14ac:dyDescent="0.2">
      <c r="B70" s="32">
        <v>41914</v>
      </c>
      <c r="C70" s="33">
        <v>0.5</v>
      </c>
      <c r="D70" s="34" t="s">
        <v>339</v>
      </c>
      <c r="E70" s="34" t="str">
        <f>VLOOKUP(D70,tblProjekt[],2,FALSE)</f>
        <v>Klosterfrau Regio</v>
      </c>
      <c r="F70" s="39"/>
      <c r="G70" s="35"/>
      <c r="H70" s="35"/>
      <c r="I70" s="35"/>
      <c r="J70" s="35"/>
      <c r="K70" s="35"/>
      <c r="L70" s="40" t="s">
        <v>138</v>
      </c>
    </row>
    <row r="71" spans="2:12" x14ac:dyDescent="0.2">
      <c r="B71" s="32">
        <v>41914</v>
      </c>
      <c r="C71" s="33">
        <v>0.5</v>
      </c>
      <c r="D71" s="34" t="s">
        <v>60</v>
      </c>
      <c r="E71" s="34" t="str">
        <f>VLOOKUP(D71,tblProjekt[],2,FALSE)</f>
        <v>Nutricia reports</v>
      </c>
      <c r="F71" s="39"/>
      <c r="G71" s="35"/>
      <c r="H71" s="35"/>
      <c r="I71" s="35"/>
      <c r="J71" s="35"/>
      <c r="K71" s="35"/>
      <c r="L71" s="40" t="s">
        <v>139</v>
      </c>
    </row>
    <row r="72" spans="2:12" x14ac:dyDescent="0.2">
      <c r="B72" s="32">
        <v>41914</v>
      </c>
      <c r="C72" s="33">
        <v>0.25</v>
      </c>
      <c r="D72" s="34" t="s">
        <v>84</v>
      </c>
      <c r="E72" s="34" t="str">
        <f>VLOOKUP(D72,tblProjekt[],2,FALSE)</f>
        <v>Infrastruktur cognovo</v>
      </c>
      <c r="F72" s="39"/>
      <c r="G72" s="35"/>
      <c r="H72" s="35"/>
      <c r="I72" s="35"/>
      <c r="J72" s="35"/>
      <c r="K72" s="35"/>
      <c r="L72" s="40" t="s">
        <v>140</v>
      </c>
    </row>
    <row r="73" spans="2:12" ht="24" x14ac:dyDescent="0.2">
      <c r="B73" s="32">
        <v>41914</v>
      </c>
      <c r="C73" s="33">
        <v>1.5</v>
      </c>
      <c r="D73" s="34" t="s">
        <v>339</v>
      </c>
      <c r="E73" s="34" t="str">
        <f>VLOOKUP(D73,tblProjekt[],2,FALSE)</f>
        <v>Klosterfrau Regio</v>
      </c>
      <c r="F73" s="39"/>
      <c r="G73" s="35"/>
      <c r="H73" s="35"/>
      <c r="I73" s="35"/>
      <c r="J73" s="35"/>
      <c r="K73" s="35"/>
      <c r="L73" s="40" t="s">
        <v>141</v>
      </c>
    </row>
    <row r="74" spans="2:12" ht="24" x14ac:dyDescent="0.2">
      <c r="B74" s="32">
        <v>41914</v>
      </c>
      <c r="C74" s="33">
        <v>1.75</v>
      </c>
      <c r="D74" s="34" t="s">
        <v>66</v>
      </c>
      <c r="E74" s="34" t="str">
        <f>VLOOKUP(D74,tblProjekt[],2,FALSE)</f>
        <v>PHS Calculator</v>
      </c>
      <c r="F74" s="39"/>
      <c r="G74" s="35"/>
      <c r="H74" s="35"/>
      <c r="I74" s="35"/>
      <c r="J74" s="35"/>
      <c r="K74" s="35"/>
      <c r="L74" s="40" t="s">
        <v>142</v>
      </c>
    </row>
    <row r="75" spans="2:12" x14ac:dyDescent="0.2">
      <c r="B75" s="32">
        <v>41916</v>
      </c>
      <c r="C75" s="33">
        <v>0.5</v>
      </c>
      <c r="D75" s="34" t="s">
        <v>84</v>
      </c>
      <c r="E75" s="34" t="str">
        <f>VLOOKUP(D75,tblProjekt[],2,FALSE)</f>
        <v>Infrastruktur cognovo</v>
      </c>
      <c r="F75" s="39"/>
      <c r="G75" s="35"/>
      <c r="H75" s="35"/>
      <c r="I75" s="35"/>
      <c r="J75" s="35"/>
      <c r="K75" s="35"/>
      <c r="L75" s="40" t="s">
        <v>143</v>
      </c>
    </row>
    <row r="76" spans="2:12" ht="24" x14ac:dyDescent="0.2">
      <c r="B76" s="32">
        <v>41916</v>
      </c>
      <c r="C76" s="33">
        <v>1</v>
      </c>
      <c r="D76" s="34" t="s">
        <v>59</v>
      </c>
      <c r="E76" s="34" t="str">
        <f>VLOOKUP(D76,tblProjekt[],2,FALSE)</f>
        <v>Stada reports</v>
      </c>
      <c r="F76" s="39"/>
      <c r="G76" s="35"/>
      <c r="H76" s="35"/>
      <c r="I76" s="35"/>
      <c r="J76" s="35"/>
      <c r="K76" s="35"/>
      <c r="L76" s="40" t="s">
        <v>144</v>
      </c>
    </row>
    <row r="77" spans="2:12" ht="24" x14ac:dyDescent="0.2">
      <c r="B77" s="32">
        <v>41916</v>
      </c>
      <c r="C77" s="33">
        <v>0.5</v>
      </c>
      <c r="D77" s="34" t="s">
        <v>339</v>
      </c>
      <c r="E77" s="34" t="str">
        <f>VLOOKUP(D77,tblProjekt[],2,FALSE)</f>
        <v>Klosterfrau Regio</v>
      </c>
      <c r="F77" s="39"/>
      <c r="G77" s="35"/>
      <c r="H77" s="35"/>
      <c r="I77" s="35"/>
      <c r="J77" s="35"/>
      <c r="K77" s="35"/>
      <c r="L77" s="40" t="s">
        <v>145</v>
      </c>
    </row>
    <row r="78" spans="2:12" x14ac:dyDescent="0.2">
      <c r="B78" s="32">
        <v>41917</v>
      </c>
      <c r="C78" s="33">
        <v>2</v>
      </c>
      <c r="D78" s="34" t="s">
        <v>339</v>
      </c>
      <c r="E78" s="34" t="str">
        <f>VLOOKUP(D78,tblProjekt[],2,FALSE)</f>
        <v>Klosterfrau Regio</v>
      </c>
      <c r="F78" s="39"/>
      <c r="G78" s="35"/>
      <c r="H78" s="35"/>
      <c r="I78" s="35"/>
      <c r="J78" s="35"/>
      <c r="K78" s="35"/>
      <c r="L78" s="40" t="s">
        <v>151</v>
      </c>
    </row>
    <row r="79" spans="2:12" x14ac:dyDescent="0.2">
      <c r="B79" s="32">
        <v>41920</v>
      </c>
      <c r="C79" s="33">
        <v>0.5</v>
      </c>
      <c r="D79" s="34" t="s">
        <v>84</v>
      </c>
      <c r="E79" s="34" t="str">
        <f>VLOOKUP(D79,tblProjekt[],2,FALSE)</f>
        <v>Infrastruktur cognovo</v>
      </c>
      <c r="F79" s="39"/>
      <c r="G79" s="35"/>
      <c r="H79" s="35"/>
      <c r="I79" s="35"/>
      <c r="J79" s="35"/>
      <c r="K79" s="35"/>
      <c r="L79" s="40" t="s">
        <v>146</v>
      </c>
    </row>
    <row r="80" spans="2:12" ht="24" x14ac:dyDescent="0.2">
      <c r="B80" s="32">
        <v>41920</v>
      </c>
      <c r="C80" s="33">
        <v>1.5</v>
      </c>
      <c r="D80" s="34" t="s">
        <v>59</v>
      </c>
      <c r="E80" s="34" t="str">
        <f>VLOOKUP(D80,tblProjekt[],2,FALSE)</f>
        <v>Stada reports</v>
      </c>
      <c r="F80" s="39"/>
      <c r="G80" s="35"/>
      <c r="H80" s="35"/>
      <c r="I80" s="35"/>
      <c r="J80" s="35"/>
      <c r="K80" s="35"/>
      <c r="L80" s="40" t="s">
        <v>147</v>
      </c>
    </row>
    <row r="81" spans="2:12" ht="24" x14ac:dyDescent="0.2">
      <c r="B81" s="32">
        <v>41921</v>
      </c>
      <c r="C81" s="33">
        <v>1.75</v>
      </c>
      <c r="D81" s="34" t="s">
        <v>84</v>
      </c>
      <c r="E81" s="34" t="str">
        <f>VLOOKUP(D81,tblProjekt[],2,FALSE)</f>
        <v>Infrastruktur cognovo</v>
      </c>
      <c r="F81" s="39"/>
      <c r="G81" s="35"/>
      <c r="H81" s="35"/>
      <c r="I81" s="35"/>
      <c r="J81" s="35"/>
      <c r="K81" s="35"/>
      <c r="L81" s="40" t="s">
        <v>148</v>
      </c>
    </row>
    <row r="82" spans="2:12" x14ac:dyDescent="0.2">
      <c r="B82" s="32">
        <v>41921</v>
      </c>
      <c r="C82" s="33">
        <v>1.5</v>
      </c>
      <c r="D82" s="34" t="s">
        <v>43</v>
      </c>
      <c r="E82" s="34" t="str">
        <f>VLOOKUP(D82,tblProjekt[],2,FALSE)</f>
        <v>DPMPSN Calculator</v>
      </c>
      <c r="F82" s="39"/>
      <c r="G82" s="35"/>
      <c r="H82" s="35"/>
      <c r="I82" s="35"/>
      <c r="J82" s="35"/>
      <c r="K82" s="35"/>
      <c r="L82" s="40" t="s">
        <v>149</v>
      </c>
    </row>
    <row r="83" spans="2:12" x14ac:dyDescent="0.2">
      <c r="B83" s="32">
        <v>41921</v>
      </c>
      <c r="C83" s="33">
        <v>4</v>
      </c>
      <c r="D83" s="34" t="s">
        <v>339</v>
      </c>
      <c r="E83" s="34" t="str">
        <f>VLOOKUP(D83,tblProjekt[],2,FALSE)</f>
        <v>Klosterfrau Regio</v>
      </c>
      <c r="F83" s="39"/>
      <c r="G83" s="35"/>
      <c r="H83" s="35"/>
      <c r="I83" s="35"/>
      <c r="J83" s="35"/>
      <c r="K83" s="35"/>
      <c r="L83" s="40" t="s">
        <v>150</v>
      </c>
    </row>
    <row r="84" spans="2:12" x14ac:dyDescent="0.2">
      <c r="B84" s="32">
        <v>41921</v>
      </c>
      <c r="C84" s="33">
        <v>0.25</v>
      </c>
      <c r="D84" s="34" t="s">
        <v>66</v>
      </c>
      <c r="E84" s="34" t="str">
        <f>VLOOKUP(D84,tblProjekt[],2,FALSE)</f>
        <v>PHS Calculator</v>
      </c>
      <c r="F84" s="39"/>
      <c r="G84" s="35"/>
      <c r="H84" s="35"/>
      <c r="I84" s="35"/>
      <c r="J84" s="35"/>
      <c r="K84" s="35"/>
      <c r="L84" s="40" t="s">
        <v>152</v>
      </c>
    </row>
    <row r="85" spans="2:12" x14ac:dyDescent="0.2">
      <c r="B85" s="32">
        <v>41921</v>
      </c>
      <c r="C85" s="33">
        <v>0.5</v>
      </c>
      <c r="D85" s="34" t="s">
        <v>43</v>
      </c>
      <c r="E85" s="34" t="str">
        <f>VLOOKUP(D85,tblProjekt[],2,FALSE)</f>
        <v>DPMPSN Calculator</v>
      </c>
      <c r="F85" s="39"/>
      <c r="G85" s="35"/>
      <c r="H85" s="35"/>
      <c r="I85" s="35"/>
      <c r="J85" s="35"/>
      <c r="K85" s="35"/>
      <c r="L85" s="40" t="s">
        <v>153</v>
      </c>
    </row>
    <row r="86" spans="2:12" x14ac:dyDescent="0.2">
      <c r="B86" s="32">
        <v>41922</v>
      </c>
      <c r="C86" s="33">
        <v>0.5</v>
      </c>
      <c r="D86" s="34" t="s">
        <v>43</v>
      </c>
      <c r="E86" s="34" t="str">
        <f>VLOOKUP(D86,tblProjekt[],2,FALSE)</f>
        <v>DPMPSN Calculator</v>
      </c>
      <c r="F86" s="39"/>
      <c r="G86" s="35"/>
      <c r="H86" s="35"/>
      <c r="I86" s="35"/>
      <c r="J86" s="35"/>
      <c r="K86" s="35"/>
      <c r="L86" s="40" t="s">
        <v>154</v>
      </c>
    </row>
    <row r="87" spans="2:12" ht="24" x14ac:dyDescent="0.2">
      <c r="B87" s="32">
        <v>41922</v>
      </c>
      <c r="C87" s="33">
        <v>1</v>
      </c>
      <c r="D87" s="34" t="s">
        <v>339</v>
      </c>
      <c r="E87" s="34" t="str">
        <f>VLOOKUP(D87,tblProjekt[],2,FALSE)</f>
        <v>Klosterfrau Regio</v>
      </c>
      <c r="F87" s="39"/>
      <c r="G87" s="35"/>
      <c r="H87" s="35"/>
      <c r="I87" s="35"/>
      <c r="J87" s="35"/>
      <c r="K87" s="35"/>
      <c r="L87" s="40" t="s">
        <v>155</v>
      </c>
    </row>
    <row r="88" spans="2:12" ht="36" x14ac:dyDescent="0.2">
      <c r="B88" s="32">
        <v>41922</v>
      </c>
      <c r="C88" s="33">
        <v>2.5</v>
      </c>
      <c r="D88" s="34" t="s">
        <v>63</v>
      </c>
      <c r="E88" s="34" t="str">
        <f>VLOOKUP(D88,tblProjekt[],2,FALSE)</f>
        <v>Klosterfrau Mass Market</v>
      </c>
      <c r="F88" s="39"/>
      <c r="G88" s="35"/>
      <c r="H88" s="35"/>
      <c r="I88" s="35"/>
      <c r="J88" s="35"/>
      <c r="K88" s="35"/>
      <c r="L88" s="40" t="s">
        <v>156</v>
      </c>
    </row>
    <row r="89" spans="2:12" x14ac:dyDescent="0.2">
      <c r="B89" s="32">
        <v>41922</v>
      </c>
      <c r="C89" s="33">
        <v>2</v>
      </c>
      <c r="D89" s="34" t="s">
        <v>63</v>
      </c>
      <c r="E89" s="34" t="str">
        <f>VLOOKUP(D89,tblProjekt[],2,FALSE)</f>
        <v>Klosterfrau Mass Market</v>
      </c>
      <c r="F89" s="39"/>
      <c r="G89" s="35"/>
      <c r="H89" s="35"/>
      <c r="I89" s="35"/>
      <c r="J89" s="35"/>
      <c r="K89" s="35"/>
      <c r="L89" s="40" t="s">
        <v>157</v>
      </c>
    </row>
    <row r="90" spans="2:12" x14ac:dyDescent="0.2">
      <c r="B90" s="32">
        <v>41922</v>
      </c>
      <c r="C90" s="33">
        <v>1.25</v>
      </c>
      <c r="D90" s="34" t="s">
        <v>64</v>
      </c>
      <c r="E90" s="34" t="str">
        <f>VLOOKUP(D90,tblProjekt[],2,FALSE)</f>
        <v>Omron reports</v>
      </c>
      <c r="F90" s="39"/>
      <c r="G90" s="35"/>
      <c r="H90" s="35"/>
      <c r="I90" s="35"/>
      <c r="J90" s="35"/>
      <c r="K90" s="35"/>
      <c r="L90" s="40" t="s">
        <v>167</v>
      </c>
    </row>
    <row r="91" spans="2:12" x14ac:dyDescent="0.2">
      <c r="B91" s="32">
        <v>41922</v>
      </c>
      <c r="C91" s="33">
        <v>0.25</v>
      </c>
      <c r="D91" s="34" t="s">
        <v>59</v>
      </c>
      <c r="E91" s="34" t="str">
        <f>VLOOKUP(D91,tblProjekt[],2,FALSE)</f>
        <v>Stada reports</v>
      </c>
      <c r="F91" s="39"/>
      <c r="G91" s="35"/>
      <c r="H91" s="35"/>
      <c r="I91" s="35"/>
      <c r="J91" s="35"/>
      <c r="K91" s="35"/>
      <c r="L91" s="40" t="s">
        <v>158</v>
      </c>
    </row>
    <row r="92" spans="2:12" x14ac:dyDescent="0.2">
      <c r="B92" s="32">
        <v>41923</v>
      </c>
      <c r="C92" s="33">
        <v>2</v>
      </c>
      <c r="D92" s="34" t="s">
        <v>63</v>
      </c>
      <c r="E92" s="34" t="str">
        <f>VLOOKUP(D92,tblProjekt[],2,FALSE)</f>
        <v>Klosterfrau Mass Market</v>
      </c>
      <c r="F92" s="39"/>
      <c r="G92" s="35"/>
      <c r="H92" s="35"/>
      <c r="I92" s="35"/>
      <c r="J92" s="35"/>
      <c r="K92" s="35"/>
      <c r="L92" s="40" t="s">
        <v>159</v>
      </c>
    </row>
    <row r="93" spans="2:12" x14ac:dyDescent="0.2">
      <c r="B93" s="32">
        <v>41923</v>
      </c>
      <c r="C93" s="33">
        <v>1.5</v>
      </c>
      <c r="D93" s="34" t="s">
        <v>66</v>
      </c>
      <c r="E93" s="34" t="str">
        <f>VLOOKUP(D93,tblProjekt[],2,FALSE)</f>
        <v>PHS Calculator</v>
      </c>
      <c r="F93" s="39"/>
      <c r="G93" s="35"/>
      <c r="H93" s="35"/>
      <c r="I93" s="35"/>
      <c r="J93" s="35"/>
      <c r="K93" s="35"/>
      <c r="L93" s="40" t="s">
        <v>160</v>
      </c>
    </row>
    <row r="94" spans="2:12" ht="24" x14ac:dyDescent="0.2">
      <c r="B94" s="32">
        <v>41925</v>
      </c>
      <c r="C94" s="33">
        <v>0.75</v>
      </c>
      <c r="D94" s="34" t="s">
        <v>84</v>
      </c>
      <c r="E94" s="34" t="str">
        <f>VLOOKUP(D94,tblProjekt[],2,FALSE)</f>
        <v>Infrastruktur cognovo</v>
      </c>
      <c r="F94" s="39"/>
      <c r="G94" s="35"/>
      <c r="H94" s="35"/>
      <c r="I94" s="35"/>
      <c r="J94" s="35"/>
      <c r="K94" s="35"/>
      <c r="L94" s="40" t="s">
        <v>163</v>
      </c>
    </row>
    <row r="95" spans="2:12" x14ac:dyDescent="0.2">
      <c r="B95" s="32">
        <v>41925</v>
      </c>
      <c r="C95" s="33">
        <v>0.75</v>
      </c>
      <c r="D95" s="34" t="s">
        <v>339</v>
      </c>
      <c r="E95" s="34" t="str">
        <f>VLOOKUP(D95,tblProjekt[],2,FALSE)</f>
        <v>Klosterfrau Regio</v>
      </c>
      <c r="F95" s="39"/>
      <c r="G95" s="35"/>
      <c r="H95" s="35"/>
      <c r="I95" s="35"/>
      <c r="J95" s="35"/>
      <c r="K95" s="35"/>
      <c r="L95" s="40" t="s">
        <v>161</v>
      </c>
    </row>
    <row r="96" spans="2:12" ht="24" x14ac:dyDescent="0.2">
      <c r="B96" s="32">
        <v>41926</v>
      </c>
      <c r="C96" s="33">
        <v>0.5</v>
      </c>
      <c r="D96" s="34" t="s">
        <v>339</v>
      </c>
      <c r="E96" s="34" t="str">
        <f>VLOOKUP(D96,tblProjekt[],2,FALSE)</f>
        <v>Klosterfrau Regio</v>
      </c>
      <c r="F96" s="39"/>
      <c r="G96" s="35"/>
      <c r="H96" s="35"/>
      <c r="I96" s="35"/>
      <c r="J96" s="35"/>
      <c r="K96" s="35"/>
      <c r="L96" s="40" t="s">
        <v>162</v>
      </c>
    </row>
    <row r="97" spans="2:12" ht="24" x14ac:dyDescent="0.2">
      <c r="B97" s="32">
        <v>41926</v>
      </c>
      <c r="C97" s="33">
        <v>0.5</v>
      </c>
      <c r="D97" s="34" t="s">
        <v>84</v>
      </c>
      <c r="E97" s="34" t="str">
        <f>VLOOKUP(D97,tblProjekt[],2,FALSE)</f>
        <v>Infrastruktur cognovo</v>
      </c>
      <c r="F97" s="39"/>
      <c r="G97" s="35"/>
      <c r="H97" s="35"/>
      <c r="I97" s="35"/>
      <c r="J97" s="35"/>
      <c r="K97" s="35"/>
      <c r="L97" s="40" t="s">
        <v>163</v>
      </c>
    </row>
    <row r="98" spans="2:12" ht="24" x14ac:dyDescent="0.2">
      <c r="B98" s="32">
        <v>41928</v>
      </c>
      <c r="C98" s="33">
        <v>2.5</v>
      </c>
      <c r="D98" s="34" t="s">
        <v>84</v>
      </c>
      <c r="E98" s="34" t="str">
        <f>VLOOKUP(D98,tblProjekt[],2,FALSE)</f>
        <v>Infrastruktur cognovo</v>
      </c>
      <c r="F98" s="39"/>
      <c r="G98" s="35"/>
      <c r="H98" s="35"/>
      <c r="I98" s="35"/>
      <c r="J98" s="35"/>
      <c r="K98" s="35"/>
      <c r="L98" s="40" t="s">
        <v>164</v>
      </c>
    </row>
    <row r="99" spans="2:12" ht="24" x14ac:dyDescent="0.2">
      <c r="B99" s="32">
        <v>41928</v>
      </c>
      <c r="C99" s="33">
        <v>1.5</v>
      </c>
      <c r="D99" s="34" t="s">
        <v>66</v>
      </c>
      <c r="E99" s="34" t="str">
        <f>VLOOKUP(D99,tblProjekt[],2,FALSE)</f>
        <v>PHS Calculator</v>
      </c>
      <c r="F99" s="39"/>
      <c r="G99" s="35"/>
      <c r="H99" s="35"/>
      <c r="I99" s="35"/>
      <c r="J99" s="35"/>
      <c r="K99" s="35"/>
      <c r="L99" s="40" t="s">
        <v>165</v>
      </c>
    </row>
    <row r="100" spans="2:12" ht="24" x14ac:dyDescent="0.2">
      <c r="B100" s="32">
        <v>41928</v>
      </c>
      <c r="C100" s="33">
        <v>1.5</v>
      </c>
      <c r="D100" s="34" t="s">
        <v>66</v>
      </c>
      <c r="E100" s="34" t="str">
        <f>VLOOKUP(D100,tblProjekt[],2,FALSE)</f>
        <v>PHS Calculator</v>
      </c>
      <c r="F100" s="39"/>
      <c r="G100" s="35"/>
      <c r="H100" s="35"/>
      <c r="I100" s="35"/>
      <c r="J100" s="35"/>
      <c r="K100" s="35"/>
      <c r="L100" s="40" t="s">
        <v>166</v>
      </c>
    </row>
    <row r="101" spans="2:12" ht="24" x14ac:dyDescent="0.2">
      <c r="B101" s="32">
        <v>41928</v>
      </c>
      <c r="C101" s="33">
        <v>0.5</v>
      </c>
      <c r="D101" s="34" t="s">
        <v>64</v>
      </c>
      <c r="E101" s="34" t="str">
        <f>VLOOKUP(D101,tblProjekt[],2,FALSE)</f>
        <v>Omron reports</v>
      </c>
      <c r="F101" s="39"/>
      <c r="G101" s="35"/>
      <c r="H101" s="35"/>
      <c r="I101" s="35"/>
      <c r="J101" s="35"/>
      <c r="K101" s="35"/>
      <c r="L101" s="40" t="s">
        <v>168</v>
      </c>
    </row>
    <row r="102" spans="2:12" x14ac:dyDescent="0.2">
      <c r="B102" s="32">
        <v>41928</v>
      </c>
      <c r="C102" s="33">
        <v>0.25</v>
      </c>
      <c r="D102" s="34" t="s">
        <v>63</v>
      </c>
      <c r="E102" s="34" t="str">
        <f>VLOOKUP(D102,tblProjekt[],2,FALSE)</f>
        <v>Klosterfrau Mass Market</v>
      </c>
      <c r="F102" s="39"/>
      <c r="G102" s="35"/>
      <c r="H102" s="35"/>
      <c r="I102" s="35"/>
      <c r="J102" s="35"/>
      <c r="K102" s="35"/>
      <c r="L102" s="40" t="s">
        <v>169</v>
      </c>
    </row>
    <row r="103" spans="2:12" x14ac:dyDescent="0.2">
      <c r="B103" s="32">
        <v>41928</v>
      </c>
      <c r="C103" s="33">
        <v>0.25</v>
      </c>
      <c r="D103" s="34" t="s">
        <v>339</v>
      </c>
      <c r="E103" s="34" t="str">
        <f>VLOOKUP(D103,tblProjekt[],2,FALSE)</f>
        <v>Klosterfrau Regio</v>
      </c>
      <c r="F103" s="39"/>
      <c r="G103" s="35"/>
      <c r="H103" s="35"/>
      <c r="I103" s="35"/>
      <c r="J103" s="35"/>
      <c r="K103" s="35"/>
      <c r="L103" s="40" t="s">
        <v>170</v>
      </c>
    </row>
    <row r="104" spans="2:12" ht="24" x14ac:dyDescent="0.2">
      <c r="B104" s="32">
        <v>41928</v>
      </c>
      <c r="C104" s="33">
        <v>1.5</v>
      </c>
      <c r="D104" s="42" t="s">
        <v>84</v>
      </c>
      <c r="E104" s="34" t="str">
        <f>VLOOKUP(D104,tblProjekt[],2,FALSE)</f>
        <v>Infrastruktur cognovo</v>
      </c>
      <c r="F104" s="39"/>
      <c r="G104" s="35"/>
      <c r="H104" s="35"/>
      <c r="I104" s="35"/>
      <c r="J104" s="35"/>
      <c r="K104" s="35"/>
      <c r="L104" s="40" t="s">
        <v>171</v>
      </c>
    </row>
    <row r="105" spans="2:12" x14ac:dyDescent="0.2">
      <c r="B105" s="32">
        <v>41929</v>
      </c>
      <c r="C105" s="33">
        <v>0.75</v>
      </c>
      <c r="D105" s="42" t="s">
        <v>84</v>
      </c>
      <c r="E105" s="34" t="str">
        <f>VLOOKUP(D105,tblProjekt[],2,FALSE)</f>
        <v>Infrastruktur cognovo</v>
      </c>
      <c r="F105" s="39"/>
      <c r="G105" s="35"/>
      <c r="H105" s="35"/>
      <c r="I105" s="35"/>
      <c r="J105" s="35"/>
      <c r="K105" s="35"/>
      <c r="L105" s="40" t="s">
        <v>172</v>
      </c>
    </row>
    <row r="106" spans="2:12" ht="24" x14ac:dyDescent="0.2">
      <c r="B106" s="32">
        <v>41929</v>
      </c>
      <c r="C106" s="33">
        <v>1.5</v>
      </c>
      <c r="D106" s="34" t="s">
        <v>63</v>
      </c>
      <c r="E106" s="34" t="str">
        <f>VLOOKUP(D106,tblProjekt[],2,FALSE)</f>
        <v>Klosterfrau Mass Market</v>
      </c>
      <c r="F106" s="39"/>
      <c r="G106" s="35"/>
      <c r="H106" s="35"/>
      <c r="I106" s="35"/>
      <c r="J106" s="35"/>
      <c r="K106" s="35"/>
      <c r="L106" s="40" t="s">
        <v>173</v>
      </c>
    </row>
    <row r="107" spans="2:12" x14ac:dyDescent="0.2">
      <c r="B107" s="32">
        <v>41929</v>
      </c>
      <c r="C107" s="33">
        <v>0.75</v>
      </c>
      <c r="D107" s="34" t="s">
        <v>84</v>
      </c>
      <c r="E107" s="34" t="str">
        <f>VLOOKUP(D107,tblProjekt[],2,FALSE)</f>
        <v>Infrastruktur cognovo</v>
      </c>
      <c r="F107" s="39"/>
      <c r="G107" s="35"/>
      <c r="H107" s="35"/>
      <c r="I107" s="35"/>
      <c r="J107" s="35"/>
      <c r="K107" s="35"/>
      <c r="L107" s="40" t="s">
        <v>174</v>
      </c>
    </row>
    <row r="108" spans="2:12" ht="24" x14ac:dyDescent="0.2">
      <c r="B108" s="32">
        <v>41929</v>
      </c>
      <c r="C108" s="33">
        <v>3</v>
      </c>
      <c r="D108" s="34" t="s">
        <v>339</v>
      </c>
      <c r="E108" s="34" t="str">
        <f>VLOOKUP(D108,tblProjekt[],2,FALSE)</f>
        <v>Klosterfrau Regio</v>
      </c>
      <c r="F108" s="39"/>
      <c r="G108" s="35"/>
      <c r="H108" s="35"/>
      <c r="I108" s="35"/>
      <c r="J108" s="35"/>
      <c r="K108" s="35"/>
      <c r="L108" s="40" t="s">
        <v>175</v>
      </c>
    </row>
    <row r="109" spans="2:12" ht="24" x14ac:dyDescent="0.2">
      <c r="B109" s="32">
        <v>41929</v>
      </c>
      <c r="C109" s="33">
        <v>1</v>
      </c>
      <c r="D109" s="34" t="s">
        <v>63</v>
      </c>
      <c r="E109" s="34" t="str">
        <f>VLOOKUP(D109,tblProjekt[],2,FALSE)</f>
        <v>Klosterfrau Mass Market</v>
      </c>
      <c r="F109" s="39"/>
      <c r="G109" s="35"/>
      <c r="H109" s="35"/>
      <c r="I109" s="35"/>
      <c r="J109" s="35"/>
      <c r="K109" s="35"/>
      <c r="L109" s="40" t="s">
        <v>176</v>
      </c>
    </row>
    <row r="110" spans="2:12" x14ac:dyDescent="0.2">
      <c r="B110" s="32">
        <v>41931</v>
      </c>
      <c r="C110" s="33">
        <v>0.25</v>
      </c>
      <c r="D110" s="34" t="s">
        <v>17</v>
      </c>
      <c r="E110" s="34" t="str">
        <f>VLOOKUP(D110,tblProjekt[],2,FALSE)</f>
        <v>Powerspreadsheet Win7</v>
      </c>
      <c r="F110" s="39"/>
      <c r="G110" s="35"/>
      <c r="H110" s="35"/>
      <c r="I110" s="35"/>
      <c r="J110" s="35"/>
      <c r="K110" s="35"/>
      <c r="L110" s="40" t="s">
        <v>177</v>
      </c>
    </row>
    <row r="111" spans="2:12" x14ac:dyDescent="0.2">
      <c r="B111" s="32">
        <v>41931</v>
      </c>
      <c r="C111" s="33">
        <v>1.5</v>
      </c>
      <c r="D111" s="34" t="s">
        <v>60</v>
      </c>
      <c r="E111" s="34" t="str">
        <f>VLOOKUP(D111,tblProjekt[],2,FALSE)</f>
        <v>Nutricia reports</v>
      </c>
      <c r="F111" s="39"/>
      <c r="G111" s="35"/>
      <c r="H111" s="35"/>
      <c r="I111" s="35"/>
      <c r="J111" s="35"/>
      <c r="K111" s="35"/>
      <c r="L111" s="40" t="s">
        <v>178</v>
      </c>
    </row>
    <row r="112" spans="2:12" x14ac:dyDescent="0.2">
      <c r="B112" s="32">
        <v>41931</v>
      </c>
      <c r="C112" s="33">
        <v>0.75</v>
      </c>
      <c r="D112" s="42" t="s">
        <v>84</v>
      </c>
      <c r="E112" s="34" t="str">
        <f>VLOOKUP(D112,tblProjekt[],2,FALSE)</f>
        <v>Infrastruktur cognovo</v>
      </c>
      <c r="F112" s="39"/>
      <c r="G112" s="35"/>
      <c r="H112" s="35"/>
      <c r="I112" s="35"/>
      <c r="J112" s="35"/>
      <c r="K112" s="35"/>
      <c r="L112" s="40" t="s">
        <v>179</v>
      </c>
    </row>
    <row r="113" spans="2:12" ht="24" x14ac:dyDescent="0.2">
      <c r="B113" s="32">
        <v>41931</v>
      </c>
      <c r="C113" s="33">
        <v>1.5</v>
      </c>
      <c r="D113" s="34" t="s">
        <v>59</v>
      </c>
      <c r="E113" s="34" t="str">
        <f>VLOOKUP(D113,tblProjekt[],2,FALSE)</f>
        <v>Stada reports</v>
      </c>
      <c r="F113" s="39"/>
      <c r="G113" s="35"/>
      <c r="H113" s="35"/>
      <c r="I113" s="35"/>
      <c r="J113" s="35"/>
      <c r="K113" s="35"/>
      <c r="L113" s="40" t="s">
        <v>180</v>
      </c>
    </row>
    <row r="114" spans="2:12" x14ac:dyDescent="0.2">
      <c r="B114" s="32">
        <v>41933</v>
      </c>
      <c r="C114" s="33">
        <v>1.5</v>
      </c>
      <c r="D114" s="34" t="s">
        <v>339</v>
      </c>
      <c r="E114" s="34" t="str">
        <f>VLOOKUP(D114,tblProjekt[],2,FALSE)</f>
        <v>Klosterfrau Regio</v>
      </c>
      <c r="F114" s="39"/>
      <c r="G114" s="35"/>
      <c r="H114" s="35"/>
      <c r="I114" s="35"/>
      <c r="J114" s="35"/>
      <c r="K114" s="35"/>
      <c r="L114" s="40" t="s">
        <v>181</v>
      </c>
    </row>
    <row r="115" spans="2:12" x14ac:dyDescent="0.2">
      <c r="B115" s="32">
        <v>41934</v>
      </c>
      <c r="C115" s="33">
        <v>0.5</v>
      </c>
      <c r="D115" s="34" t="s">
        <v>337</v>
      </c>
      <c r="E115" s="34" t="str">
        <f>VLOOKUP(D115,tblProjekt[],2,FALSE)</f>
        <v>Klosterfrau National</v>
      </c>
      <c r="F115" s="39"/>
      <c r="G115" s="35"/>
      <c r="H115" s="35"/>
      <c r="I115" s="35"/>
      <c r="J115" s="35"/>
      <c r="K115" s="35"/>
      <c r="L115" s="40" t="s">
        <v>182</v>
      </c>
    </row>
    <row r="116" spans="2:12" x14ac:dyDescent="0.2">
      <c r="B116" s="32">
        <v>41934</v>
      </c>
      <c r="C116" s="33">
        <v>0.5</v>
      </c>
      <c r="D116" s="34" t="s">
        <v>84</v>
      </c>
      <c r="E116" s="34" t="str">
        <f>VLOOKUP(D116,tblProjekt[],2,FALSE)</f>
        <v>Infrastruktur cognovo</v>
      </c>
      <c r="F116" s="39"/>
      <c r="G116" s="35"/>
      <c r="H116" s="35"/>
      <c r="I116" s="35"/>
      <c r="J116" s="35"/>
      <c r="K116" s="35"/>
      <c r="L116" s="40" t="s">
        <v>187</v>
      </c>
    </row>
    <row r="117" spans="2:12" ht="36" x14ac:dyDescent="0.2">
      <c r="B117" s="32">
        <v>41934</v>
      </c>
      <c r="C117" s="33">
        <v>0.75</v>
      </c>
      <c r="D117" s="34" t="s">
        <v>339</v>
      </c>
      <c r="E117" s="34" t="str">
        <f>VLOOKUP(D117,tblProjekt[],2,FALSE)</f>
        <v>Klosterfrau Regio</v>
      </c>
      <c r="F117" s="39"/>
      <c r="G117" s="35"/>
      <c r="H117" s="35"/>
      <c r="I117" s="35"/>
      <c r="J117" s="35"/>
      <c r="K117" s="35"/>
      <c r="L117" s="40" t="s">
        <v>188</v>
      </c>
    </row>
    <row r="118" spans="2:12" x14ac:dyDescent="0.2">
      <c r="B118" s="32">
        <v>41934</v>
      </c>
      <c r="C118" s="33">
        <v>0.25</v>
      </c>
      <c r="D118" s="34" t="s">
        <v>59</v>
      </c>
      <c r="E118" s="34" t="str">
        <f>VLOOKUP(D118,tblProjekt[],2,FALSE)</f>
        <v>Stada reports</v>
      </c>
      <c r="F118" s="39"/>
      <c r="G118" s="35"/>
      <c r="H118" s="35"/>
      <c r="I118" s="35"/>
      <c r="J118" s="35"/>
      <c r="K118" s="35"/>
      <c r="L118" s="40" t="s">
        <v>183</v>
      </c>
    </row>
    <row r="119" spans="2:12" ht="24" x14ac:dyDescent="0.2">
      <c r="B119" s="32">
        <v>41935</v>
      </c>
      <c r="C119" s="33">
        <v>0.75</v>
      </c>
      <c r="D119" s="34" t="s">
        <v>339</v>
      </c>
      <c r="E119" s="34" t="str">
        <f>VLOOKUP(D119,tblProjekt[],2,FALSE)</f>
        <v>Klosterfrau Regio</v>
      </c>
      <c r="F119" s="39"/>
      <c r="G119" s="35"/>
      <c r="H119" s="35"/>
      <c r="I119" s="35"/>
      <c r="J119" s="35"/>
      <c r="K119" s="35"/>
      <c r="L119" s="40" t="s">
        <v>184</v>
      </c>
    </row>
    <row r="120" spans="2:12" x14ac:dyDescent="0.2">
      <c r="B120" s="32">
        <v>41935</v>
      </c>
      <c r="C120" s="33">
        <v>1.75</v>
      </c>
      <c r="D120" s="34" t="s">
        <v>84</v>
      </c>
      <c r="E120" s="34" t="str">
        <f>VLOOKUP(D120,tblProjekt[],2,FALSE)</f>
        <v>Infrastruktur cognovo</v>
      </c>
      <c r="F120" s="39"/>
      <c r="G120" s="35"/>
      <c r="H120" s="35"/>
      <c r="I120" s="35"/>
      <c r="J120" s="35"/>
      <c r="K120" s="35"/>
      <c r="L120" s="40" t="s">
        <v>185</v>
      </c>
    </row>
    <row r="121" spans="2:12" ht="24" x14ac:dyDescent="0.2">
      <c r="B121" s="32">
        <v>41935</v>
      </c>
      <c r="C121" s="33">
        <v>1</v>
      </c>
      <c r="D121" s="34" t="s">
        <v>84</v>
      </c>
      <c r="E121" s="34" t="str">
        <f>VLOOKUP(D121,tblProjekt[],2,FALSE)</f>
        <v>Infrastruktur cognovo</v>
      </c>
      <c r="F121" s="39"/>
      <c r="G121" s="35"/>
      <c r="H121" s="35"/>
      <c r="I121" s="35"/>
      <c r="J121" s="35"/>
      <c r="K121" s="35"/>
      <c r="L121" s="40" t="s">
        <v>186</v>
      </c>
    </row>
    <row r="122" spans="2:12" ht="24" x14ac:dyDescent="0.2">
      <c r="B122" s="32">
        <v>41935</v>
      </c>
      <c r="C122" s="33">
        <v>1</v>
      </c>
      <c r="D122" s="34" t="s">
        <v>339</v>
      </c>
      <c r="E122" s="34" t="str">
        <f>VLOOKUP(D122,tblProjekt[],2,FALSE)</f>
        <v>Klosterfrau Regio</v>
      </c>
      <c r="F122" s="39"/>
      <c r="G122" s="35"/>
      <c r="H122" s="35"/>
      <c r="I122" s="35"/>
      <c r="J122" s="35"/>
      <c r="K122" s="35"/>
      <c r="L122" s="40" t="s">
        <v>189</v>
      </c>
    </row>
    <row r="123" spans="2:12" x14ac:dyDescent="0.2">
      <c r="B123" s="32">
        <v>41935</v>
      </c>
      <c r="C123" s="33">
        <v>0.5</v>
      </c>
      <c r="D123" s="34" t="s">
        <v>59</v>
      </c>
      <c r="E123" s="34" t="str">
        <f>VLOOKUP(D123,tblProjekt[],2,FALSE)</f>
        <v>Stada reports</v>
      </c>
      <c r="F123" s="39"/>
      <c r="G123" s="35"/>
      <c r="H123" s="35"/>
      <c r="I123" s="35"/>
      <c r="J123" s="35"/>
      <c r="K123" s="35"/>
      <c r="L123" s="40" t="s">
        <v>190</v>
      </c>
    </row>
    <row r="124" spans="2:12" ht="24" x14ac:dyDescent="0.2">
      <c r="B124" s="32">
        <v>41936</v>
      </c>
      <c r="C124" s="33">
        <v>4</v>
      </c>
      <c r="D124" s="34" t="s">
        <v>337</v>
      </c>
      <c r="E124" s="34" t="str">
        <f>VLOOKUP(D124,tblProjekt[],2,FALSE)</f>
        <v>Klosterfrau National</v>
      </c>
      <c r="F124" s="39"/>
      <c r="G124" s="35"/>
      <c r="H124" s="35"/>
      <c r="I124" s="35"/>
      <c r="J124" s="35"/>
      <c r="K124" s="35"/>
      <c r="L124" s="40" t="s">
        <v>191</v>
      </c>
    </row>
    <row r="125" spans="2:12" ht="24" x14ac:dyDescent="0.2">
      <c r="B125" s="32">
        <v>41936</v>
      </c>
      <c r="C125" s="33">
        <v>2</v>
      </c>
      <c r="D125" s="34" t="s">
        <v>337</v>
      </c>
      <c r="E125" s="34" t="str">
        <f>VLOOKUP(D125,tblProjekt[],2,FALSE)</f>
        <v>Klosterfrau National</v>
      </c>
      <c r="F125" s="39"/>
      <c r="G125" s="35"/>
      <c r="H125" s="35"/>
      <c r="I125" s="35"/>
      <c r="J125" s="35"/>
      <c r="K125" s="35"/>
      <c r="L125" s="40" t="s">
        <v>192</v>
      </c>
    </row>
    <row r="126" spans="2:12" ht="24" x14ac:dyDescent="0.2">
      <c r="B126" s="32">
        <v>41936</v>
      </c>
      <c r="C126" s="33">
        <v>2</v>
      </c>
      <c r="D126" s="34" t="s">
        <v>59</v>
      </c>
      <c r="E126" s="34" t="str">
        <f>VLOOKUP(D126,tblProjekt[],2,FALSE)</f>
        <v>Stada reports</v>
      </c>
      <c r="F126" s="39"/>
      <c r="G126" s="35"/>
      <c r="H126" s="35"/>
      <c r="I126" s="35"/>
      <c r="J126" s="35"/>
      <c r="K126" s="35"/>
      <c r="L126" s="40" t="s">
        <v>193</v>
      </c>
    </row>
    <row r="127" spans="2:12" x14ac:dyDescent="0.2">
      <c r="B127" s="32">
        <v>41939</v>
      </c>
      <c r="C127" s="33">
        <v>1.5</v>
      </c>
      <c r="D127" s="34" t="s">
        <v>60</v>
      </c>
      <c r="E127" s="34" t="str">
        <f>VLOOKUP(D127,tblProjekt[],2,FALSE)</f>
        <v>Nutricia reports</v>
      </c>
      <c r="F127" s="39"/>
      <c r="G127" s="35"/>
      <c r="H127" s="35"/>
      <c r="I127" s="35"/>
      <c r="J127" s="35"/>
      <c r="K127" s="35"/>
      <c r="L127" s="40" t="s">
        <v>194</v>
      </c>
    </row>
    <row r="128" spans="2:12" ht="24" x14ac:dyDescent="0.2">
      <c r="B128" s="32">
        <v>41939</v>
      </c>
      <c r="C128" s="33">
        <v>0.25</v>
      </c>
      <c r="D128" s="34" t="s">
        <v>60</v>
      </c>
      <c r="E128" s="34" t="str">
        <f>VLOOKUP(D128,tblProjekt[],2,FALSE)</f>
        <v>Nutricia reports</v>
      </c>
      <c r="F128" s="39"/>
      <c r="G128" s="35"/>
      <c r="H128" s="35"/>
      <c r="I128" s="35"/>
      <c r="J128" s="35"/>
      <c r="K128" s="35"/>
      <c r="L128" s="40" t="s">
        <v>195</v>
      </c>
    </row>
    <row r="129" spans="2:12" ht="24" x14ac:dyDescent="0.2">
      <c r="B129" s="32">
        <v>41939</v>
      </c>
      <c r="C129" s="33">
        <v>0.25</v>
      </c>
      <c r="D129" s="34" t="s">
        <v>64</v>
      </c>
      <c r="E129" s="34" t="str">
        <f>VLOOKUP(D129,tblProjekt[],2,FALSE)</f>
        <v>Omron reports</v>
      </c>
      <c r="F129" s="39"/>
      <c r="G129" s="35"/>
      <c r="H129" s="35"/>
      <c r="I129" s="35"/>
      <c r="J129" s="35"/>
      <c r="K129" s="35"/>
      <c r="L129" s="40" t="s">
        <v>196</v>
      </c>
    </row>
    <row r="130" spans="2:12" x14ac:dyDescent="0.2">
      <c r="B130" s="32">
        <v>41941</v>
      </c>
      <c r="C130" s="33">
        <v>0.5</v>
      </c>
      <c r="D130" s="34" t="s">
        <v>84</v>
      </c>
      <c r="E130" s="34" t="str">
        <f>VLOOKUP(D130,tblProjekt[],2,FALSE)</f>
        <v>Infrastruktur cognovo</v>
      </c>
      <c r="F130" s="39"/>
      <c r="G130" s="35"/>
      <c r="H130" s="35"/>
      <c r="I130" s="35"/>
      <c r="J130" s="35"/>
      <c r="K130" s="35"/>
      <c r="L130" s="40" t="s">
        <v>146</v>
      </c>
    </row>
    <row r="131" spans="2:12" ht="24" x14ac:dyDescent="0.2">
      <c r="B131" s="32">
        <v>41941</v>
      </c>
      <c r="C131" s="33">
        <v>1</v>
      </c>
      <c r="D131" s="34" t="s">
        <v>17</v>
      </c>
      <c r="E131" s="34" t="str">
        <f>VLOOKUP(D131,tblProjekt[],2,FALSE)</f>
        <v>Powerspreadsheet Win7</v>
      </c>
      <c r="F131" s="39"/>
      <c r="G131" s="35"/>
      <c r="H131" s="35"/>
      <c r="I131" s="35"/>
      <c r="J131" s="35"/>
      <c r="K131" s="35"/>
      <c r="L131" s="40" t="s">
        <v>197</v>
      </c>
    </row>
    <row r="132" spans="2:12" ht="24" x14ac:dyDescent="0.2">
      <c r="B132" s="32">
        <v>41941</v>
      </c>
      <c r="C132" s="33">
        <v>1</v>
      </c>
      <c r="D132" s="34" t="s">
        <v>17</v>
      </c>
      <c r="E132" s="34" t="str">
        <f>VLOOKUP(D132,tblProjekt[],2,FALSE)</f>
        <v>Powerspreadsheet Win7</v>
      </c>
      <c r="F132" s="39"/>
      <c r="G132" s="35"/>
      <c r="H132" s="35"/>
      <c r="I132" s="35"/>
      <c r="J132" s="35"/>
      <c r="K132" s="35"/>
      <c r="L132" s="40" t="s">
        <v>198</v>
      </c>
    </row>
    <row r="133" spans="2:12" x14ac:dyDescent="0.2">
      <c r="B133" s="32">
        <v>41942</v>
      </c>
      <c r="C133" s="33">
        <v>1</v>
      </c>
      <c r="D133" s="34" t="s">
        <v>337</v>
      </c>
      <c r="E133" s="34" t="str">
        <f>VLOOKUP(D133,tblProjekt[],2,FALSE)</f>
        <v>Klosterfrau National</v>
      </c>
      <c r="F133" s="35"/>
      <c r="G133" s="35"/>
      <c r="H133" s="35"/>
      <c r="I133" s="35"/>
      <c r="J133" s="35"/>
      <c r="K133" s="35"/>
      <c r="L133" s="40" t="s">
        <v>204</v>
      </c>
    </row>
    <row r="134" spans="2:12" x14ac:dyDescent="0.2">
      <c r="B134" s="32">
        <v>41942</v>
      </c>
      <c r="C134" s="33">
        <v>0.5</v>
      </c>
      <c r="D134" s="34" t="s">
        <v>337</v>
      </c>
      <c r="E134" s="34" t="str">
        <f>VLOOKUP(D134,tblProjekt[],2,FALSE)</f>
        <v>Klosterfrau National</v>
      </c>
      <c r="F134" s="35"/>
      <c r="G134" s="35"/>
      <c r="H134" s="35"/>
      <c r="I134" s="35"/>
      <c r="J134" s="35"/>
      <c r="K134" s="35"/>
      <c r="L134" s="40" t="s">
        <v>205</v>
      </c>
    </row>
    <row r="135" spans="2:12" ht="24" x14ac:dyDescent="0.2">
      <c r="B135" s="32">
        <v>41943</v>
      </c>
      <c r="C135" s="33">
        <v>1</v>
      </c>
      <c r="D135" s="34" t="s">
        <v>63</v>
      </c>
      <c r="E135" s="34" t="str">
        <f>VLOOKUP(D135,tblProjekt[],2,FALSE)</f>
        <v>Klosterfrau Mass Market</v>
      </c>
      <c r="F135" s="35">
        <v>18</v>
      </c>
      <c r="G135" s="35"/>
      <c r="H135" s="35"/>
      <c r="I135" s="35"/>
      <c r="J135" s="35"/>
      <c r="K135" s="35"/>
      <c r="L135" s="40" t="s">
        <v>207</v>
      </c>
    </row>
    <row r="136" spans="2:12" ht="24" x14ac:dyDescent="0.2">
      <c r="B136" s="32">
        <v>41943</v>
      </c>
      <c r="C136" s="33">
        <v>1</v>
      </c>
      <c r="D136" s="34" t="s">
        <v>35</v>
      </c>
      <c r="E136" s="34" t="str">
        <f>VLOOKUP(D136,tblProjekt[],2,FALSE)</f>
        <v>NPA Calculator</v>
      </c>
      <c r="F136" s="35" t="s">
        <v>208</v>
      </c>
      <c r="G136" s="35"/>
      <c r="H136" s="35"/>
      <c r="I136" s="35"/>
      <c r="J136" s="35"/>
      <c r="K136" s="35"/>
      <c r="L136" s="40" t="s">
        <v>221</v>
      </c>
    </row>
    <row r="137" spans="2:12" ht="24" x14ac:dyDescent="0.2">
      <c r="B137" s="32">
        <v>41943</v>
      </c>
      <c r="C137" s="33">
        <v>1</v>
      </c>
      <c r="D137" s="34" t="s">
        <v>43</v>
      </c>
      <c r="E137" s="34" t="str">
        <f>VLOOKUP(D137,tblProjekt[],2,FALSE)</f>
        <v>DPMPSN Calculator</v>
      </c>
      <c r="F137" s="35" t="s">
        <v>209</v>
      </c>
      <c r="G137" s="35"/>
      <c r="H137" s="35"/>
      <c r="I137" s="35"/>
      <c r="J137" s="35"/>
      <c r="K137" s="35"/>
      <c r="L137" s="40" t="s">
        <v>221</v>
      </c>
    </row>
    <row r="138" spans="2:12" ht="24" x14ac:dyDescent="0.2">
      <c r="B138" s="32">
        <v>41943</v>
      </c>
      <c r="C138" s="33">
        <v>0.25</v>
      </c>
      <c r="D138" s="34" t="s">
        <v>43</v>
      </c>
      <c r="E138" s="34" t="str">
        <f>VLOOKUP(D138,tblProjekt[],2,FALSE)</f>
        <v>DPMPSN Calculator</v>
      </c>
      <c r="F138" s="35">
        <v>29</v>
      </c>
      <c r="G138" s="35"/>
      <c r="H138" s="35"/>
      <c r="I138" s="35"/>
      <c r="J138" s="35"/>
      <c r="K138" s="35"/>
      <c r="L138" s="40" t="s">
        <v>218</v>
      </c>
    </row>
    <row r="139" spans="2:12" ht="24" x14ac:dyDescent="0.2">
      <c r="B139" s="32">
        <v>41943</v>
      </c>
      <c r="C139" s="33">
        <v>0.25</v>
      </c>
      <c r="D139" s="34" t="s">
        <v>35</v>
      </c>
      <c r="E139" s="34" t="str">
        <f>VLOOKUP(D139,tblProjekt[],2,FALSE)</f>
        <v>NPA Calculator</v>
      </c>
      <c r="F139" s="35">
        <v>30</v>
      </c>
      <c r="G139" s="35"/>
      <c r="H139" s="35"/>
      <c r="I139" s="35"/>
      <c r="J139" s="35"/>
      <c r="K139" s="35"/>
      <c r="L139" s="40" t="s">
        <v>218</v>
      </c>
    </row>
    <row r="140" spans="2:12" ht="24" x14ac:dyDescent="0.2">
      <c r="B140" s="32">
        <v>41943</v>
      </c>
      <c r="C140" s="33">
        <v>0.25</v>
      </c>
      <c r="D140" s="34" t="s">
        <v>35</v>
      </c>
      <c r="E140" s="34" t="str">
        <f>VLOOKUP(D140,tblProjekt[],2,FALSE)</f>
        <v>NPA Calculator</v>
      </c>
      <c r="F140" s="35">
        <v>31</v>
      </c>
      <c r="G140" s="35"/>
      <c r="H140" s="35"/>
      <c r="I140" s="35"/>
      <c r="J140" s="35"/>
      <c r="K140" s="35"/>
      <c r="L140" s="40" t="s">
        <v>218</v>
      </c>
    </row>
    <row r="141" spans="2:12" ht="24" x14ac:dyDescent="0.2">
      <c r="B141" s="32">
        <v>41943</v>
      </c>
      <c r="C141" s="33">
        <v>0.25</v>
      </c>
      <c r="D141" s="34" t="s">
        <v>43</v>
      </c>
      <c r="E141" s="34" t="str">
        <f>VLOOKUP(D141,tblProjekt[],2,FALSE)</f>
        <v>DPMPSN Calculator</v>
      </c>
      <c r="F141" s="35">
        <v>32</v>
      </c>
      <c r="G141" s="35"/>
      <c r="H141" s="35"/>
      <c r="I141" s="35"/>
      <c r="J141" s="35"/>
      <c r="K141" s="35"/>
      <c r="L141" s="40" t="s">
        <v>218</v>
      </c>
    </row>
    <row r="142" spans="2:12" ht="24" x14ac:dyDescent="0.2">
      <c r="B142" s="32">
        <v>41943</v>
      </c>
      <c r="C142" s="33">
        <v>0.25</v>
      </c>
      <c r="D142" s="34" t="s">
        <v>29</v>
      </c>
      <c r="E142" s="34" t="str">
        <f>VLOOKUP(D142,tblProjekt[],2,FALSE)</f>
        <v>CM Calculator</v>
      </c>
      <c r="F142" s="35">
        <v>28</v>
      </c>
      <c r="G142" s="35"/>
      <c r="H142" s="35"/>
      <c r="I142" s="35"/>
      <c r="J142" s="35"/>
      <c r="K142" s="35"/>
      <c r="L142" s="40" t="s">
        <v>218</v>
      </c>
    </row>
    <row r="143" spans="2:12" x14ac:dyDescent="0.2">
      <c r="B143" s="36">
        <v>41943</v>
      </c>
      <c r="C143" s="37">
        <v>0.25</v>
      </c>
      <c r="D143" s="38" t="s">
        <v>84</v>
      </c>
      <c r="E143" s="38" t="str">
        <f>VLOOKUP(D143,tblProjekt[],2,FALSE)</f>
        <v>Infrastruktur cognovo</v>
      </c>
      <c r="F143" s="39"/>
      <c r="G143" s="39"/>
      <c r="H143" s="39"/>
      <c r="I143" s="39"/>
      <c r="J143" s="39"/>
      <c r="K143" s="39"/>
      <c r="L143" s="41" t="s">
        <v>206</v>
      </c>
    </row>
    <row r="144" spans="2:12" x14ac:dyDescent="0.2">
      <c r="B144" s="36">
        <v>41945</v>
      </c>
      <c r="C144" s="37">
        <v>0.5</v>
      </c>
      <c r="D144" s="38" t="s">
        <v>84</v>
      </c>
      <c r="E144" s="38" t="str">
        <f>VLOOKUP(D144,tblProjekt[],2,FALSE)</f>
        <v>Infrastruktur cognovo</v>
      </c>
      <c r="F144" s="39"/>
      <c r="G144" s="39"/>
      <c r="H144" s="39"/>
      <c r="I144" s="39"/>
      <c r="J144" s="39"/>
      <c r="K144" s="39"/>
      <c r="L144" s="41" t="s">
        <v>210</v>
      </c>
    </row>
    <row r="145" spans="2:12" ht="24" x14ac:dyDescent="0.2">
      <c r="B145" s="36">
        <v>41945</v>
      </c>
      <c r="C145" s="37">
        <v>0.5</v>
      </c>
      <c r="D145" s="38" t="s">
        <v>84</v>
      </c>
      <c r="E145" s="38" t="str">
        <f>VLOOKUP(D145,tblProjekt[],2,FALSE)</f>
        <v>Infrastruktur cognovo</v>
      </c>
      <c r="F145" s="39"/>
      <c r="G145" s="39"/>
      <c r="H145" s="39"/>
      <c r="I145" s="39"/>
      <c r="J145" s="39"/>
      <c r="K145" s="39"/>
      <c r="L145" s="41" t="s">
        <v>213</v>
      </c>
    </row>
    <row r="146" spans="2:12" ht="24" x14ac:dyDescent="0.2">
      <c r="B146" s="36">
        <v>41948</v>
      </c>
      <c r="C146" s="37">
        <v>0.25</v>
      </c>
      <c r="D146" s="38" t="s">
        <v>43</v>
      </c>
      <c r="E146" s="38" t="str">
        <f>VLOOKUP(D146,tblProjekt[],2,FALSE)</f>
        <v>DPMPSN Calculator</v>
      </c>
      <c r="F146" s="39">
        <v>32</v>
      </c>
      <c r="G146" s="39"/>
      <c r="H146" s="39"/>
      <c r="I146" s="39"/>
      <c r="J146" s="39"/>
      <c r="K146" s="39"/>
      <c r="L146" s="41" t="s">
        <v>220</v>
      </c>
    </row>
    <row r="147" spans="2:12" ht="24" x14ac:dyDescent="0.2">
      <c r="B147" s="36">
        <v>41948</v>
      </c>
      <c r="C147" s="37">
        <v>0.25</v>
      </c>
      <c r="D147" s="38" t="s">
        <v>43</v>
      </c>
      <c r="E147" s="38" t="str">
        <f>VLOOKUP(D147,tblProjekt[],2,FALSE)</f>
        <v>DPMPSN Calculator</v>
      </c>
      <c r="F147" s="39" t="s">
        <v>215</v>
      </c>
      <c r="G147" s="39"/>
      <c r="H147" s="39"/>
      <c r="I147" s="39"/>
      <c r="J147" s="39"/>
      <c r="K147" s="39"/>
      <c r="L147" s="41" t="s">
        <v>214</v>
      </c>
    </row>
    <row r="148" spans="2:12" ht="24" x14ac:dyDescent="0.2">
      <c r="B148" s="36">
        <v>41948</v>
      </c>
      <c r="C148" s="37">
        <v>0.25</v>
      </c>
      <c r="D148" s="38" t="s">
        <v>35</v>
      </c>
      <c r="E148" s="38" t="str">
        <f>VLOOKUP(D148,tblProjekt[],2,FALSE)</f>
        <v>NPA Calculator</v>
      </c>
      <c r="F148" s="39" t="s">
        <v>217</v>
      </c>
      <c r="G148" s="39"/>
      <c r="H148" s="39"/>
      <c r="I148" s="39"/>
      <c r="J148" s="39"/>
      <c r="K148" s="39"/>
      <c r="L148" s="41" t="s">
        <v>216</v>
      </c>
    </row>
    <row r="149" spans="2:12" ht="24" x14ac:dyDescent="0.2">
      <c r="B149" s="36">
        <v>41948</v>
      </c>
      <c r="C149" s="37">
        <v>0.5</v>
      </c>
      <c r="D149" s="38" t="s">
        <v>43</v>
      </c>
      <c r="E149" s="38" t="str">
        <f>VLOOKUP(D149,tblProjekt[],2,FALSE)</f>
        <v>DPMPSN Calculator</v>
      </c>
      <c r="F149" s="39">
        <v>33</v>
      </c>
      <c r="G149" s="39"/>
      <c r="H149" s="39"/>
      <c r="I149" s="39"/>
      <c r="J149" s="39"/>
      <c r="K149" s="39"/>
      <c r="L149" s="41" t="s">
        <v>218</v>
      </c>
    </row>
    <row r="150" spans="2:12" ht="24" x14ac:dyDescent="0.2">
      <c r="B150" s="36">
        <v>41949</v>
      </c>
      <c r="C150" s="37">
        <v>0.5</v>
      </c>
      <c r="D150" s="38" t="s">
        <v>43</v>
      </c>
      <c r="E150" s="38" t="str">
        <f>VLOOKUP(D150,tblProjekt[],2,FALSE)</f>
        <v>DPMPSN Calculator</v>
      </c>
      <c r="F150" s="39">
        <v>34</v>
      </c>
      <c r="G150" s="39"/>
      <c r="H150" s="39"/>
      <c r="I150" s="39"/>
      <c r="J150" s="39"/>
      <c r="K150" s="39"/>
      <c r="L150" s="41" t="s">
        <v>218</v>
      </c>
    </row>
    <row r="151" spans="2:12" ht="24" x14ac:dyDescent="0.2">
      <c r="B151" s="36">
        <v>41949</v>
      </c>
      <c r="C151" s="37">
        <v>1</v>
      </c>
      <c r="D151" s="38" t="s">
        <v>35</v>
      </c>
      <c r="E151" s="38" t="str">
        <f>VLOOKUP(D151,tblProjekt[],2,FALSE)</f>
        <v>NPA Calculator</v>
      </c>
      <c r="F151" s="39" t="s">
        <v>217</v>
      </c>
      <c r="G151" s="39"/>
      <c r="H151" s="39"/>
      <c r="I151" s="39"/>
      <c r="J151" s="39"/>
      <c r="K151" s="39"/>
      <c r="L151" s="41" t="s">
        <v>219</v>
      </c>
    </row>
    <row r="152" spans="2:12" x14ac:dyDescent="0.2">
      <c r="B152" s="43">
        <v>41949</v>
      </c>
      <c r="C152" s="44">
        <v>0.25</v>
      </c>
      <c r="D152" s="45" t="s">
        <v>84</v>
      </c>
      <c r="E152" s="45" t="str">
        <f>VLOOKUP(D152,tblProjekt[],2,FALSE)</f>
        <v>Infrastruktur cognovo</v>
      </c>
      <c r="F152" s="46"/>
      <c r="G152" s="46"/>
      <c r="H152" s="46"/>
      <c r="I152" s="46"/>
      <c r="J152" s="46"/>
      <c r="K152" s="46"/>
      <c r="L152" s="47" t="s">
        <v>146</v>
      </c>
    </row>
    <row r="153" spans="2:12" ht="24" x14ac:dyDescent="0.2">
      <c r="B153" s="43">
        <v>41949</v>
      </c>
      <c r="C153" s="44">
        <v>0.5</v>
      </c>
      <c r="D153" s="45" t="s">
        <v>43</v>
      </c>
      <c r="E153" s="45" t="str">
        <f>VLOOKUP(D153,tblProjekt[],2,FALSE)</f>
        <v>DPMPSN Calculator</v>
      </c>
      <c r="F153" s="46"/>
      <c r="G153" s="46"/>
      <c r="H153" s="46"/>
      <c r="I153" s="46"/>
      <c r="J153" s="46"/>
      <c r="K153" s="46"/>
      <c r="L153" s="47" t="s">
        <v>222</v>
      </c>
    </row>
    <row r="154" spans="2:12" x14ac:dyDescent="0.2">
      <c r="B154" s="43">
        <v>41950</v>
      </c>
      <c r="C154" s="44">
        <v>0.25</v>
      </c>
      <c r="D154" s="45" t="s">
        <v>84</v>
      </c>
      <c r="E154" s="45" t="str">
        <f>VLOOKUP(D154,tblProjekt[],2,FALSE)</f>
        <v>Infrastruktur cognovo</v>
      </c>
      <c r="F154" s="46"/>
      <c r="G154" s="46"/>
      <c r="H154" s="46"/>
      <c r="I154" s="46"/>
      <c r="J154" s="46"/>
      <c r="K154" s="46"/>
      <c r="L154" s="47" t="s">
        <v>223</v>
      </c>
    </row>
    <row r="155" spans="2:12" ht="24" x14ac:dyDescent="0.2">
      <c r="B155" s="43">
        <v>41950</v>
      </c>
      <c r="C155" s="44">
        <v>1</v>
      </c>
      <c r="D155" s="45" t="s">
        <v>66</v>
      </c>
      <c r="E155" s="45" t="str">
        <f>VLOOKUP(D155,tblProjekt[],2,FALSE)</f>
        <v>PHS Calculator</v>
      </c>
      <c r="F155" s="46">
        <v>23</v>
      </c>
      <c r="G155" s="46"/>
      <c r="H155" s="46"/>
      <c r="I155" s="46"/>
      <c r="J155" s="46"/>
      <c r="K155" s="46"/>
      <c r="L155" s="47" t="s">
        <v>224</v>
      </c>
    </row>
    <row r="156" spans="2:12" ht="36" x14ac:dyDescent="0.2">
      <c r="B156" s="43">
        <v>41950</v>
      </c>
      <c r="C156" s="44">
        <v>4.25</v>
      </c>
      <c r="D156" s="45" t="s">
        <v>339</v>
      </c>
      <c r="E156" s="45" t="str">
        <f>VLOOKUP(D156,tblProjekt[],2,FALSE)</f>
        <v>Klosterfrau Regio</v>
      </c>
      <c r="F156" s="46"/>
      <c r="G156" s="46"/>
      <c r="H156" s="46"/>
      <c r="I156" s="46"/>
      <c r="J156" s="46"/>
      <c r="K156" s="46"/>
      <c r="L156" s="47" t="s">
        <v>225</v>
      </c>
    </row>
    <row r="157" spans="2:12" x14ac:dyDescent="0.2">
      <c r="B157" s="43">
        <v>41955</v>
      </c>
      <c r="C157" s="44">
        <v>0.25</v>
      </c>
      <c r="D157" s="45" t="s">
        <v>84</v>
      </c>
      <c r="E157" s="45" t="str">
        <f>VLOOKUP(D157,tblProjekt[],2,FALSE)</f>
        <v>Infrastruktur cognovo</v>
      </c>
      <c r="F157" s="46"/>
      <c r="G157" s="46"/>
      <c r="H157" s="46"/>
      <c r="I157" s="46"/>
      <c r="J157" s="46"/>
      <c r="K157" s="46"/>
      <c r="L157" s="47" t="s">
        <v>223</v>
      </c>
    </row>
    <row r="158" spans="2:12" ht="24" x14ac:dyDescent="0.2">
      <c r="B158" s="43">
        <v>41955</v>
      </c>
      <c r="C158" s="44">
        <v>0.5</v>
      </c>
      <c r="D158" s="45" t="s">
        <v>84</v>
      </c>
      <c r="E158" s="45" t="str">
        <f>VLOOKUP(D158,tblProjekt[],2,FALSE)</f>
        <v>Infrastruktur cognovo</v>
      </c>
      <c r="F158" s="46"/>
      <c r="G158" s="46"/>
      <c r="H158" s="46"/>
      <c r="I158" s="46"/>
      <c r="J158" s="46"/>
      <c r="K158" s="46"/>
      <c r="L158" s="47" t="s">
        <v>226</v>
      </c>
    </row>
    <row r="159" spans="2:12" x14ac:dyDescent="0.2">
      <c r="B159" s="43">
        <v>41955</v>
      </c>
      <c r="C159" s="44">
        <v>2</v>
      </c>
      <c r="D159" s="45" t="s">
        <v>43</v>
      </c>
      <c r="E159" s="45" t="str">
        <f>VLOOKUP(D159,tblProjekt[],2,FALSE)</f>
        <v>DPMPSN Calculator</v>
      </c>
      <c r="F159" s="46">
        <v>29</v>
      </c>
      <c r="G159" s="46"/>
      <c r="H159" s="46"/>
      <c r="I159" s="46"/>
      <c r="J159" s="46"/>
      <c r="K159" s="46"/>
      <c r="L159" s="47" t="s">
        <v>227</v>
      </c>
    </row>
    <row r="160" spans="2:12" ht="24" x14ac:dyDescent="0.2">
      <c r="B160" s="43">
        <v>41955</v>
      </c>
      <c r="C160" s="44">
        <v>0.25</v>
      </c>
      <c r="D160" s="45" t="s">
        <v>43</v>
      </c>
      <c r="E160" s="45" t="str">
        <f>VLOOKUP(D160,tblProjekt[],2,FALSE)</f>
        <v>DPMPSN Calculator</v>
      </c>
      <c r="F160" s="46"/>
      <c r="G160" s="46"/>
      <c r="H160" s="46"/>
      <c r="I160" s="46"/>
      <c r="J160" s="46"/>
      <c r="K160" s="46"/>
      <c r="L160" s="47" t="s">
        <v>228</v>
      </c>
    </row>
    <row r="161" spans="2:12" ht="24" x14ac:dyDescent="0.2">
      <c r="B161" s="43">
        <v>41955</v>
      </c>
      <c r="C161" s="44">
        <v>0.25</v>
      </c>
      <c r="D161" s="45" t="s">
        <v>43</v>
      </c>
      <c r="E161" s="45" t="str">
        <f>VLOOKUP(D161,tblProjekt[],2,FALSE)</f>
        <v>DPMPSN Calculator</v>
      </c>
      <c r="F161" s="46"/>
      <c r="G161" s="46"/>
      <c r="H161" s="46"/>
      <c r="I161" s="46"/>
      <c r="J161" s="46"/>
      <c r="K161" s="46"/>
      <c r="L161" s="47" t="s">
        <v>229</v>
      </c>
    </row>
    <row r="162" spans="2:12" ht="24" x14ac:dyDescent="0.2">
      <c r="B162" s="43">
        <v>41955</v>
      </c>
      <c r="C162" s="44">
        <v>0.5</v>
      </c>
      <c r="D162" s="45" t="s">
        <v>43</v>
      </c>
      <c r="E162" s="45" t="str">
        <f>VLOOKUP(D162,tblProjekt[],2,FALSE)</f>
        <v>DPMPSN Calculator</v>
      </c>
      <c r="F162" s="46">
        <v>29</v>
      </c>
      <c r="G162" s="46"/>
      <c r="H162" s="46"/>
      <c r="I162" s="46"/>
      <c r="J162" s="46"/>
      <c r="K162" s="46"/>
      <c r="L162" s="47" t="s">
        <v>230</v>
      </c>
    </row>
    <row r="163" spans="2:12" x14ac:dyDescent="0.2">
      <c r="B163" s="43">
        <v>41955</v>
      </c>
      <c r="C163" s="44">
        <v>0.5</v>
      </c>
      <c r="D163" s="45" t="s">
        <v>43</v>
      </c>
      <c r="E163" s="45" t="str">
        <f>VLOOKUP(D163,tblProjekt[],2,FALSE)</f>
        <v>DPMPSN Calculator</v>
      </c>
      <c r="F163" s="46">
        <v>29</v>
      </c>
      <c r="G163" s="46"/>
      <c r="H163" s="46"/>
      <c r="I163" s="46"/>
      <c r="J163" s="46"/>
      <c r="K163" s="46"/>
      <c r="L163" s="47" t="s">
        <v>231</v>
      </c>
    </row>
    <row r="164" spans="2:12" x14ac:dyDescent="0.2">
      <c r="B164" s="43">
        <v>41955</v>
      </c>
      <c r="C164" s="44">
        <v>0.25</v>
      </c>
      <c r="D164" s="45" t="s">
        <v>43</v>
      </c>
      <c r="E164" s="45" t="str">
        <f>VLOOKUP(D164,tblProjekt[],2,FALSE)</f>
        <v>DPMPSN Calculator</v>
      </c>
      <c r="F164" s="46">
        <v>38</v>
      </c>
      <c r="G164" s="46"/>
      <c r="H164" s="46"/>
      <c r="I164" s="46"/>
      <c r="J164" s="46"/>
      <c r="K164" s="46"/>
      <c r="L164" s="47" t="s">
        <v>232</v>
      </c>
    </row>
    <row r="165" spans="2:12" ht="24" x14ac:dyDescent="0.2">
      <c r="B165" s="43">
        <v>41955</v>
      </c>
      <c r="C165" s="44">
        <v>0.75</v>
      </c>
      <c r="D165" s="45" t="s">
        <v>84</v>
      </c>
      <c r="E165" s="45" t="str">
        <f>VLOOKUP(D165,tblProjekt[],2,FALSE)</f>
        <v>Infrastruktur cognovo</v>
      </c>
      <c r="F165" s="46"/>
      <c r="G165" s="46"/>
      <c r="H165" s="46"/>
      <c r="I165" s="46"/>
      <c r="J165" s="46"/>
      <c r="K165" s="46"/>
      <c r="L165" s="47" t="s">
        <v>233</v>
      </c>
    </row>
    <row r="166" spans="2:12" x14ac:dyDescent="0.2">
      <c r="B166" s="43">
        <v>41956</v>
      </c>
      <c r="C166" s="44">
        <v>6.5</v>
      </c>
      <c r="D166" s="45" t="s">
        <v>84</v>
      </c>
      <c r="E166" s="45" t="str">
        <f>VLOOKUP(D166,tblProjekt[],2,FALSE)</f>
        <v>Infrastruktur cognovo</v>
      </c>
      <c r="F166" s="46"/>
      <c r="G166" s="46"/>
      <c r="H166" s="46"/>
      <c r="I166" s="46"/>
      <c r="J166" s="46"/>
      <c r="K166" s="46"/>
      <c r="L166" s="47" t="s">
        <v>234</v>
      </c>
    </row>
    <row r="167" spans="2:12" ht="24" x14ac:dyDescent="0.2">
      <c r="B167" s="43">
        <v>41956</v>
      </c>
      <c r="C167" s="44">
        <v>0.5</v>
      </c>
      <c r="D167" s="45" t="s">
        <v>84</v>
      </c>
      <c r="E167" s="45" t="str">
        <f>VLOOKUP(D167,tblProjekt[],2,FALSE)</f>
        <v>Infrastruktur cognovo</v>
      </c>
      <c r="F167" s="46"/>
      <c r="G167" s="46"/>
      <c r="H167" s="46"/>
      <c r="I167" s="46"/>
      <c r="J167" s="46"/>
      <c r="K167" s="46"/>
      <c r="L167" s="47" t="s">
        <v>235</v>
      </c>
    </row>
    <row r="168" spans="2:12" x14ac:dyDescent="0.2">
      <c r="B168" s="43">
        <v>41957</v>
      </c>
      <c r="C168" s="44">
        <v>6.5</v>
      </c>
      <c r="D168" s="45" t="s">
        <v>84</v>
      </c>
      <c r="E168" s="45" t="str">
        <f>VLOOKUP(D168,tblProjekt[],2,FALSE)</f>
        <v>Infrastruktur cognovo</v>
      </c>
      <c r="F168" s="46"/>
      <c r="G168" s="46"/>
      <c r="H168" s="46"/>
      <c r="I168" s="46"/>
      <c r="J168" s="46"/>
      <c r="K168" s="46"/>
      <c r="L168" s="47" t="s">
        <v>234</v>
      </c>
    </row>
    <row r="169" spans="2:12" x14ac:dyDescent="0.2">
      <c r="B169" s="43">
        <v>41960</v>
      </c>
      <c r="C169" s="44">
        <v>0.5</v>
      </c>
      <c r="D169" s="45" t="s">
        <v>43</v>
      </c>
      <c r="E169" s="45" t="str">
        <f>VLOOKUP(D169,tblProjekt[],2,FALSE)</f>
        <v>DPMPSN Calculator</v>
      </c>
      <c r="F169" s="46">
        <v>29</v>
      </c>
      <c r="G169" s="46"/>
      <c r="H169" s="46"/>
      <c r="I169" s="46"/>
      <c r="J169" s="46"/>
      <c r="K169" s="46"/>
      <c r="L169" s="47" t="s">
        <v>236</v>
      </c>
    </row>
    <row r="170" spans="2:12" x14ac:dyDescent="0.2">
      <c r="B170" s="43">
        <v>41961</v>
      </c>
      <c r="C170" s="44">
        <v>0.2</v>
      </c>
      <c r="D170" s="45" t="s">
        <v>337</v>
      </c>
      <c r="E170" s="45" t="str">
        <f>VLOOKUP(D170,tblProjekt[],2,FALSE)</f>
        <v>Klosterfrau National</v>
      </c>
      <c r="F170" s="46"/>
      <c r="G170" s="46"/>
      <c r="H170" s="46"/>
      <c r="I170" s="46"/>
      <c r="J170" s="46"/>
      <c r="K170" s="46"/>
      <c r="L170" s="47" t="s">
        <v>237</v>
      </c>
    </row>
    <row r="171" spans="2:12" x14ac:dyDescent="0.2">
      <c r="B171" s="43">
        <v>41961</v>
      </c>
      <c r="C171" s="44">
        <v>0.2</v>
      </c>
      <c r="D171" s="45" t="s">
        <v>59</v>
      </c>
      <c r="E171" s="45" t="str">
        <f>VLOOKUP(D171,tblProjekt[],2,FALSE)</f>
        <v>Stada reports</v>
      </c>
      <c r="F171" s="46"/>
      <c r="G171" s="46"/>
      <c r="H171" s="46"/>
      <c r="I171" s="46"/>
      <c r="J171" s="46"/>
      <c r="K171" s="46"/>
      <c r="L171" s="47" t="s">
        <v>238</v>
      </c>
    </row>
    <row r="172" spans="2:12" x14ac:dyDescent="0.2">
      <c r="B172" s="43">
        <v>41961</v>
      </c>
      <c r="C172" s="44">
        <v>0.2</v>
      </c>
      <c r="D172" s="45" t="s">
        <v>37</v>
      </c>
      <c r="E172" s="45" t="str">
        <f>VLOOKUP(D172,tblProjekt[],2,FALSE)</f>
        <v>Cesra report</v>
      </c>
      <c r="F172" s="46"/>
      <c r="G172" s="46"/>
      <c r="H172" s="46"/>
      <c r="I172" s="46"/>
      <c r="J172" s="46"/>
      <c r="K172" s="46"/>
      <c r="L172" s="47" t="s">
        <v>239</v>
      </c>
    </row>
    <row r="173" spans="2:12" x14ac:dyDescent="0.2">
      <c r="B173" s="43">
        <v>41961</v>
      </c>
      <c r="C173" s="44">
        <v>0.2</v>
      </c>
      <c r="D173" s="45" t="s">
        <v>63</v>
      </c>
      <c r="E173" s="45" t="str">
        <f>VLOOKUP(D173,tblProjekt[],2,FALSE)</f>
        <v>Klosterfrau Mass Market</v>
      </c>
      <c r="F173" s="46"/>
      <c r="G173" s="46"/>
      <c r="H173" s="46"/>
      <c r="I173" s="46"/>
      <c r="J173" s="46"/>
      <c r="K173" s="46"/>
      <c r="L173" s="47" t="s">
        <v>240</v>
      </c>
    </row>
    <row r="174" spans="2:12" ht="12" customHeight="1" x14ac:dyDescent="0.2">
      <c r="B174" s="43">
        <v>41961</v>
      </c>
      <c r="C174" s="44">
        <v>0.2</v>
      </c>
      <c r="D174" s="45" t="s">
        <v>43</v>
      </c>
      <c r="E174" s="45" t="str">
        <f>VLOOKUP(D174,tblProjekt[],2,FALSE)</f>
        <v>DPMPSN Calculator</v>
      </c>
      <c r="F174" s="46">
        <v>39</v>
      </c>
      <c r="G174" s="46"/>
      <c r="H174" s="46"/>
      <c r="I174" s="46"/>
      <c r="J174" s="46"/>
      <c r="K174" s="46"/>
      <c r="L174" s="47" t="s">
        <v>241</v>
      </c>
    </row>
    <row r="175" spans="2:12" x14ac:dyDescent="0.2">
      <c r="B175" s="43">
        <v>41962</v>
      </c>
      <c r="C175" s="44">
        <v>0.25</v>
      </c>
      <c r="D175" s="45" t="s">
        <v>84</v>
      </c>
      <c r="E175" s="45" t="str">
        <f>VLOOKUP(D175,tblProjekt[],2,FALSE)</f>
        <v>Infrastruktur cognovo</v>
      </c>
      <c r="F175" s="46"/>
      <c r="G175" s="46"/>
      <c r="H175" s="46"/>
      <c r="I175" s="46"/>
      <c r="J175" s="46"/>
      <c r="K175" s="46"/>
      <c r="L175" s="47" t="s">
        <v>223</v>
      </c>
    </row>
    <row r="176" spans="2:12" ht="21" customHeight="1" x14ac:dyDescent="0.2">
      <c r="B176" s="43">
        <v>41962</v>
      </c>
      <c r="C176" s="44">
        <v>5.25</v>
      </c>
      <c r="D176" s="45" t="s">
        <v>37</v>
      </c>
      <c r="E176" s="45" t="str">
        <f>VLOOKUP(D176,tblProjekt[],2,FALSE)</f>
        <v>Cesra report</v>
      </c>
      <c r="F176" s="46"/>
      <c r="G176" s="46"/>
      <c r="H176" s="46"/>
      <c r="I176" s="46"/>
      <c r="J176" s="46"/>
      <c r="K176" s="46"/>
      <c r="L176" s="47" t="s">
        <v>242</v>
      </c>
    </row>
    <row r="177" spans="2:12" ht="24" x14ac:dyDescent="0.2">
      <c r="B177" s="43">
        <v>41962</v>
      </c>
      <c r="C177" s="44">
        <v>0.25</v>
      </c>
      <c r="D177" s="45" t="s">
        <v>337</v>
      </c>
      <c r="E177" s="45" t="str">
        <f>VLOOKUP(D177,tblProjekt[],2,FALSE)</f>
        <v>Klosterfrau National</v>
      </c>
      <c r="F177" s="46"/>
      <c r="G177" s="46"/>
      <c r="H177" s="46"/>
      <c r="I177" s="46"/>
      <c r="J177" s="46"/>
      <c r="K177" s="46"/>
      <c r="L177" s="47" t="s">
        <v>243</v>
      </c>
    </row>
    <row r="178" spans="2:12" ht="24" x14ac:dyDescent="0.2">
      <c r="B178" s="43">
        <v>41962</v>
      </c>
      <c r="C178" s="44">
        <v>1</v>
      </c>
      <c r="D178" s="45" t="s">
        <v>43</v>
      </c>
      <c r="E178" s="45" t="str">
        <f>VLOOKUP(D178,tblProjekt[],2,FALSE)</f>
        <v>DPMPSN Calculator</v>
      </c>
      <c r="F178" s="46">
        <v>33</v>
      </c>
      <c r="G178" s="46"/>
      <c r="H178" s="46"/>
      <c r="I178" s="46"/>
      <c r="J178" s="46"/>
      <c r="K178" s="46"/>
      <c r="L178" s="47" t="s">
        <v>244</v>
      </c>
    </row>
    <row r="179" spans="2:12" ht="24" x14ac:dyDescent="0.2">
      <c r="B179" s="43">
        <v>41962</v>
      </c>
      <c r="C179" s="44">
        <v>1.75</v>
      </c>
      <c r="D179" s="45" t="s">
        <v>17</v>
      </c>
      <c r="E179" s="45" t="str">
        <f>VLOOKUP(D179,tblProjekt[],2,FALSE)</f>
        <v>Powerspreadsheet Win7</v>
      </c>
      <c r="F179" s="46"/>
      <c r="G179" s="46"/>
      <c r="H179" s="46"/>
      <c r="I179" s="46"/>
      <c r="J179" s="46"/>
      <c r="K179" s="46"/>
      <c r="L179" s="47" t="s">
        <v>245</v>
      </c>
    </row>
    <row r="180" spans="2:12" ht="24" x14ac:dyDescent="0.2">
      <c r="B180" s="43">
        <v>41962</v>
      </c>
      <c r="C180" s="44">
        <v>1.5</v>
      </c>
      <c r="D180" s="45" t="s">
        <v>63</v>
      </c>
      <c r="E180" s="45" t="str">
        <f>VLOOKUP(D180,tblProjekt[],2,FALSE)</f>
        <v>Klosterfrau Mass Market</v>
      </c>
      <c r="F180" s="46"/>
      <c r="G180" s="46"/>
      <c r="H180" s="46"/>
      <c r="I180" s="46"/>
      <c r="J180" s="46"/>
      <c r="K180" s="46"/>
      <c r="L180" s="47" t="s">
        <v>246</v>
      </c>
    </row>
    <row r="181" spans="2:12" ht="36" x14ac:dyDescent="0.2">
      <c r="B181" s="43">
        <v>41963</v>
      </c>
      <c r="C181" s="44">
        <v>1.75</v>
      </c>
      <c r="D181" s="45" t="s">
        <v>63</v>
      </c>
      <c r="E181" s="45" t="str">
        <f>VLOOKUP(D181,tblProjekt[],2,FALSE)</f>
        <v>Klosterfrau Mass Market</v>
      </c>
      <c r="F181" s="46"/>
      <c r="G181" s="46"/>
      <c r="H181" s="46"/>
      <c r="I181" s="46"/>
      <c r="J181" s="46"/>
      <c r="K181" s="46"/>
      <c r="L181" s="47" t="s">
        <v>247</v>
      </c>
    </row>
    <row r="182" spans="2:12" x14ac:dyDescent="0.2">
      <c r="B182" s="43">
        <v>41963</v>
      </c>
      <c r="C182" s="44">
        <v>0.25</v>
      </c>
      <c r="D182" s="45" t="s">
        <v>37</v>
      </c>
      <c r="E182" s="45" t="str">
        <f>VLOOKUP(D182,tblProjekt[],2,FALSE)</f>
        <v>Cesra report</v>
      </c>
      <c r="F182" s="46"/>
      <c r="G182" s="46"/>
      <c r="H182" s="46"/>
      <c r="I182" s="46"/>
      <c r="J182" s="46"/>
      <c r="K182" s="46"/>
      <c r="L182" s="47" t="s">
        <v>248</v>
      </c>
    </row>
    <row r="183" spans="2:12" ht="24" x14ac:dyDescent="0.2">
      <c r="B183" s="43">
        <v>41963</v>
      </c>
      <c r="C183" s="44">
        <v>1.75</v>
      </c>
      <c r="D183" s="45" t="s">
        <v>6</v>
      </c>
      <c r="E183" s="45" t="str">
        <f>VLOOKUP(D183,tblProjekt[],2,FALSE)</f>
        <v>Produktionsportal 2</v>
      </c>
      <c r="F183" s="46"/>
      <c r="G183" s="46"/>
      <c r="H183" s="46"/>
      <c r="I183" s="46"/>
      <c r="J183" s="46"/>
      <c r="K183" s="46"/>
      <c r="L183" s="47" t="s">
        <v>249</v>
      </c>
    </row>
    <row r="184" spans="2:12" ht="36" x14ac:dyDescent="0.2">
      <c r="B184" s="43">
        <v>41963</v>
      </c>
      <c r="C184" s="44">
        <v>2</v>
      </c>
      <c r="D184" s="45" t="s">
        <v>84</v>
      </c>
      <c r="E184" s="45" t="str">
        <f>VLOOKUP(D184,tblProjekt[],2,FALSE)</f>
        <v>Infrastruktur cognovo</v>
      </c>
      <c r="F184" s="46"/>
      <c r="G184" s="46"/>
      <c r="H184" s="46"/>
      <c r="I184" s="46"/>
      <c r="J184" s="46"/>
      <c r="K184" s="46"/>
      <c r="L184" s="47" t="s">
        <v>250</v>
      </c>
    </row>
    <row r="185" spans="2:12" ht="36" x14ac:dyDescent="0.2">
      <c r="B185" s="43">
        <v>41963</v>
      </c>
      <c r="C185" s="44">
        <v>1</v>
      </c>
      <c r="D185" s="45" t="s">
        <v>84</v>
      </c>
      <c r="E185" s="45" t="str">
        <f>VLOOKUP(D185,tblProjekt[],2,FALSE)</f>
        <v>Infrastruktur cognovo</v>
      </c>
      <c r="F185" s="46"/>
      <c r="G185" s="46"/>
      <c r="H185" s="46"/>
      <c r="I185" s="46"/>
      <c r="J185" s="46"/>
      <c r="K185" s="46"/>
      <c r="L185" s="47" t="s">
        <v>251</v>
      </c>
    </row>
    <row r="186" spans="2:12" ht="24" x14ac:dyDescent="0.2">
      <c r="B186" s="43">
        <v>41963</v>
      </c>
      <c r="C186" s="44">
        <v>1</v>
      </c>
      <c r="D186" s="45" t="s">
        <v>63</v>
      </c>
      <c r="E186" s="45" t="str">
        <f>VLOOKUP(D186,tblProjekt[],2,FALSE)</f>
        <v>Klosterfrau Mass Market</v>
      </c>
      <c r="F186" s="46"/>
      <c r="G186" s="46"/>
      <c r="H186" s="46"/>
      <c r="I186" s="46"/>
      <c r="J186" s="46"/>
      <c r="K186" s="46"/>
      <c r="L186" s="47" t="s">
        <v>252</v>
      </c>
    </row>
    <row r="187" spans="2:12" ht="24" x14ac:dyDescent="0.2">
      <c r="B187" s="43">
        <v>41963</v>
      </c>
      <c r="C187" s="44">
        <v>0.25</v>
      </c>
      <c r="D187" s="45" t="s">
        <v>64</v>
      </c>
      <c r="E187" s="45" t="str">
        <f>VLOOKUP(D187,tblProjekt[],2,FALSE)</f>
        <v>Omron reports</v>
      </c>
      <c r="F187" s="46"/>
      <c r="G187" s="46"/>
      <c r="H187" s="46"/>
      <c r="I187" s="46"/>
      <c r="J187" s="46"/>
      <c r="K187" s="46"/>
      <c r="L187" s="47" t="s">
        <v>253</v>
      </c>
    </row>
    <row r="188" spans="2:12" ht="24" x14ac:dyDescent="0.2">
      <c r="B188" s="43">
        <v>41964</v>
      </c>
      <c r="C188" s="44">
        <v>2.75</v>
      </c>
      <c r="D188" s="45" t="s">
        <v>339</v>
      </c>
      <c r="E188" s="45" t="str">
        <f>VLOOKUP(D188,tblProjekt[],2,FALSE)</f>
        <v>Klosterfrau Regio</v>
      </c>
      <c r="F188" s="46"/>
      <c r="G188" s="46"/>
      <c r="H188" s="46"/>
      <c r="I188" s="46"/>
      <c r="J188" s="46"/>
      <c r="K188" s="46"/>
      <c r="L188" s="47" t="s">
        <v>254</v>
      </c>
    </row>
    <row r="189" spans="2:12" ht="24" x14ac:dyDescent="0.2">
      <c r="B189" s="43">
        <v>41964</v>
      </c>
      <c r="C189" s="44">
        <v>1.5</v>
      </c>
      <c r="D189" s="45" t="s">
        <v>59</v>
      </c>
      <c r="E189" s="45" t="str">
        <f>VLOOKUP(D189,tblProjekt[],2,FALSE)</f>
        <v>Stada reports</v>
      </c>
      <c r="F189" s="46"/>
      <c r="G189" s="46"/>
      <c r="H189" s="46"/>
      <c r="I189" s="46"/>
      <c r="J189" s="46"/>
      <c r="K189" s="46"/>
      <c r="L189" s="47" t="s">
        <v>255</v>
      </c>
    </row>
    <row r="190" spans="2:12" x14ac:dyDescent="0.2">
      <c r="B190" s="43">
        <v>41964</v>
      </c>
      <c r="C190" s="44">
        <v>1</v>
      </c>
      <c r="D190" s="45" t="s">
        <v>63</v>
      </c>
      <c r="E190" s="45" t="str">
        <f>VLOOKUP(D190,tblProjekt[],2,FALSE)</f>
        <v>Klosterfrau Mass Market</v>
      </c>
      <c r="F190" s="46"/>
      <c r="G190" s="46"/>
      <c r="H190" s="46"/>
      <c r="I190" s="46"/>
      <c r="J190" s="46"/>
      <c r="K190" s="46"/>
      <c r="L190" s="47" t="s">
        <v>256</v>
      </c>
    </row>
    <row r="191" spans="2:12" ht="24" x14ac:dyDescent="0.2">
      <c r="B191" s="43">
        <v>41964</v>
      </c>
      <c r="C191" s="44">
        <v>0.25</v>
      </c>
      <c r="D191" s="45" t="s">
        <v>59</v>
      </c>
      <c r="E191" s="45" t="str">
        <f>VLOOKUP(D191,tblProjekt[],2,FALSE)</f>
        <v>Stada reports</v>
      </c>
      <c r="F191" s="46"/>
      <c r="G191" s="46"/>
      <c r="H191" s="46"/>
      <c r="I191" s="46"/>
      <c r="J191" s="46"/>
      <c r="K191" s="46"/>
      <c r="L191" s="47" t="s">
        <v>257</v>
      </c>
    </row>
    <row r="192" spans="2:12" ht="24" x14ac:dyDescent="0.2">
      <c r="B192" s="43">
        <v>41964</v>
      </c>
      <c r="C192" s="44">
        <v>0.25</v>
      </c>
      <c r="D192" s="45" t="s">
        <v>64</v>
      </c>
      <c r="E192" s="45" t="str">
        <f>VLOOKUP(D192,tblProjekt[],2,FALSE)</f>
        <v>Omron reports</v>
      </c>
      <c r="F192" s="46"/>
      <c r="G192" s="46"/>
      <c r="H192" s="46"/>
      <c r="I192" s="46"/>
      <c r="J192" s="46"/>
      <c r="K192" s="46"/>
      <c r="L192" s="47" t="s">
        <v>258</v>
      </c>
    </row>
    <row r="193" spans="2:12" ht="24" x14ac:dyDescent="0.2">
      <c r="B193" s="43">
        <v>41964</v>
      </c>
      <c r="C193" s="44">
        <v>0.25</v>
      </c>
      <c r="D193" s="45" t="s">
        <v>55</v>
      </c>
      <c r="E193" s="45" t="str">
        <f>VLOOKUP(D193,tblProjekt[],2,FALSE)</f>
        <v>Biomedica report</v>
      </c>
      <c r="F193" s="46"/>
      <c r="G193" s="46"/>
      <c r="H193" s="46"/>
      <c r="I193" s="46"/>
      <c r="J193" s="46"/>
      <c r="K193" s="46"/>
      <c r="L193" s="47" t="s">
        <v>258</v>
      </c>
    </row>
    <row r="194" spans="2:12" ht="24" x14ac:dyDescent="0.2">
      <c r="B194" s="43">
        <v>41964</v>
      </c>
      <c r="C194" s="44">
        <v>0.75</v>
      </c>
      <c r="D194" s="45" t="s">
        <v>84</v>
      </c>
      <c r="E194" s="45" t="str">
        <f>VLOOKUP(D194,tblProjekt[],2,FALSE)</f>
        <v>Infrastruktur cognovo</v>
      </c>
      <c r="F194" s="46"/>
      <c r="G194" s="46"/>
      <c r="H194" s="46"/>
      <c r="I194" s="46"/>
      <c r="J194" s="46"/>
      <c r="K194" s="46"/>
      <c r="L194" s="47" t="s">
        <v>186</v>
      </c>
    </row>
    <row r="195" spans="2:12" ht="24" x14ac:dyDescent="0.2">
      <c r="B195" s="43">
        <v>41964</v>
      </c>
      <c r="C195" s="44">
        <v>0.5</v>
      </c>
      <c r="D195" s="45" t="s">
        <v>17</v>
      </c>
      <c r="E195" s="45" t="str">
        <f>VLOOKUP(D195,tblProjekt[],2,FALSE)</f>
        <v>Powerspreadsheet Win7</v>
      </c>
      <c r="F195" s="46"/>
      <c r="G195" s="46"/>
      <c r="H195" s="46"/>
      <c r="I195" s="46"/>
      <c r="J195" s="46"/>
      <c r="K195" s="46"/>
      <c r="L195" s="47" t="s">
        <v>259</v>
      </c>
    </row>
    <row r="196" spans="2:12" x14ac:dyDescent="0.2">
      <c r="B196" s="43">
        <v>41964</v>
      </c>
      <c r="C196" s="44">
        <v>0.75</v>
      </c>
      <c r="D196" s="45" t="s">
        <v>337</v>
      </c>
      <c r="E196" s="45" t="str">
        <f>VLOOKUP(D196,tblProjekt[],2,FALSE)</f>
        <v>Klosterfrau National</v>
      </c>
      <c r="F196" s="46">
        <v>20</v>
      </c>
      <c r="G196" s="46"/>
      <c r="H196" s="46"/>
      <c r="I196" s="46"/>
      <c r="J196" s="46"/>
      <c r="K196" s="46"/>
      <c r="L196" s="47" t="s">
        <v>260</v>
      </c>
    </row>
    <row r="197" spans="2:12" ht="24" x14ac:dyDescent="0.2">
      <c r="B197" s="43">
        <v>41964</v>
      </c>
      <c r="C197" s="44">
        <v>1</v>
      </c>
      <c r="D197" s="45" t="s">
        <v>37</v>
      </c>
      <c r="E197" s="45" t="str">
        <f>VLOOKUP(D197,tblProjekt[],2,FALSE)</f>
        <v>Cesra report</v>
      </c>
      <c r="F197" s="46"/>
      <c r="G197" s="46"/>
      <c r="H197" s="46"/>
      <c r="I197" s="46"/>
      <c r="J197" s="46"/>
      <c r="K197" s="46"/>
      <c r="L197" s="47" t="s">
        <v>242</v>
      </c>
    </row>
    <row r="198" spans="2:12" ht="36" x14ac:dyDescent="0.2">
      <c r="B198" s="43">
        <v>41967</v>
      </c>
      <c r="C198" s="44">
        <v>2</v>
      </c>
      <c r="D198" s="45" t="s">
        <v>37</v>
      </c>
      <c r="E198" s="45" t="str">
        <f>VLOOKUP(D198,tblProjekt[],2,FALSE)</f>
        <v>Cesra report</v>
      </c>
      <c r="F198" s="46"/>
      <c r="G198" s="46"/>
      <c r="H198" s="46"/>
      <c r="I198" s="46"/>
      <c r="J198" s="46"/>
      <c r="K198" s="46"/>
      <c r="L198" s="47" t="s">
        <v>261</v>
      </c>
    </row>
    <row r="199" spans="2:12" x14ac:dyDescent="0.2">
      <c r="B199" s="43">
        <v>41968</v>
      </c>
      <c r="C199" s="44">
        <v>0.5</v>
      </c>
      <c r="D199" s="45" t="s">
        <v>84</v>
      </c>
      <c r="E199" s="45" t="str">
        <f>VLOOKUP(D199,tblProjekt[],2,FALSE)</f>
        <v>Infrastruktur cognovo</v>
      </c>
      <c r="F199" s="46"/>
      <c r="G199" s="46"/>
      <c r="H199" s="46"/>
      <c r="I199" s="46"/>
      <c r="J199" s="46"/>
      <c r="K199" s="46"/>
      <c r="L199" s="47" t="s">
        <v>146</v>
      </c>
    </row>
    <row r="200" spans="2:12" ht="24" x14ac:dyDescent="0.2">
      <c r="B200" s="43">
        <v>41968</v>
      </c>
      <c r="C200" s="44">
        <v>0.75</v>
      </c>
      <c r="D200" s="45" t="s">
        <v>339</v>
      </c>
      <c r="E200" s="45" t="str">
        <f>VLOOKUP(D200,tblProjekt[],2,FALSE)</f>
        <v>Klosterfrau Regio</v>
      </c>
      <c r="F200" s="46"/>
      <c r="G200" s="46"/>
      <c r="H200" s="46"/>
      <c r="I200" s="46"/>
      <c r="J200" s="46"/>
      <c r="K200" s="46"/>
      <c r="L200" s="47" t="s">
        <v>262</v>
      </c>
    </row>
    <row r="201" spans="2:12" x14ac:dyDescent="0.2">
      <c r="B201" s="43">
        <v>41969</v>
      </c>
      <c r="C201" s="44">
        <v>0.25</v>
      </c>
      <c r="D201" s="45" t="s">
        <v>59</v>
      </c>
      <c r="E201" s="45" t="str">
        <f>VLOOKUP(D201,tblProjekt[],2,FALSE)</f>
        <v>Stada reports</v>
      </c>
      <c r="F201" s="46"/>
      <c r="G201" s="46"/>
      <c r="H201" s="46"/>
      <c r="I201" s="46"/>
      <c r="J201" s="46"/>
      <c r="K201" s="46"/>
      <c r="L201" s="47" t="s">
        <v>263</v>
      </c>
    </row>
    <row r="202" spans="2:12" ht="24" x14ac:dyDescent="0.2">
      <c r="B202" s="43">
        <v>41969</v>
      </c>
      <c r="C202" s="44">
        <v>1.5</v>
      </c>
      <c r="D202" s="45" t="s">
        <v>63</v>
      </c>
      <c r="E202" s="45" t="str">
        <f>VLOOKUP(D202,tblProjekt[],2,FALSE)</f>
        <v>Klosterfrau Mass Market</v>
      </c>
      <c r="F202" s="46"/>
      <c r="G202" s="46"/>
      <c r="H202" s="46"/>
      <c r="I202" s="46"/>
      <c r="J202" s="46"/>
      <c r="K202" s="46"/>
      <c r="L202" s="47" t="s">
        <v>264</v>
      </c>
    </row>
    <row r="203" spans="2:12" x14ac:dyDescent="0.2">
      <c r="B203" s="43">
        <v>41970</v>
      </c>
      <c r="C203" s="44">
        <v>2</v>
      </c>
      <c r="D203" s="45" t="s">
        <v>60</v>
      </c>
      <c r="E203" s="45" t="str">
        <f>VLOOKUP(D203,tblProjekt[],2,FALSE)</f>
        <v>Nutricia reports</v>
      </c>
      <c r="F203" s="46"/>
      <c r="G203" s="46"/>
      <c r="H203" s="46"/>
      <c r="I203" s="46"/>
      <c r="J203" s="46"/>
      <c r="K203" s="46"/>
      <c r="L203" s="47" t="s">
        <v>265</v>
      </c>
    </row>
    <row r="204" spans="2:12" x14ac:dyDescent="0.2">
      <c r="B204" s="43">
        <v>41970</v>
      </c>
      <c r="C204" s="44">
        <v>1</v>
      </c>
      <c r="D204" s="45" t="s">
        <v>337</v>
      </c>
      <c r="E204" s="45" t="str">
        <f>VLOOKUP(D204,tblProjekt[],2,FALSE)</f>
        <v>Klosterfrau National</v>
      </c>
      <c r="F204" s="46">
        <v>20</v>
      </c>
      <c r="G204" s="46"/>
      <c r="H204" s="46"/>
      <c r="I204" s="46"/>
      <c r="J204" s="46"/>
      <c r="K204" s="46"/>
      <c r="L204" s="47" t="s">
        <v>266</v>
      </c>
    </row>
    <row r="205" spans="2:12" ht="24" x14ac:dyDescent="0.2">
      <c r="B205" s="43">
        <v>41970</v>
      </c>
      <c r="C205" s="44">
        <v>0.5</v>
      </c>
      <c r="D205" s="45" t="s">
        <v>59</v>
      </c>
      <c r="E205" s="45" t="str">
        <f>VLOOKUP(D205,tblProjekt[],2,FALSE)</f>
        <v>Stada reports</v>
      </c>
      <c r="F205" s="46">
        <v>21</v>
      </c>
      <c r="G205" s="46"/>
      <c r="H205" s="46"/>
      <c r="I205" s="46"/>
      <c r="J205" s="46"/>
      <c r="K205" s="46"/>
      <c r="L205" s="47" t="s">
        <v>267</v>
      </c>
    </row>
    <row r="206" spans="2:12" x14ac:dyDescent="0.2">
      <c r="B206" s="43">
        <v>41970</v>
      </c>
      <c r="C206" s="44">
        <v>2.5</v>
      </c>
      <c r="D206" s="45" t="s">
        <v>66</v>
      </c>
      <c r="E206" s="45" t="str">
        <f>VLOOKUP(D206,tblProjekt[],2,FALSE)</f>
        <v>PHS Calculator</v>
      </c>
      <c r="F206" s="46"/>
      <c r="G206" s="46"/>
      <c r="H206" s="46"/>
      <c r="I206" s="46"/>
      <c r="J206" s="46"/>
      <c r="K206" s="46"/>
      <c r="L206" s="47" t="s">
        <v>268</v>
      </c>
    </row>
    <row r="207" spans="2:12" ht="24" x14ac:dyDescent="0.2">
      <c r="B207" s="43">
        <v>41970</v>
      </c>
      <c r="C207" s="44">
        <v>0.5</v>
      </c>
      <c r="D207" s="45" t="s">
        <v>84</v>
      </c>
      <c r="E207" s="45" t="str">
        <f>VLOOKUP(D207,tblProjekt[],2,FALSE)</f>
        <v>Infrastruktur cognovo</v>
      </c>
      <c r="F207" s="46"/>
      <c r="G207" s="46"/>
      <c r="H207" s="46"/>
      <c r="I207" s="46"/>
      <c r="J207" s="46"/>
      <c r="K207" s="46"/>
      <c r="L207" s="47" t="s">
        <v>269</v>
      </c>
    </row>
    <row r="208" spans="2:12" ht="36" x14ac:dyDescent="0.2">
      <c r="B208" s="43">
        <v>41971</v>
      </c>
      <c r="C208" s="44">
        <v>3.5</v>
      </c>
      <c r="D208" s="45" t="s">
        <v>337</v>
      </c>
      <c r="E208" s="45" t="str">
        <f>VLOOKUP(D208,tblProjekt[],2,FALSE)</f>
        <v>Klosterfrau National</v>
      </c>
      <c r="F208" s="46">
        <v>20</v>
      </c>
      <c r="G208" s="46"/>
      <c r="H208" s="46"/>
      <c r="I208" s="46"/>
      <c r="J208" s="46"/>
      <c r="K208" s="46"/>
      <c r="L208" s="47" t="s">
        <v>270</v>
      </c>
    </row>
    <row r="209" spans="2:12" ht="48" x14ac:dyDescent="0.2">
      <c r="B209" s="43">
        <v>41971</v>
      </c>
      <c r="C209" s="44">
        <v>1.5</v>
      </c>
      <c r="D209" s="45" t="s">
        <v>63</v>
      </c>
      <c r="E209" s="45" t="str">
        <f>VLOOKUP(D209,tblProjekt[],2,FALSE)</f>
        <v>Klosterfrau Mass Market</v>
      </c>
      <c r="F209" s="46"/>
      <c r="G209" s="46"/>
      <c r="H209" s="46"/>
      <c r="I209" s="46"/>
      <c r="J209" s="46"/>
      <c r="K209" s="46"/>
      <c r="L209" s="47" t="s">
        <v>271</v>
      </c>
    </row>
    <row r="210" spans="2:12" ht="24" x14ac:dyDescent="0.2">
      <c r="B210" s="43">
        <v>41971</v>
      </c>
      <c r="C210" s="44">
        <v>0.25</v>
      </c>
      <c r="D210" s="45" t="s">
        <v>84</v>
      </c>
      <c r="E210" s="45" t="str">
        <f>VLOOKUP(D210,tblProjekt[],2,FALSE)</f>
        <v>Infrastruktur cognovo</v>
      </c>
      <c r="F210" s="46"/>
      <c r="G210" s="46"/>
      <c r="H210" s="46"/>
      <c r="I210" s="46"/>
      <c r="J210" s="46"/>
      <c r="K210" s="46"/>
      <c r="L210" s="47" t="s">
        <v>272</v>
      </c>
    </row>
    <row r="211" spans="2:12" ht="24" x14ac:dyDescent="0.2">
      <c r="B211" s="43">
        <v>41973</v>
      </c>
      <c r="C211" s="44">
        <v>2</v>
      </c>
      <c r="D211" s="45" t="s">
        <v>63</v>
      </c>
      <c r="E211" s="45" t="str">
        <f>VLOOKUP(D211,tblProjekt[],2,FALSE)</f>
        <v>Klosterfrau Mass Market</v>
      </c>
      <c r="F211" s="46"/>
      <c r="G211" s="46"/>
      <c r="H211" s="46"/>
      <c r="I211" s="46"/>
      <c r="J211" s="46"/>
      <c r="K211" s="46"/>
      <c r="L211" s="47" t="s">
        <v>273</v>
      </c>
    </row>
    <row r="212" spans="2:12" ht="24" x14ac:dyDescent="0.2">
      <c r="B212" s="43">
        <v>41973</v>
      </c>
      <c r="C212" s="44">
        <v>1</v>
      </c>
      <c r="D212" s="45" t="s">
        <v>59</v>
      </c>
      <c r="E212" s="45" t="str">
        <f>VLOOKUP(D212,tblProjekt[],2,FALSE)</f>
        <v>Stada reports</v>
      </c>
      <c r="F212" s="46"/>
      <c r="G212" s="46"/>
      <c r="H212" s="46"/>
      <c r="I212" s="46"/>
      <c r="J212" s="46"/>
      <c r="K212" s="46"/>
      <c r="L212" s="47" t="s">
        <v>274</v>
      </c>
    </row>
    <row r="213" spans="2:12" ht="24" x14ac:dyDescent="0.2">
      <c r="B213" s="43">
        <v>41974</v>
      </c>
      <c r="C213" s="44">
        <v>0.5</v>
      </c>
      <c r="D213" s="45" t="s">
        <v>337</v>
      </c>
      <c r="E213" s="45" t="str">
        <f>VLOOKUP(D213,tblProjekt[],2,FALSE)</f>
        <v>Klosterfrau National</v>
      </c>
      <c r="F213" s="46">
        <v>20</v>
      </c>
      <c r="G213" s="46"/>
      <c r="H213" s="46"/>
      <c r="I213" s="46"/>
      <c r="J213" s="46"/>
      <c r="K213" s="46"/>
      <c r="L213" s="47" t="s">
        <v>275</v>
      </c>
    </row>
    <row r="214" spans="2:12" x14ac:dyDescent="0.2">
      <c r="B214" s="43">
        <v>41974</v>
      </c>
      <c r="C214" s="44">
        <v>0.5</v>
      </c>
      <c r="D214" s="45" t="s">
        <v>84</v>
      </c>
      <c r="E214" s="45" t="str">
        <f>VLOOKUP(D214,tblProjekt[],2,FALSE)</f>
        <v>Infrastruktur cognovo</v>
      </c>
      <c r="F214" s="46"/>
      <c r="G214" s="46"/>
      <c r="H214" s="46"/>
      <c r="I214" s="46"/>
      <c r="J214" s="46"/>
      <c r="K214" s="46"/>
      <c r="L214" s="47" t="s">
        <v>146</v>
      </c>
    </row>
    <row r="215" spans="2:12" ht="36" x14ac:dyDescent="0.2">
      <c r="B215" s="43">
        <v>41976</v>
      </c>
      <c r="C215" s="44">
        <v>1</v>
      </c>
      <c r="D215" s="45" t="s">
        <v>37</v>
      </c>
      <c r="E215" s="45" t="str">
        <f>VLOOKUP(D215,tblProjekt[],2,FALSE)</f>
        <v>Cesra report</v>
      </c>
      <c r="F215" s="46"/>
      <c r="G215" s="46"/>
      <c r="H215" s="46"/>
      <c r="I215" s="46"/>
      <c r="J215" s="46"/>
      <c r="K215" s="46"/>
      <c r="L215" s="47" t="s">
        <v>276</v>
      </c>
    </row>
    <row r="216" spans="2:12" x14ac:dyDescent="0.2">
      <c r="B216" s="43">
        <v>41976</v>
      </c>
      <c r="C216" s="44">
        <v>0.25</v>
      </c>
      <c r="D216" s="45" t="s">
        <v>84</v>
      </c>
      <c r="E216" s="45" t="str">
        <f>VLOOKUP(D216,tblProjekt[],2,FALSE)</f>
        <v>Infrastruktur cognovo</v>
      </c>
      <c r="F216" s="46"/>
      <c r="G216" s="46"/>
      <c r="H216" s="46"/>
      <c r="I216" s="46"/>
      <c r="J216" s="46"/>
      <c r="K216" s="46"/>
      <c r="L216" s="47" t="s">
        <v>146</v>
      </c>
    </row>
    <row r="217" spans="2:12" ht="36" x14ac:dyDescent="0.2">
      <c r="B217" s="43">
        <v>41976</v>
      </c>
      <c r="C217" s="44">
        <v>2.25</v>
      </c>
      <c r="D217" s="45" t="s">
        <v>6</v>
      </c>
      <c r="E217" s="45" t="str">
        <f>VLOOKUP(D217,tblProjekt[],2,FALSE)</f>
        <v>Produktionsportal 2</v>
      </c>
      <c r="F217" s="46"/>
      <c r="G217" s="46"/>
      <c r="H217" s="46"/>
      <c r="I217" s="46"/>
      <c r="J217" s="46"/>
      <c r="K217" s="46"/>
      <c r="L217" s="47" t="s">
        <v>278</v>
      </c>
    </row>
    <row r="218" spans="2:12" ht="36" x14ac:dyDescent="0.2">
      <c r="B218" s="43">
        <v>41976</v>
      </c>
      <c r="C218" s="44">
        <v>0.5</v>
      </c>
      <c r="D218" s="45" t="s">
        <v>63</v>
      </c>
      <c r="E218" s="45" t="str">
        <f>VLOOKUP(D218,tblProjekt[],2,FALSE)</f>
        <v>Klosterfrau Mass Market</v>
      </c>
      <c r="F218" s="46"/>
      <c r="G218" s="46"/>
      <c r="H218" s="46"/>
      <c r="I218" s="46"/>
      <c r="J218" s="46"/>
      <c r="K218" s="46"/>
      <c r="L218" s="47" t="s">
        <v>277</v>
      </c>
    </row>
    <row r="219" spans="2:12" ht="24" x14ac:dyDescent="0.2">
      <c r="B219" s="43">
        <v>41976</v>
      </c>
      <c r="C219" s="44">
        <v>0.5</v>
      </c>
      <c r="D219" s="45" t="s">
        <v>17</v>
      </c>
      <c r="E219" s="45" t="str">
        <f>VLOOKUP(D219,tblProjekt[],2,FALSE)</f>
        <v>Powerspreadsheet Win7</v>
      </c>
      <c r="F219" s="46"/>
      <c r="G219" s="46"/>
      <c r="H219" s="46"/>
      <c r="I219" s="46"/>
      <c r="J219" s="46"/>
      <c r="K219" s="46"/>
      <c r="L219" s="47" t="s">
        <v>279</v>
      </c>
    </row>
    <row r="220" spans="2:12" x14ac:dyDescent="0.2">
      <c r="B220" s="43">
        <v>41976</v>
      </c>
      <c r="C220" s="44">
        <v>0.25</v>
      </c>
      <c r="D220" s="45" t="s">
        <v>66</v>
      </c>
      <c r="E220" s="45" t="str">
        <f>VLOOKUP(D220,tblProjekt[],2,FALSE)</f>
        <v>PHS Calculator</v>
      </c>
      <c r="F220" s="46"/>
      <c r="G220" s="46"/>
      <c r="H220" s="46"/>
      <c r="I220" s="46"/>
      <c r="J220" s="46"/>
      <c r="K220" s="46"/>
      <c r="L220" s="47" t="s">
        <v>280</v>
      </c>
    </row>
    <row r="221" spans="2:12" ht="24" x14ac:dyDescent="0.2">
      <c r="B221" s="43">
        <v>41976</v>
      </c>
      <c r="C221" s="44">
        <v>1</v>
      </c>
      <c r="D221" s="45" t="s">
        <v>6</v>
      </c>
      <c r="E221" s="45" t="str">
        <f>VLOOKUP(D221,tblProjekt[],2,FALSE)</f>
        <v>Produktionsportal 2</v>
      </c>
      <c r="F221" s="46"/>
      <c r="G221" s="46"/>
      <c r="H221" s="46"/>
      <c r="I221" s="46"/>
      <c r="J221" s="46"/>
      <c r="K221" s="46"/>
      <c r="L221" s="47" t="s">
        <v>281</v>
      </c>
    </row>
    <row r="222" spans="2:12" ht="24" x14ac:dyDescent="0.2">
      <c r="B222" s="43">
        <v>41976</v>
      </c>
      <c r="C222" s="44">
        <v>0.25</v>
      </c>
      <c r="D222" s="45" t="s">
        <v>84</v>
      </c>
      <c r="E222" s="45" t="str">
        <f>VLOOKUP(D222,tblProjekt[],2,FALSE)</f>
        <v>Infrastruktur cognovo</v>
      </c>
      <c r="F222" s="46"/>
      <c r="G222" s="46"/>
      <c r="H222" s="46"/>
      <c r="I222" s="46"/>
      <c r="J222" s="46"/>
      <c r="K222" s="46"/>
      <c r="L222" s="47" t="s">
        <v>282</v>
      </c>
    </row>
    <row r="223" spans="2:12" ht="36" x14ac:dyDescent="0.2">
      <c r="B223" s="43">
        <v>41976</v>
      </c>
      <c r="C223" s="44">
        <v>0.25</v>
      </c>
      <c r="D223" s="45" t="s">
        <v>66</v>
      </c>
      <c r="E223" s="45" t="str">
        <f>VLOOKUP(D223,tblProjekt[],2,FALSE)</f>
        <v>PHS Calculator</v>
      </c>
      <c r="F223" s="46"/>
      <c r="G223" s="46"/>
      <c r="H223" s="46"/>
      <c r="I223" s="46"/>
      <c r="J223" s="46"/>
      <c r="K223" s="46"/>
      <c r="L223" s="47" t="s">
        <v>283</v>
      </c>
    </row>
    <row r="224" spans="2:12" x14ac:dyDescent="0.2">
      <c r="B224" s="43">
        <v>41976</v>
      </c>
      <c r="C224" s="44">
        <v>0.5</v>
      </c>
      <c r="D224" s="45" t="s">
        <v>66</v>
      </c>
      <c r="E224" s="45" t="str">
        <f>VLOOKUP(D224,tblProjekt[],2,FALSE)</f>
        <v>PHS Calculator</v>
      </c>
      <c r="F224" s="46"/>
      <c r="G224" s="46"/>
      <c r="H224" s="46"/>
      <c r="I224" s="46"/>
      <c r="J224" s="46"/>
      <c r="K224" s="46"/>
      <c r="L224" s="47" t="s">
        <v>284</v>
      </c>
    </row>
    <row r="225" spans="2:12" ht="24" x14ac:dyDescent="0.2">
      <c r="B225" s="43">
        <v>41977</v>
      </c>
      <c r="C225" s="44">
        <v>2.25</v>
      </c>
      <c r="D225" s="45" t="s">
        <v>6</v>
      </c>
      <c r="E225" s="45" t="str">
        <f>VLOOKUP(D225,tblProjekt[],2,FALSE)</f>
        <v>Produktionsportal 2</v>
      </c>
      <c r="F225" s="46"/>
      <c r="G225" s="46"/>
      <c r="H225" s="46"/>
      <c r="I225" s="46"/>
      <c r="J225" s="46"/>
      <c r="K225" s="46"/>
      <c r="L225" s="47" t="s">
        <v>285</v>
      </c>
    </row>
    <row r="226" spans="2:12" ht="36" x14ac:dyDescent="0.2">
      <c r="B226" s="43">
        <v>41977</v>
      </c>
      <c r="C226" s="44">
        <v>0.5</v>
      </c>
      <c r="D226" s="45" t="s">
        <v>63</v>
      </c>
      <c r="E226" s="45" t="str">
        <f>VLOOKUP(D226,tblProjekt[],2,FALSE)</f>
        <v>Klosterfrau Mass Market</v>
      </c>
      <c r="F226" s="46"/>
      <c r="G226" s="46"/>
      <c r="H226" s="46"/>
      <c r="I226" s="46"/>
      <c r="J226" s="46"/>
      <c r="K226" s="46"/>
      <c r="L226" s="47" t="s">
        <v>277</v>
      </c>
    </row>
    <row r="227" spans="2:12" ht="24" x14ac:dyDescent="0.2">
      <c r="B227" s="43">
        <v>41977</v>
      </c>
      <c r="C227" s="44">
        <v>0.25</v>
      </c>
      <c r="D227" s="45" t="s">
        <v>337</v>
      </c>
      <c r="E227" s="45" t="str">
        <f>VLOOKUP(D227,tblProjekt[],2,FALSE)</f>
        <v>Klosterfrau National</v>
      </c>
      <c r="F227" s="46">
        <v>22</v>
      </c>
      <c r="G227" s="46"/>
      <c r="H227" s="46"/>
      <c r="I227" s="46"/>
      <c r="J227" s="46"/>
      <c r="K227" s="46"/>
      <c r="L227" s="47" t="s">
        <v>286</v>
      </c>
    </row>
    <row r="228" spans="2:12" ht="24" x14ac:dyDescent="0.2">
      <c r="B228" s="43">
        <v>41977</v>
      </c>
      <c r="C228" s="44">
        <v>0.25</v>
      </c>
      <c r="D228" s="45" t="s">
        <v>337</v>
      </c>
      <c r="E228" s="45" t="str">
        <f>VLOOKUP(D228,tblProjekt[],2,FALSE)</f>
        <v>Klosterfrau National</v>
      </c>
      <c r="F228" s="46">
        <v>22</v>
      </c>
      <c r="G228" s="46"/>
      <c r="H228" s="46"/>
      <c r="I228" s="46"/>
      <c r="J228" s="46"/>
      <c r="K228" s="46"/>
      <c r="L228" s="47" t="s">
        <v>287</v>
      </c>
    </row>
    <row r="229" spans="2:12" ht="24" x14ac:dyDescent="0.2">
      <c r="B229" s="43">
        <v>41977</v>
      </c>
      <c r="C229" s="44">
        <v>0.5</v>
      </c>
      <c r="D229" s="45" t="s">
        <v>66</v>
      </c>
      <c r="E229" s="45" t="str">
        <f>VLOOKUP(D229,tblProjekt[],2,FALSE)</f>
        <v>PHS Calculator</v>
      </c>
      <c r="F229" s="46"/>
      <c r="G229" s="46"/>
      <c r="H229" s="46"/>
      <c r="I229" s="46"/>
      <c r="J229" s="46"/>
      <c r="K229" s="46"/>
      <c r="L229" s="47" t="s">
        <v>288</v>
      </c>
    </row>
    <row r="230" spans="2:12" ht="48" x14ac:dyDescent="0.2">
      <c r="B230" s="43">
        <v>41977</v>
      </c>
      <c r="C230" s="44">
        <v>0.5</v>
      </c>
      <c r="D230" s="45" t="s">
        <v>6</v>
      </c>
      <c r="E230" s="45" t="str">
        <f>VLOOKUP(D230,tblProjekt[],2,FALSE)</f>
        <v>Produktionsportal 2</v>
      </c>
      <c r="F230" s="46"/>
      <c r="G230" s="46"/>
      <c r="H230" s="46"/>
      <c r="I230" s="46"/>
      <c r="J230" s="46"/>
      <c r="K230" s="46"/>
      <c r="L230" s="47" t="s">
        <v>293</v>
      </c>
    </row>
    <row r="231" spans="2:12" ht="36" x14ac:dyDescent="0.2">
      <c r="B231" s="43">
        <v>41977</v>
      </c>
      <c r="C231" s="44">
        <v>0.5</v>
      </c>
      <c r="D231" s="45" t="s">
        <v>337</v>
      </c>
      <c r="E231" s="45" t="str">
        <f>VLOOKUP(D231,tblProjekt[],2,FALSE)</f>
        <v>Klosterfrau National</v>
      </c>
      <c r="F231" s="46">
        <v>22</v>
      </c>
      <c r="G231" s="46"/>
      <c r="H231" s="46"/>
      <c r="I231" s="46"/>
      <c r="J231" s="46"/>
      <c r="K231" s="46"/>
      <c r="L231" s="47" t="s">
        <v>297</v>
      </c>
    </row>
    <row r="232" spans="2:12" ht="24" x14ac:dyDescent="0.2">
      <c r="B232" s="43">
        <v>41977</v>
      </c>
      <c r="C232" s="44">
        <v>0.25</v>
      </c>
      <c r="D232" s="45" t="s">
        <v>66</v>
      </c>
      <c r="E232" s="45" t="str">
        <f>VLOOKUP(D232,tblProjekt[],2,FALSE)</f>
        <v>PHS Calculator</v>
      </c>
      <c r="F232" s="46"/>
      <c r="G232" s="46"/>
      <c r="H232" s="46"/>
      <c r="I232" s="46"/>
      <c r="J232" s="46"/>
      <c r="K232" s="46"/>
      <c r="L232" s="47" t="s">
        <v>289</v>
      </c>
    </row>
    <row r="233" spans="2:12" ht="24" x14ac:dyDescent="0.2">
      <c r="B233" s="43">
        <v>41978</v>
      </c>
      <c r="C233" s="44">
        <v>0.5</v>
      </c>
      <c r="D233" s="45" t="s">
        <v>84</v>
      </c>
      <c r="E233" s="45" t="str">
        <f>VLOOKUP(D233,tblProjekt[],2,FALSE)</f>
        <v>Infrastruktur cognovo</v>
      </c>
      <c r="F233" s="46"/>
      <c r="G233" s="46"/>
      <c r="H233" s="46"/>
      <c r="I233" s="46"/>
      <c r="J233" s="46"/>
      <c r="K233" s="46"/>
      <c r="L233" s="47" t="s">
        <v>290</v>
      </c>
    </row>
    <row r="234" spans="2:12" ht="36" x14ac:dyDescent="0.2">
      <c r="B234" s="43">
        <v>41978</v>
      </c>
      <c r="C234" s="44">
        <v>1.75</v>
      </c>
      <c r="D234" s="45" t="s">
        <v>339</v>
      </c>
      <c r="E234" s="45" t="str">
        <f>VLOOKUP(D234,tblProjekt[],2,FALSE)</f>
        <v>Klosterfrau Regio</v>
      </c>
      <c r="F234" s="46"/>
      <c r="G234" s="46"/>
      <c r="H234" s="46"/>
      <c r="I234" s="46"/>
      <c r="J234" s="46"/>
      <c r="K234" s="46"/>
      <c r="L234" s="47" t="s">
        <v>291</v>
      </c>
    </row>
    <row r="235" spans="2:12" ht="36" x14ac:dyDescent="0.2">
      <c r="B235" s="43">
        <v>41978</v>
      </c>
      <c r="C235" s="44">
        <v>0.5</v>
      </c>
      <c r="D235" s="45" t="s">
        <v>6</v>
      </c>
      <c r="E235" s="45" t="str">
        <f>VLOOKUP(D235,tblProjekt[],2,FALSE)</f>
        <v>Produktionsportal 2</v>
      </c>
      <c r="F235" s="46"/>
      <c r="G235" s="46"/>
      <c r="H235" s="46"/>
      <c r="I235" s="46"/>
      <c r="J235" s="46"/>
      <c r="K235" s="46"/>
      <c r="L235" s="47" t="s">
        <v>292</v>
      </c>
    </row>
    <row r="236" spans="2:12" ht="24" x14ac:dyDescent="0.2">
      <c r="B236" s="43">
        <v>41978</v>
      </c>
      <c r="C236" s="44">
        <v>2.5</v>
      </c>
      <c r="D236" s="45" t="s">
        <v>66</v>
      </c>
      <c r="E236" s="45" t="str">
        <f>VLOOKUP(D236,tblProjekt[],2,FALSE)</f>
        <v>PHS Calculator</v>
      </c>
      <c r="F236" s="46">
        <v>23</v>
      </c>
      <c r="G236" s="46"/>
      <c r="H236" s="46"/>
      <c r="I236" s="46"/>
      <c r="J236" s="46"/>
      <c r="K236" s="46"/>
      <c r="L236" s="47" t="s">
        <v>294</v>
      </c>
    </row>
    <row r="237" spans="2:12" ht="36" x14ac:dyDescent="0.2">
      <c r="B237" s="43">
        <v>41978</v>
      </c>
      <c r="C237" s="44">
        <v>0.25</v>
      </c>
      <c r="D237" s="45" t="s">
        <v>63</v>
      </c>
      <c r="E237" s="45" t="str">
        <f>VLOOKUP(D237,tblProjekt[],2,FALSE)</f>
        <v>Klosterfrau Mass Market</v>
      </c>
      <c r="F237" s="46"/>
      <c r="G237" s="46"/>
      <c r="H237" s="46"/>
      <c r="I237" s="46"/>
      <c r="J237" s="46"/>
      <c r="K237" s="46"/>
      <c r="L237" s="47" t="s">
        <v>295</v>
      </c>
    </row>
    <row r="238" spans="2:12" ht="24" x14ac:dyDescent="0.2">
      <c r="B238" s="43">
        <v>41978</v>
      </c>
      <c r="C238" s="44">
        <v>0.25</v>
      </c>
      <c r="D238" s="45" t="s">
        <v>337</v>
      </c>
      <c r="E238" s="45" t="str">
        <f>VLOOKUP(D238,tblProjekt[],2,FALSE)</f>
        <v>Klosterfrau National</v>
      </c>
      <c r="F238" s="46">
        <v>22</v>
      </c>
      <c r="G238" s="46"/>
      <c r="H238" s="46"/>
      <c r="I238" s="46"/>
      <c r="J238" s="46"/>
      <c r="K238" s="46"/>
      <c r="L238" s="47" t="s">
        <v>296</v>
      </c>
    </row>
    <row r="239" spans="2:12" ht="36" x14ac:dyDescent="0.2">
      <c r="B239" s="43">
        <v>41978</v>
      </c>
      <c r="C239" s="44">
        <v>0.75</v>
      </c>
      <c r="D239" s="45" t="s">
        <v>66</v>
      </c>
      <c r="E239" s="45" t="str">
        <f>VLOOKUP(D239,tblProjekt[],2,FALSE)</f>
        <v>PHS Calculator</v>
      </c>
      <c r="F239" s="46"/>
      <c r="G239" s="46"/>
      <c r="H239" s="46"/>
      <c r="I239" s="46"/>
      <c r="J239" s="46"/>
      <c r="K239" s="46"/>
      <c r="L239" s="47" t="s">
        <v>298</v>
      </c>
    </row>
    <row r="240" spans="2:12" ht="24" x14ac:dyDescent="0.2">
      <c r="B240" s="43">
        <v>41982</v>
      </c>
      <c r="C240" s="44">
        <v>0.75</v>
      </c>
      <c r="D240" s="45" t="s">
        <v>43</v>
      </c>
      <c r="E240" s="45" t="str">
        <f>VLOOKUP(D240,tblProjekt[],2,FALSE)</f>
        <v>DPMPSN Calculator</v>
      </c>
      <c r="F240" s="46"/>
      <c r="G240" s="46"/>
      <c r="H240" s="46"/>
      <c r="I240" s="46"/>
      <c r="J240" s="46"/>
      <c r="K240" s="46"/>
      <c r="L240" s="47" t="s">
        <v>299</v>
      </c>
    </row>
    <row r="241" spans="2:12" ht="24" x14ac:dyDescent="0.2">
      <c r="B241" s="43">
        <v>41982</v>
      </c>
      <c r="C241" s="44">
        <v>0.25</v>
      </c>
      <c r="D241" s="45" t="s">
        <v>35</v>
      </c>
      <c r="E241" s="45" t="str">
        <f>VLOOKUP(D241,tblProjekt[],2,FALSE)</f>
        <v>NPA Calculator</v>
      </c>
      <c r="F241" s="46"/>
      <c r="G241" s="46"/>
      <c r="H241" s="46"/>
      <c r="I241" s="46"/>
      <c r="J241" s="46"/>
      <c r="K241" s="46"/>
      <c r="L241" s="47" t="s">
        <v>299</v>
      </c>
    </row>
    <row r="242" spans="2:12" ht="24" x14ac:dyDescent="0.2">
      <c r="B242" s="43">
        <v>41983</v>
      </c>
      <c r="C242" s="44">
        <v>0.25</v>
      </c>
      <c r="D242" s="45" t="s">
        <v>43</v>
      </c>
      <c r="E242" s="45" t="str">
        <f>VLOOKUP(D242,tblProjekt[],2,FALSE)</f>
        <v>DPMPSN Calculator</v>
      </c>
      <c r="F242" s="46"/>
      <c r="G242" s="46"/>
      <c r="H242" s="46"/>
      <c r="I242" s="46"/>
      <c r="J242" s="46"/>
      <c r="K242" s="46"/>
      <c r="L242" s="47" t="s">
        <v>300</v>
      </c>
    </row>
    <row r="243" spans="2:12" ht="36" x14ac:dyDescent="0.2">
      <c r="B243" s="43">
        <v>41983</v>
      </c>
      <c r="C243" s="44">
        <v>0.25</v>
      </c>
      <c r="D243" s="45" t="s">
        <v>337</v>
      </c>
      <c r="E243" s="45" t="str">
        <f>VLOOKUP(D243,tblProjekt[],2,FALSE)</f>
        <v>Klosterfrau National</v>
      </c>
      <c r="F243" s="46"/>
      <c r="G243" s="46"/>
      <c r="H243" s="46"/>
      <c r="I243" s="46"/>
      <c r="J243" s="46"/>
      <c r="K243" s="46"/>
      <c r="L243" s="47" t="s">
        <v>301</v>
      </c>
    </row>
    <row r="244" spans="2:12" ht="24" x14ac:dyDescent="0.2">
      <c r="B244" s="43">
        <v>41984</v>
      </c>
      <c r="C244" s="44">
        <v>0.75</v>
      </c>
      <c r="D244" s="45" t="s">
        <v>35</v>
      </c>
      <c r="E244" s="45" t="str">
        <f>VLOOKUP(D244,tblProjekt[],2,FALSE)</f>
        <v>NPA Calculator</v>
      </c>
      <c r="F244" s="46">
        <v>41</v>
      </c>
      <c r="G244" s="46"/>
      <c r="H244" s="46"/>
      <c r="I244" s="46"/>
      <c r="J244" s="46"/>
      <c r="K244" s="46"/>
      <c r="L244" s="47" t="s">
        <v>302</v>
      </c>
    </row>
    <row r="245" spans="2:12" ht="36" x14ac:dyDescent="0.2">
      <c r="B245" s="43">
        <v>41984</v>
      </c>
      <c r="C245" s="44">
        <v>0.25</v>
      </c>
      <c r="D245" s="45" t="s">
        <v>66</v>
      </c>
      <c r="E245" s="45" t="str">
        <f>VLOOKUP(D245,tblProjekt[],2,FALSE)</f>
        <v>PHS Calculator</v>
      </c>
      <c r="F245" s="46">
        <v>42</v>
      </c>
      <c r="G245" s="46"/>
      <c r="H245" s="46"/>
      <c r="I245" s="46"/>
      <c r="J245" s="46"/>
      <c r="K245" s="46"/>
      <c r="L245" s="47" t="s">
        <v>303</v>
      </c>
    </row>
    <row r="246" spans="2:12" ht="24" x14ac:dyDescent="0.2">
      <c r="B246" s="43">
        <v>41984</v>
      </c>
      <c r="C246" s="44">
        <v>0.25</v>
      </c>
      <c r="D246" s="45" t="s">
        <v>43</v>
      </c>
      <c r="E246" s="45" t="str">
        <f>VLOOKUP(D246,tblProjekt[],2,FALSE)</f>
        <v>DPMPSN Calculator</v>
      </c>
      <c r="F246" s="46">
        <v>40</v>
      </c>
      <c r="G246" s="46"/>
      <c r="H246" s="46"/>
      <c r="I246" s="46"/>
      <c r="J246" s="46"/>
      <c r="K246" s="46"/>
      <c r="L246" s="47" t="s">
        <v>304</v>
      </c>
    </row>
    <row r="247" spans="2:12" ht="24" x14ac:dyDescent="0.2">
      <c r="B247" s="43">
        <v>41984</v>
      </c>
      <c r="C247" s="44">
        <v>0.75</v>
      </c>
      <c r="D247" s="45" t="s">
        <v>66</v>
      </c>
      <c r="E247" s="45" t="str">
        <f>VLOOKUP(D247,tblProjekt[],2,FALSE)</f>
        <v>PHS Calculator</v>
      </c>
      <c r="F247" s="46">
        <v>42</v>
      </c>
      <c r="G247" s="46"/>
      <c r="H247" s="46"/>
      <c r="I247" s="46"/>
      <c r="J247" s="46"/>
      <c r="K247" s="46"/>
      <c r="L247" s="47" t="s">
        <v>305</v>
      </c>
    </row>
    <row r="248" spans="2:12" ht="24" x14ac:dyDescent="0.2">
      <c r="B248" s="43">
        <v>41984</v>
      </c>
      <c r="C248" s="44">
        <v>0.25</v>
      </c>
      <c r="D248" s="45" t="s">
        <v>17</v>
      </c>
      <c r="E248" s="45" t="str">
        <f>VLOOKUP(D248,tblProjekt[],2,FALSE)</f>
        <v>Powerspreadsheet Win7</v>
      </c>
      <c r="F248" s="46"/>
      <c r="G248" s="46"/>
      <c r="H248" s="46"/>
      <c r="I248" s="46"/>
      <c r="J248" s="46"/>
      <c r="K248" s="46"/>
      <c r="L248" s="47" t="s">
        <v>306</v>
      </c>
    </row>
    <row r="249" spans="2:12" x14ac:dyDescent="0.2">
      <c r="B249" s="43">
        <v>41984</v>
      </c>
      <c r="C249" s="44">
        <v>0.5</v>
      </c>
      <c r="D249" s="45" t="s">
        <v>84</v>
      </c>
      <c r="E249" s="45" t="str">
        <f>VLOOKUP(D249,tblProjekt[],2,FALSE)</f>
        <v>Infrastruktur cognovo</v>
      </c>
      <c r="F249" s="46"/>
      <c r="G249" s="46"/>
      <c r="H249" s="46"/>
      <c r="I249" s="46"/>
      <c r="J249" s="46"/>
      <c r="K249" s="46"/>
      <c r="L249" s="47" t="s">
        <v>223</v>
      </c>
    </row>
    <row r="250" spans="2:12" ht="24" x14ac:dyDescent="0.2">
      <c r="B250" s="43">
        <v>41984</v>
      </c>
      <c r="C250" s="44">
        <v>0.25</v>
      </c>
      <c r="D250" s="45" t="s">
        <v>35</v>
      </c>
      <c r="E250" s="45" t="str">
        <f>VLOOKUP(D250,tblProjekt[],2,FALSE)</f>
        <v>NPA Calculator</v>
      </c>
      <c r="F250" s="46"/>
      <c r="G250" s="46"/>
      <c r="H250" s="46"/>
      <c r="I250" s="46"/>
      <c r="J250" s="46"/>
      <c r="K250" s="46"/>
      <c r="L250" s="47" t="s">
        <v>307</v>
      </c>
    </row>
    <row r="251" spans="2:12" ht="24" x14ac:dyDescent="0.2">
      <c r="B251" s="43">
        <v>41984</v>
      </c>
      <c r="C251" s="44">
        <v>0.25</v>
      </c>
      <c r="D251" s="45" t="s">
        <v>43</v>
      </c>
      <c r="E251" s="45" t="str">
        <f>VLOOKUP(D251,tblProjekt[],2,FALSE)</f>
        <v>DPMPSN Calculator</v>
      </c>
      <c r="F251" s="46"/>
      <c r="G251" s="46"/>
      <c r="H251" s="46"/>
      <c r="I251" s="46"/>
      <c r="J251" s="46"/>
      <c r="K251" s="46"/>
      <c r="L251" s="47" t="s">
        <v>307</v>
      </c>
    </row>
    <row r="252" spans="2:12" x14ac:dyDescent="0.2">
      <c r="B252" s="43">
        <v>41984</v>
      </c>
      <c r="C252" s="44">
        <v>0.75</v>
      </c>
      <c r="D252" s="45" t="s">
        <v>43</v>
      </c>
      <c r="E252" s="45" t="str">
        <f>VLOOKUP(D252,tblProjekt[],2,FALSE)</f>
        <v>DPMPSN Calculator</v>
      </c>
      <c r="F252" s="46"/>
      <c r="G252" s="46"/>
      <c r="H252" s="46"/>
      <c r="I252" s="46"/>
      <c r="J252" s="46"/>
      <c r="K252" s="46"/>
      <c r="L252" s="47" t="s">
        <v>308</v>
      </c>
    </row>
    <row r="253" spans="2:12" ht="24" x14ac:dyDescent="0.2">
      <c r="B253" s="43">
        <v>41984</v>
      </c>
      <c r="C253" s="44">
        <v>0.25</v>
      </c>
      <c r="D253" s="45" t="s">
        <v>66</v>
      </c>
      <c r="E253" s="45" t="str">
        <f>VLOOKUP(D253,tblProjekt[],2,FALSE)</f>
        <v>PHS Calculator</v>
      </c>
      <c r="F253" s="46"/>
      <c r="G253" s="46"/>
      <c r="H253" s="46"/>
      <c r="I253" s="46"/>
      <c r="J253" s="46"/>
      <c r="K253" s="46"/>
      <c r="L253" s="47" t="s">
        <v>309</v>
      </c>
    </row>
    <row r="254" spans="2:12" ht="24" x14ac:dyDescent="0.2">
      <c r="B254" s="43">
        <v>41984</v>
      </c>
      <c r="C254" s="44">
        <v>0.25</v>
      </c>
      <c r="D254" s="45" t="s">
        <v>43</v>
      </c>
      <c r="E254" s="45" t="str">
        <f>VLOOKUP(D254,tblProjekt[],2,FALSE)</f>
        <v>DPMPSN Calculator</v>
      </c>
      <c r="F254" s="46"/>
      <c r="G254" s="46"/>
      <c r="H254" s="46"/>
      <c r="I254" s="46"/>
      <c r="J254" s="46"/>
      <c r="K254" s="46"/>
      <c r="L254" s="47" t="s">
        <v>310</v>
      </c>
    </row>
    <row r="255" spans="2:12" ht="36" x14ac:dyDescent="0.2">
      <c r="B255" s="43">
        <v>41985</v>
      </c>
      <c r="C255" s="44">
        <v>2.25</v>
      </c>
      <c r="D255" s="45" t="s">
        <v>6</v>
      </c>
      <c r="E255" s="45" t="str">
        <f>VLOOKUP(D255,tblProjekt[],2,FALSE)</f>
        <v>Produktionsportal 2</v>
      </c>
      <c r="F255" s="46"/>
      <c r="G255" s="46"/>
      <c r="H255" s="46"/>
      <c r="I255" s="46"/>
      <c r="J255" s="46"/>
      <c r="K255" s="46"/>
      <c r="L255" s="47" t="s">
        <v>311</v>
      </c>
    </row>
    <row r="256" spans="2:12" ht="24" x14ac:dyDescent="0.2">
      <c r="B256" s="43">
        <v>41985</v>
      </c>
      <c r="C256" s="44">
        <v>2</v>
      </c>
      <c r="D256" s="45" t="s">
        <v>63</v>
      </c>
      <c r="E256" s="45" t="str">
        <f>VLOOKUP(D256,tblProjekt[],2,FALSE)</f>
        <v>Klosterfrau Mass Market</v>
      </c>
      <c r="F256" s="46"/>
      <c r="G256" s="46"/>
      <c r="H256" s="46"/>
      <c r="I256" s="46"/>
      <c r="J256" s="46"/>
      <c r="K256" s="46"/>
      <c r="L256" s="47" t="s">
        <v>312</v>
      </c>
    </row>
    <row r="257" spans="2:12" ht="36" x14ac:dyDescent="0.2">
      <c r="B257" s="43">
        <v>41985</v>
      </c>
      <c r="C257" s="44">
        <v>0.5</v>
      </c>
      <c r="D257" s="45" t="s">
        <v>63</v>
      </c>
      <c r="E257" s="45" t="str">
        <f>VLOOKUP(D257,tblProjekt[],2,FALSE)</f>
        <v>Klosterfrau Mass Market</v>
      </c>
      <c r="F257" s="46"/>
      <c r="G257" s="46"/>
      <c r="H257" s="46"/>
      <c r="I257" s="46"/>
      <c r="J257" s="46"/>
      <c r="K257" s="46"/>
      <c r="L257" s="47" t="s">
        <v>313</v>
      </c>
    </row>
    <row r="258" spans="2:12" ht="24" x14ac:dyDescent="0.2">
      <c r="B258" s="43">
        <v>41985</v>
      </c>
      <c r="C258" s="44">
        <v>0.75</v>
      </c>
      <c r="D258" s="45" t="s">
        <v>84</v>
      </c>
      <c r="E258" s="45" t="str">
        <f>VLOOKUP(D258,tblProjekt[],2,FALSE)</f>
        <v>Infrastruktur cognovo</v>
      </c>
      <c r="F258" s="46"/>
      <c r="G258" s="46"/>
      <c r="H258" s="46"/>
      <c r="I258" s="46"/>
      <c r="J258" s="46"/>
      <c r="K258" s="46"/>
      <c r="L258" s="47" t="s">
        <v>314</v>
      </c>
    </row>
    <row r="259" spans="2:12" ht="36" x14ac:dyDescent="0.2">
      <c r="B259" s="43">
        <v>41986</v>
      </c>
      <c r="C259" s="44">
        <v>1</v>
      </c>
      <c r="D259" s="45" t="s">
        <v>43</v>
      </c>
      <c r="E259" s="45" t="str">
        <f>VLOOKUP(D259,tblProjekt[],2,FALSE)</f>
        <v>DPMPSN Calculator</v>
      </c>
      <c r="F259" s="46">
        <v>40</v>
      </c>
      <c r="G259" s="46"/>
      <c r="H259" s="46"/>
      <c r="I259" s="46"/>
      <c r="J259" s="46"/>
      <c r="K259" s="46"/>
      <c r="L259" s="47" t="s">
        <v>315</v>
      </c>
    </row>
    <row r="260" spans="2:12" ht="36" x14ac:dyDescent="0.2">
      <c r="B260" s="43">
        <v>41986</v>
      </c>
      <c r="C260" s="44">
        <v>1</v>
      </c>
      <c r="D260" s="45" t="s">
        <v>43</v>
      </c>
      <c r="E260" s="45" t="str">
        <f>VLOOKUP(D260,tblProjekt[],2,FALSE)</f>
        <v>DPMPSN Calculator</v>
      </c>
      <c r="F260" s="46">
        <v>40</v>
      </c>
      <c r="G260" s="46"/>
      <c r="H260" s="46"/>
      <c r="I260" s="46"/>
      <c r="J260" s="46"/>
      <c r="K260" s="46"/>
      <c r="L260" s="47" t="s">
        <v>316</v>
      </c>
    </row>
    <row r="261" spans="2:12" ht="36" x14ac:dyDescent="0.2">
      <c r="B261" s="43">
        <v>41987</v>
      </c>
      <c r="C261" s="44">
        <v>0.5</v>
      </c>
      <c r="D261" s="45" t="s">
        <v>43</v>
      </c>
      <c r="E261" s="45" t="str">
        <f>VLOOKUP(D261,tblProjekt[],2,FALSE)</f>
        <v>DPMPSN Calculator</v>
      </c>
      <c r="F261" s="46">
        <v>40</v>
      </c>
      <c r="G261" s="46"/>
      <c r="H261" s="46"/>
      <c r="I261" s="46"/>
      <c r="J261" s="46"/>
      <c r="K261" s="46"/>
      <c r="L261" s="47" t="s">
        <v>317</v>
      </c>
    </row>
    <row r="262" spans="2:12" ht="36" x14ac:dyDescent="0.2">
      <c r="B262" s="43">
        <v>41988</v>
      </c>
      <c r="C262" s="44">
        <v>0.75</v>
      </c>
      <c r="D262" s="45" t="s">
        <v>63</v>
      </c>
      <c r="E262" s="45" t="str">
        <f>VLOOKUP(D262,tblProjekt[],2,FALSE)</f>
        <v>Klosterfrau Mass Market</v>
      </c>
      <c r="F262" s="46"/>
      <c r="G262" s="46"/>
      <c r="H262" s="46"/>
      <c r="I262" s="46"/>
      <c r="J262" s="46"/>
      <c r="K262" s="46"/>
      <c r="L262" s="47" t="s">
        <v>318</v>
      </c>
    </row>
    <row r="263" spans="2:12" ht="36" x14ac:dyDescent="0.2">
      <c r="B263" s="43">
        <v>41988</v>
      </c>
      <c r="C263" s="44">
        <v>0.25</v>
      </c>
      <c r="D263" s="45" t="s">
        <v>43</v>
      </c>
      <c r="E263" s="45" t="str">
        <f>VLOOKUP(D263,tblProjekt[],2,FALSE)</f>
        <v>DPMPSN Calculator</v>
      </c>
      <c r="F263" s="46">
        <v>40</v>
      </c>
      <c r="G263" s="46"/>
      <c r="H263" s="46"/>
      <c r="I263" s="46"/>
      <c r="J263" s="46"/>
      <c r="K263" s="46"/>
      <c r="L263" s="47" t="s">
        <v>319</v>
      </c>
    </row>
    <row r="264" spans="2:12" ht="24" x14ac:dyDescent="0.2">
      <c r="B264" s="43">
        <v>41988</v>
      </c>
      <c r="C264" s="44">
        <v>0.5</v>
      </c>
      <c r="D264" s="45" t="s">
        <v>35</v>
      </c>
      <c r="E264" s="45" t="str">
        <f>VLOOKUP(D264,tblProjekt[],2,FALSE)</f>
        <v>NPA Calculator</v>
      </c>
      <c r="F264" s="46">
        <v>41</v>
      </c>
      <c r="G264" s="46"/>
      <c r="H264" s="46"/>
      <c r="I264" s="46"/>
      <c r="J264" s="46"/>
      <c r="K264" s="46"/>
      <c r="L264" s="47" t="s">
        <v>320</v>
      </c>
    </row>
    <row r="265" spans="2:12" ht="24" x14ac:dyDescent="0.2">
      <c r="B265" s="43">
        <v>41988</v>
      </c>
      <c r="C265" s="44">
        <v>0.25</v>
      </c>
      <c r="D265" s="45" t="s">
        <v>6</v>
      </c>
      <c r="E265" s="45" t="str">
        <f>VLOOKUP(D265,tblProjekt[],2,FALSE)</f>
        <v>Produktionsportal 2</v>
      </c>
      <c r="F265" s="46"/>
      <c r="G265" s="46"/>
      <c r="H265" s="46"/>
      <c r="I265" s="46"/>
      <c r="J265" s="46"/>
      <c r="K265" s="46"/>
      <c r="L265" s="47" t="s">
        <v>321</v>
      </c>
    </row>
    <row r="266" spans="2:12" ht="36" x14ac:dyDescent="0.2">
      <c r="B266" s="43">
        <v>41988</v>
      </c>
      <c r="C266" s="44">
        <v>0.25</v>
      </c>
      <c r="D266" s="45" t="s">
        <v>66</v>
      </c>
      <c r="E266" s="45" t="str">
        <f>VLOOKUP(D266,tblProjekt[],2,FALSE)</f>
        <v>PHS Calculator</v>
      </c>
      <c r="F266" s="46">
        <v>42</v>
      </c>
      <c r="G266" s="46"/>
      <c r="H266" s="46"/>
      <c r="I266" s="46"/>
      <c r="J266" s="46"/>
      <c r="K266" s="46"/>
      <c r="L266" s="47" t="s">
        <v>322</v>
      </c>
    </row>
    <row r="267" spans="2:12" x14ac:dyDescent="0.2">
      <c r="B267" s="43">
        <v>41990</v>
      </c>
      <c r="C267" s="44">
        <v>0.25</v>
      </c>
      <c r="D267" s="45" t="s">
        <v>84</v>
      </c>
      <c r="E267" s="45" t="str">
        <f>VLOOKUP(D267,tblProjekt[],2,FALSE)</f>
        <v>Infrastruktur cognovo</v>
      </c>
      <c r="F267" s="46"/>
      <c r="G267" s="46"/>
      <c r="H267" s="46"/>
      <c r="I267" s="46"/>
      <c r="J267" s="46"/>
      <c r="K267" s="46"/>
      <c r="L267" s="47" t="s">
        <v>223</v>
      </c>
    </row>
    <row r="268" spans="2:12" ht="24" x14ac:dyDescent="0.2">
      <c r="B268" s="43">
        <v>41990</v>
      </c>
      <c r="C268" s="44">
        <v>0.25</v>
      </c>
      <c r="D268" s="45" t="s">
        <v>6</v>
      </c>
      <c r="E268" s="45" t="str">
        <f>VLOOKUP(D268,tblProjekt[],2,FALSE)</f>
        <v>Produktionsportal 2</v>
      </c>
      <c r="F268" s="46"/>
      <c r="G268" s="46"/>
      <c r="H268" s="46"/>
      <c r="I268" s="46"/>
      <c r="J268" s="46"/>
      <c r="K268" s="46"/>
      <c r="L268" s="47" t="s">
        <v>323</v>
      </c>
    </row>
    <row r="269" spans="2:12" ht="24" x14ac:dyDescent="0.2">
      <c r="B269" s="43">
        <v>41990</v>
      </c>
      <c r="C269" s="44">
        <v>1</v>
      </c>
      <c r="D269" s="45" t="s">
        <v>66</v>
      </c>
      <c r="E269" s="45" t="str">
        <f>VLOOKUP(D269,tblProjekt[],2,FALSE)</f>
        <v>PHS Calculator</v>
      </c>
      <c r="F269" s="46"/>
      <c r="G269" s="46"/>
      <c r="H269" s="46"/>
      <c r="I269" s="46"/>
      <c r="J269" s="46"/>
      <c r="K269" s="46"/>
      <c r="L269" s="47" t="s">
        <v>294</v>
      </c>
    </row>
    <row r="270" spans="2:12" ht="24" x14ac:dyDescent="0.2">
      <c r="B270" s="43">
        <v>41990</v>
      </c>
      <c r="C270" s="44">
        <v>1.25</v>
      </c>
      <c r="D270" s="45" t="s">
        <v>35</v>
      </c>
      <c r="E270" s="45" t="str">
        <f>VLOOKUP(D270,tblProjekt[],2,FALSE)</f>
        <v>NPA Calculator</v>
      </c>
      <c r="F270" s="46"/>
      <c r="G270" s="46"/>
      <c r="H270" s="46"/>
      <c r="I270" s="46"/>
      <c r="J270" s="46"/>
      <c r="K270" s="46"/>
      <c r="L270" s="47" t="s">
        <v>294</v>
      </c>
    </row>
    <row r="271" spans="2:12" x14ac:dyDescent="0.2">
      <c r="B271" s="43">
        <v>41990</v>
      </c>
      <c r="C271" s="44">
        <v>0.75</v>
      </c>
      <c r="D271" s="45" t="s">
        <v>337</v>
      </c>
      <c r="E271" s="45" t="str">
        <f>VLOOKUP(D271,tblProjekt[],2,FALSE)</f>
        <v>Klosterfrau National</v>
      </c>
      <c r="F271" s="46" t="s">
        <v>324</v>
      </c>
      <c r="G271" s="46"/>
      <c r="H271" s="46"/>
      <c r="I271" s="46"/>
      <c r="J271" s="46"/>
      <c r="K271" s="46"/>
      <c r="L271" s="47" t="s">
        <v>325</v>
      </c>
    </row>
    <row r="272" spans="2:12" x14ac:dyDescent="0.2">
      <c r="B272" s="43">
        <v>41990</v>
      </c>
      <c r="C272" s="44">
        <v>0.25</v>
      </c>
      <c r="D272" s="45" t="s">
        <v>43</v>
      </c>
      <c r="E272" s="45" t="str">
        <f>VLOOKUP(D272,tblProjekt[],2,FALSE)</f>
        <v>DPMPSN Calculator</v>
      </c>
      <c r="F272" s="46"/>
      <c r="G272" s="46"/>
      <c r="H272" s="46"/>
      <c r="I272" s="46"/>
      <c r="J272" s="46"/>
      <c r="K272" s="46"/>
      <c r="L272" s="47" t="s">
        <v>326</v>
      </c>
    </row>
    <row r="273" spans="2:12" x14ac:dyDescent="0.2">
      <c r="B273" s="43">
        <v>41991</v>
      </c>
      <c r="C273" s="44">
        <v>4.5</v>
      </c>
      <c r="D273" s="45" t="s">
        <v>337</v>
      </c>
      <c r="E273" s="45" t="str">
        <f>VLOOKUP(D273,tblProjekt[],2,FALSE)</f>
        <v>Klosterfrau National</v>
      </c>
      <c r="F273" s="46" t="s">
        <v>324</v>
      </c>
      <c r="G273" s="46"/>
      <c r="H273" s="46"/>
      <c r="I273" s="46"/>
      <c r="J273" s="46"/>
      <c r="K273" s="46"/>
      <c r="L273" s="47" t="s">
        <v>325</v>
      </c>
    </row>
    <row r="274" spans="2:12" x14ac:dyDescent="0.2">
      <c r="B274" s="43">
        <v>41992</v>
      </c>
      <c r="C274" s="44">
        <v>2.5</v>
      </c>
      <c r="D274" s="45" t="s">
        <v>337</v>
      </c>
      <c r="E274" s="45" t="str">
        <f>VLOOKUP(D274,tblProjekt[],2,FALSE)</f>
        <v>Klosterfrau National</v>
      </c>
      <c r="F274" s="46" t="s">
        <v>324</v>
      </c>
      <c r="G274" s="46"/>
      <c r="H274" s="46"/>
      <c r="I274" s="46"/>
      <c r="J274" s="46"/>
      <c r="K274" s="46"/>
      <c r="L274" s="47" t="s">
        <v>325</v>
      </c>
    </row>
    <row r="275" spans="2:12" ht="24" x14ac:dyDescent="0.2">
      <c r="B275" s="43">
        <v>41992</v>
      </c>
      <c r="C275" s="44">
        <v>1.5</v>
      </c>
      <c r="D275" s="45" t="s">
        <v>337</v>
      </c>
      <c r="E275" s="45" t="str">
        <f>VLOOKUP(D275,tblProjekt[],2,FALSE)</f>
        <v>Klosterfrau National</v>
      </c>
      <c r="F275" s="46"/>
      <c r="G275" s="46"/>
      <c r="H275" s="46"/>
      <c r="I275" s="46"/>
      <c r="J275" s="46"/>
      <c r="K275" s="46"/>
      <c r="L275" s="47" t="s">
        <v>327</v>
      </c>
    </row>
    <row r="276" spans="2:12" ht="24" x14ac:dyDescent="0.2">
      <c r="B276" s="43">
        <v>41992</v>
      </c>
      <c r="C276" s="44">
        <v>0.5</v>
      </c>
      <c r="D276" s="45" t="s">
        <v>60</v>
      </c>
      <c r="E276" s="45" t="str">
        <f>VLOOKUP(D276,tblProjekt[],2,FALSE)</f>
        <v>Nutricia reports</v>
      </c>
      <c r="F276" s="46"/>
      <c r="G276" s="46"/>
      <c r="H276" s="46"/>
      <c r="I276" s="46"/>
      <c r="J276" s="46"/>
      <c r="K276" s="46"/>
      <c r="L276" s="47" t="s">
        <v>328</v>
      </c>
    </row>
    <row r="277" spans="2:12" x14ac:dyDescent="0.2">
      <c r="B277" s="43">
        <v>41992</v>
      </c>
      <c r="C277" s="44">
        <v>0.25</v>
      </c>
      <c r="D277" s="45" t="s">
        <v>63</v>
      </c>
      <c r="E277" s="45" t="str">
        <f>VLOOKUP(D277,tblProjekt[],2,FALSE)</f>
        <v>Klosterfrau Mass Market</v>
      </c>
      <c r="F277" s="46"/>
      <c r="G277" s="46"/>
      <c r="H277" s="46"/>
      <c r="I277" s="46"/>
      <c r="J277" s="46"/>
      <c r="K277" s="46"/>
      <c r="L277" s="47" t="s">
        <v>329</v>
      </c>
    </row>
    <row r="278" spans="2:12" ht="24" x14ac:dyDescent="0.2">
      <c r="B278" s="43">
        <v>41992</v>
      </c>
      <c r="C278" s="44">
        <v>1</v>
      </c>
      <c r="D278" s="45" t="s">
        <v>43</v>
      </c>
      <c r="E278" s="45" t="str">
        <f>VLOOKUP(D278,tblProjekt[],2,FALSE)</f>
        <v>DPMPSN Calculator</v>
      </c>
      <c r="F278" s="46"/>
      <c r="G278" s="46"/>
      <c r="H278" s="46"/>
      <c r="I278" s="46"/>
      <c r="J278" s="46"/>
      <c r="K278" s="46"/>
      <c r="L278" s="47" t="s">
        <v>330</v>
      </c>
    </row>
    <row r="279" spans="2:12" ht="24" x14ac:dyDescent="0.2">
      <c r="B279" s="43">
        <v>41993</v>
      </c>
      <c r="C279" s="44">
        <v>3</v>
      </c>
      <c r="D279" s="45" t="s">
        <v>339</v>
      </c>
      <c r="E279" s="45" t="str">
        <f>VLOOKUP(D279,tblProjekt[],2,FALSE)</f>
        <v>Klosterfrau Regio</v>
      </c>
      <c r="F279" s="46"/>
      <c r="G279" s="46"/>
      <c r="H279" s="46"/>
      <c r="I279" s="46"/>
      <c r="J279" s="46"/>
      <c r="K279" s="46"/>
      <c r="L279" s="47" t="s">
        <v>331</v>
      </c>
    </row>
    <row r="280" spans="2:12" ht="24" x14ac:dyDescent="0.2">
      <c r="B280" s="43">
        <v>41994</v>
      </c>
      <c r="C280" s="44">
        <v>1.25</v>
      </c>
      <c r="D280" s="45" t="s">
        <v>339</v>
      </c>
      <c r="E280" s="45" t="str">
        <f>VLOOKUP(D280,tblProjekt[],2,FALSE)</f>
        <v>Klosterfrau Regio</v>
      </c>
      <c r="F280" s="46"/>
      <c r="G280" s="46"/>
      <c r="H280" s="46"/>
      <c r="I280" s="46"/>
      <c r="J280" s="46"/>
      <c r="K280" s="46"/>
      <c r="L280" s="47" t="s">
        <v>332</v>
      </c>
    </row>
    <row r="281" spans="2:12" ht="24" x14ac:dyDescent="0.2">
      <c r="B281" s="43">
        <v>41994</v>
      </c>
      <c r="C281" s="44">
        <v>1</v>
      </c>
      <c r="D281" s="45" t="s">
        <v>66</v>
      </c>
      <c r="E281" s="45" t="str">
        <f>VLOOKUP(D281,tblProjekt[],2,FALSE)</f>
        <v>PHS Calculator</v>
      </c>
      <c r="F281" s="46"/>
      <c r="G281" s="46"/>
      <c r="H281" s="46"/>
      <c r="I281" s="46"/>
      <c r="J281" s="46"/>
      <c r="K281" s="46"/>
      <c r="L281" s="47" t="s">
        <v>309</v>
      </c>
    </row>
    <row r="282" spans="2:12" x14ac:dyDescent="0.2">
      <c r="B282" s="43">
        <v>41995</v>
      </c>
      <c r="C282" s="44">
        <v>1</v>
      </c>
      <c r="D282" s="45" t="s">
        <v>339</v>
      </c>
      <c r="E282" s="45" t="str">
        <f>VLOOKUP(D282,tblProjekt[],2,FALSE)</f>
        <v>Klosterfrau Regio</v>
      </c>
      <c r="F282" s="46"/>
      <c r="G282" s="46"/>
      <c r="H282" s="46"/>
      <c r="I282" s="46"/>
      <c r="J282" s="46"/>
      <c r="K282" s="46"/>
      <c r="L282" s="47" t="s">
        <v>333</v>
      </c>
    </row>
    <row r="283" spans="2:12" x14ac:dyDescent="0.2">
      <c r="B283" s="43">
        <v>41995</v>
      </c>
      <c r="C283" s="44">
        <v>0.5</v>
      </c>
      <c r="D283" s="45" t="s">
        <v>37</v>
      </c>
      <c r="E283" s="45" t="str">
        <f>VLOOKUP(D283,tblProjekt[],2,FALSE)</f>
        <v>Cesra report</v>
      </c>
      <c r="F283" s="46"/>
      <c r="G283" s="46"/>
      <c r="H283" s="46"/>
      <c r="I283" s="46"/>
      <c r="J283" s="46"/>
      <c r="K283" s="46"/>
      <c r="L283" s="47" t="s">
        <v>334</v>
      </c>
    </row>
    <row r="284" spans="2:12" x14ac:dyDescent="0.2">
      <c r="B284" s="43">
        <v>41995</v>
      </c>
      <c r="C284" s="44">
        <v>4</v>
      </c>
      <c r="D284" s="45" t="s">
        <v>84</v>
      </c>
      <c r="E284" s="45" t="str">
        <f>VLOOKUP(D284,tblProjekt[],2,FALSE)</f>
        <v>Infrastruktur cognovo</v>
      </c>
      <c r="F284" s="46"/>
      <c r="G284" s="46"/>
      <c r="H284" s="46"/>
      <c r="I284" s="46"/>
      <c r="J284" s="46"/>
      <c r="K284" s="46"/>
      <c r="L284" s="47" t="s">
        <v>88</v>
      </c>
    </row>
    <row r="285" spans="2:12" x14ac:dyDescent="0.2">
      <c r="B285" s="43">
        <v>41996</v>
      </c>
      <c r="C285" s="44">
        <v>4</v>
      </c>
      <c r="D285" s="45" t="s">
        <v>84</v>
      </c>
      <c r="E285" s="45" t="str">
        <f>VLOOKUP(D285,tblProjekt[],2,FALSE)</f>
        <v>Infrastruktur cognovo</v>
      </c>
      <c r="F285" s="46"/>
      <c r="G285" s="46"/>
      <c r="H285" s="46"/>
      <c r="I285" s="46"/>
      <c r="J285" s="46"/>
      <c r="K285" s="46"/>
      <c r="L285" s="47" t="s">
        <v>88</v>
      </c>
    </row>
    <row r="286" spans="2:12" x14ac:dyDescent="0.2">
      <c r="B286" s="43">
        <v>41997</v>
      </c>
      <c r="C286" s="44">
        <v>4</v>
      </c>
      <c r="D286" s="45" t="s">
        <v>84</v>
      </c>
      <c r="E286" s="45" t="str">
        <f>VLOOKUP(D286,tblProjekt[],2,FALSE)</f>
        <v>Infrastruktur cognovo</v>
      </c>
      <c r="F286" s="46"/>
      <c r="G286" s="46"/>
      <c r="H286" s="46"/>
      <c r="I286" s="46"/>
      <c r="J286" s="46"/>
      <c r="K286" s="46"/>
      <c r="L286" s="47" t="s">
        <v>88</v>
      </c>
    </row>
    <row r="287" spans="2:12" x14ac:dyDescent="0.2">
      <c r="B287" s="43">
        <v>41998</v>
      </c>
      <c r="C287" s="44">
        <v>4</v>
      </c>
      <c r="D287" s="45" t="s">
        <v>84</v>
      </c>
      <c r="E287" s="45" t="str">
        <f>VLOOKUP(D287,tblProjekt[],2,FALSE)</f>
        <v>Infrastruktur cognovo</v>
      </c>
      <c r="F287" s="46"/>
      <c r="G287" s="46"/>
      <c r="H287" s="46"/>
      <c r="I287" s="46"/>
      <c r="J287" s="46"/>
      <c r="K287" s="46"/>
      <c r="L287" s="47" t="s">
        <v>335</v>
      </c>
    </row>
    <row r="288" spans="2:12" x14ac:dyDescent="0.2">
      <c r="B288" s="43">
        <v>41999</v>
      </c>
      <c r="C288" s="44">
        <v>4</v>
      </c>
      <c r="D288" s="45" t="s">
        <v>84</v>
      </c>
      <c r="E288" s="45" t="str">
        <f>VLOOKUP(D288,tblProjekt[],2,FALSE)</f>
        <v>Infrastruktur cognovo</v>
      </c>
      <c r="F288" s="46"/>
      <c r="G288" s="46"/>
      <c r="H288" s="46"/>
      <c r="I288" s="46"/>
      <c r="J288" s="46"/>
      <c r="K288" s="46"/>
      <c r="L288" s="47" t="s">
        <v>336</v>
      </c>
    </row>
    <row r="289" spans="2:12" x14ac:dyDescent="0.2">
      <c r="B289" s="43">
        <v>42002</v>
      </c>
      <c r="C289" s="44">
        <v>4</v>
      </c>
      <c r="D289" s="45" t="s">
        <v>84</v>
      </c>
      <c r="E289" s="45" t="str">
        <f>VLOOKUP(D289,tblProjekt[],2,FALSE)</f>
        <v>Infrastruktur cognovo</v>
      </c>
      <c r="F289" s="46"/>
      <c r="G289" s="46"/>
      <c r="H289" s="46"/>
      <c r="I289" s="46"/>
      <c r="J289" s="46"/>
      <c r="K289" s="46"/>
      <c r="L289" s="47" t="s">
        <v>88</v>
      </c>
    </row>
    <row r="290" spans="2:12" x14ac:dyDescent="0.2">
      <c r="B290" s="43">
        <v>42003</v>
      </c>
      <c r="C290" s="44">
        <v>4</v>
      </c>
      <c r="D290" s="45" t="s">
        <v>84</v>
      </c>
      <c r="E290" s="45" t="str">
        <f>VLOOKUP(D290,tblProjekt[],2,FALSE)</f>
        <v>Infrastruktur cognovo</v>
      </c>
      <c r="F290" s="46"/>
      <c r="G290" s="46"/>
      <c r="H290" s="46"/>
      <c r="I290" s="46"/>
      <c r="J290" s="46"/>
      <c r="K290" s="46"/>
      <c r="L290" s="47" t="s">
        <v>88</v>
      </c>
    </row>
    <row r="291" spans="2:12" x14ac:dyDescent="0.2">
      <c r="B291" s="43">
        <v>42004</v>
      </c>
      <c r="C291" s="44">
        <v>4</v>
      </c>
      <c r="D291" s="45" t="s">
        <v>84</v>
      </c>
      <c r="E291" s="45" t="str">
        <f>VLOOKUP(D291,tblProjekt[],2,FALSE)</f>
        <v>Infrastruktur cognovo</v>
      </c>
      <c r="F291" s="46"/>
      <c r="G291" s="46"/>
      <c r="H291" s="46"/>
      <c r="I291" s="46"/>
      <c r="J291" s="46"/>
      <c r="K291" s="46"/>
      <c r="L291" s="47" t="s">
        <v>88</v>
      </c>
    </row>
    <row r="292" spans="2:12" ht="24" x14ac:dyDescent="0.2">
      <c r="B292" s="43">
        <v>42010</v>
      </c>
      <c r="C292" s="44">
        <v>0.25</v>
      </c>
      <c r="D292" s="38" t="s">
        <v>84</v>
      </c>
      <c r="E292" s="45" t="str">
        <f>VLOOKUP(D292,tblProjekt[],2,FALSE)</f>
        <v>Infrastruktur cognovo</v>
      </c>
      <c r="F292" s="46"/>
      <c r="G292" s="46"/>
      <c r="H292" s="46"/>
      <c r="I292" s="46"/>
      <c r="J292" s="46"/>
      <c r="K292" s="46"/>
      <c r="L292" s="41" t="s">
        <v>345</v>
      </c>
    </row>
    <row r="293" spans="2:12" ht="36" x14ac:dyDescent="0.2">
      <c r="B293" s="43">
        <v>42010</v>
      </c>
      <c r="C293" s="44">
        <v>0.5</v>
      </c>
      <c r="D293" s="38" t="s">
        <v>43</v>
      </c>
      <c r="E293" s="45" t="str">
        <f>VLOOKUP(D293,tblProjekt[],2,FALSE)</f>
        <v>DPMPSN Calculator</v>
      </c>
      <c r="F293" s="46">
        <v>44</v>
      </c>
      <c r="G293" s="46"/>
      <c r="H293" s="46"/>
      <c r="I293" s="46"/>
      <c r="J293" s="46"/>
      <c r="K293" s="46"/>
      <c r="L293" s="41" t="s">
        <v>346</v>
      </c>
    </row>
    <row r="294" spans="2:12" ht="24" x14ac:dyDescent="0.2">
      <c r="B294" s="43">
        <v>42011</v>
      </c>
      <c r="C294" s="44">
        <v>0.5</v>
      </c>
      <c r="D294" s="38" t="s">
        <v>84</v>
      </c>
      <c r="E294" s="45" t="str">
        <f>VLOOKUP(D294,tblProjekt[],2,FALSE)</f>
        <v>Infrastruktur cognovo</v>
      </c>
      <c r="F294" s="46"/>
      <c r="G294" s="46"/>
      <c r="H294" s="46"/>
      <c r="I294" s="46"/>
      <c r="J294" s="46"/>
      <c r="K294" s="46"/>
      <c r="L294" s="41" t="s">
        <v>347</v>
      </c>
    </row>
    <row r="295" spans="2:12" ht="24" x14ac:dyDescent="0.2">
      <c r="B295" s="43">
        <v>42011</v>
      </c>
      <c r="C295" s="44">
        <v>0.5</v>
      </c>
      <c r="D295" s="38" t="s">
        <v>43</v>
      </c>
      <c r="E295" s="45" t="str">
        <f>VLOOKUP(D295,tblProjekt[],2,FALSE)</f>
        <v>DPMPSN Calculator</v>
      </c>
      <c r="F295" s="46">
        <v>40</v>
      </c>
      <c r="G295" s="46"/>
      <c r="H295" s="46"/>
      <c r="I295" s="46"/>
      <c r="J295" s="46"/>
      <c r="K295" s="46"/>
      <c r="L295" s="41" t="s">
        <v>348</v>
      </c>
    </row>
    <row r="296" spans="2:12" x14ac:dyDescent="0.2">
      <c r="B296" s="43">
        <v>42011</v>
      </c>
      <c r="C296" s="44">
        <v>0.25</v>
      </c>
      <c r="D296" s="38" t="s">
        <v>84</v>
      </c>
      <c r="E296" s="45" t="str">
        <f>VLOOKUP(D296,tblProjekt[],2,FALSE)</f>
        <v>Infrastruktur cognovo</v>
      </c>
      <c r="F296" s="46"/>
      <c r="G296" s="46"/>
      <c r="H296" s="46"/>
      <c r="I296" s="46"/>
      <c r="J296" s="46"/>
      <c r="K296" s="46"/>
      <c r="L296" s="41" t="s">
        <v>350</v>
      </c>
    </row>
    <row r="297" spans="2:12" ht="24" x14ac:dyDescent="0.2">
      <c r="B297" s="43">
        <v>42011</v>
      </c>
      <c r="C297" s="44">
        <v>1</v>
      </c>
      <c r="D297" s="38" t="s">
        <v>84</v>
      </c>
      <c r="E297" s="45" t="str">
        <f>VLOOKUP(D297,tblProjekt[],2,FALSE)</f>
        <v>Infrastruktur cognovo</v>
      </c>
      <c r="F297" s="46"/>
      <c r="G297" s="46"/>
      <c r="H297" s="46"/>
      <c r="I297" s="46"/>
      <c r="J297" s="46"/>
      <c r="K297" s="46"/>
      <c r="L297" s="41" t="s">
        <v>351</v>
      </c>
    </row>
    <row r="298" spans="2:12" ht="24" x14ac:dyDescent="0.2">
      <c r="B298" s="43">
        <v>42011</v>
      </c>
      <c r="C298" s="44">
        <v>0.5</v>
      </c>
      <c r="D298" s="38" t="s">
        <v>43</v>
      </c>
      <c r="E298" s="45" t="str">
        <f>VLOOKUP(D298,tblProjekt[],2,FALSE)</f>
        <v>DPMPSN Calculator</v>
      </c>
      <c r="F298" s="39" t="s">
        <v>349</v>
      </c>
      <c r="G298" s="46"/>
      <c r="H298" s="46"/>
      <c r="I298" s="46"/>
      <c r="J298" s="46"/>
      <c r="K298" s="46"/>
      <c r="L298" s="41" t="s">
        <v>352</v>
      </c>
    </row>
    <row r="299" spans="2:12" ht="24" x14ac:dyDescent="0.2">
      <c r="B299" s="43">
        <v>42011</v>
      </c>
      <c r="C299" s="44">
        <v>1</v>
      </c>
      <c r="D299" s="38" t="s">
        <v>43</v>
      </c>
      <c r="E299" s="45" t="str">
        <f>VLOOKUP(D299,tblProjekt[],2,FALSE)</f>
        <v>DPMPSN Calculator</v>
      </c>
      <c r="F299" s="46">
        <v>40</v>
      </c>
      <c r="G299" s="46"/>
      <c r="H299" s="46"/>
      <c r="I299" s="46"/>
      <c r="J299" s="46"/>
      <c r="K299" s="46"/>
      <c r="L299" s="41" t="s">
        <v>353</v>
      </c>
    </row>
    <row r="300" spans="2:12" ht="24" x14ac:dyDescent="0.2">
      <c r="B300" s="43">
        <v>42011</v>
      </c>
      <c r="C300" s="44">
        <v>0.5</v>
      </c>
      <c r="D300" s="38" t="s">
        <v>43</v>
      </c>
      <c r="E300" s="45" t="str">
        <f>VLOOKUP(D300,tblProjekt[],2,FALSE)</f>
        <v>DPMPSN Calculator</v>
      </c>
      <c r="F300" s="46"/>
      <c r="G300" s="46"/>
      <c r="H300" s="46"/>
      <c r="I300" s="46"/>
      <c r="J300" s="46"/>
      <c r="K300" s="46"/>
      <c r="L300" s="41" t="s">
        <v>354</v>
      </c>
    </row>
    <row r="301" spans="2:12" ht="24" x14ac:dyDescent="0.2">
      <c r="B301" s="43">
        <v>42011</v>
      </c>
      <c r="C301" s="44">
        <v>0.75</v>
      </c>
      <c r="D301" s="38" t="s">
        <v>43</v>
      </c>
      <c r="E301" s="45" t="str">
        <f>VLOOKUP(D301,tblProjekt[],2,FALSE)</f>
        <v>DPMPSN Calculator</v>
      </c>
      <c r="F301" s="39" t="s">
        <v>355</v>
      </c>
      <c r="G301" s="46"/>
      <c r="H301" s="46"/>
      <c r="I301" s="46"/>
      <c r="J301" s="46"/>
      <c r="K301" s="46"/>
      <c r="L301" s="41" t="s">
        <v>356</v>
      </c>
    </row>
    <row r="302" spans="2:12" x14ac:dyDescent="0.2">
      <c r="B302" s="43">
        <v>42011</v>
      </c>
      <c r="C302" s="44">
        <v>0.75</v>
      </c>
      <c r="D302" s="38" t="s">
        <v>43</v>
      </c>
      <c r="E302" s="45" t="str">
        <f>VLOOKUP(D302,tblProjekt[],2,FALSE)</f>
        <v>DPMPSN Calculator</v>
      </c>
      <c r="F302" s="39" t="s">
        <v>355</v>
      </c>
      <c r="G302" s="46"/>
      <c r="H302" s="46"/>
      <c r="I302" s="46"/>
      <c r="J302" s="46"/>
      <c r="K302" s="46"/>
      <c r="L302" s="41" t="s">
        <v>357</v>
      </c>
    </row>
    <row r="303" spans="2:12" x14ac:dyDescent="0.2">
      <c r="B303" s="43">
        <v>42011</v>
      </c>
      <c r="C303" s="44">
        <v>0.25</v>
      </c>
      <c r="D303" s="38" t="s">
        <v>43</v>
      </c>
      <c r="E303" s="45" t="str">
        <f>VLOOKUP(D303,tblProjekt[],2,FALSE)</f>
        <v>DPMPSN Calculator</v>
      </c>
      <c r="F303" s="46">
        <v>43</v>
      </c>
      <c r="G303" s="46"/>
      <c r="H303" s="46"/>
      <c r="I303" s="46"/>
      <c r="J303" s="46"/>
      <c r="K303" s="46"/>
      <c r="L303" s="41" t="s">
        <v>358</v>
      </c>
    </row>
    <row r="304" spans="2:12" ht="36" x14ac:dyDescent="0.2">
      <c r="B304" s="43">
        <v>42012</v>
      </c>
      <c r="C304" s="44">
        <v>1.5</v>
      </c>
      <c r="D304" s="38" t="s">
        <v>17</v>
      </c>
      <c r="E304" s="45" t="str">
        <f>VLOOKUP(D304,tblProjekt[],2,FALSE)</f>
        <v>Powerspreadsheet Win7</v>
      </c>
      <c r="F304" s="46"/>
      <c r="G304" s="46"/>
      <c r="H304" s="46"/>
      <c r="I304" s="46"/>
      <c r="J304" s="46"/>
      <c r="K304" s="46"/>
      <c r="L304" s="41" t="s">
        <v>359</v>
      </c>
    </row>
    <row r="305" spans="2:12" ht="24" x14ac:dyDescent="0.2">
      <c r="B305" s="43">
        <v>42012</v>
      </c>
      <c r="C305" s="44">
        <v>0.5</v>
      </c>
      <c r="D305" s="38" t="s">
        <v>17</v>
      </c>
      <c r="E305" s="45" t="str">
        <f>VLOOKUP(D305,tblProjekt[],2,FALSE)</f>
        <v>Powerspreadsheet Win7</v>
      </c>
      <c r="F305" s="46"/>
      <c r="G305" s="46"/>
      <c r="H305" s="46"/>
      <c r="I305" s="46"/>
      <c r="J305" s="46"/>
      <c r="K305" s="46"/>
      <c r="L305" s="41" t="s">
        <v>360</v>
      </c>
    </row>
    <row r="306" spans="2:12" ht="24" x14ac:dyDescent="0.2">
      <c r="B306" s="43">
        <v>42012</v>
      </c>
      <c r="C306" s="44">
        <v>0.25</v>
      </c>
      <c r="D306" s="38" t="s">
        <v>17</v>
      </c>
      <c r="E306" s="45" t="str">
        <f>VLOOKUP(D306,tblProjekt[],2,FALSE)</f>
        <v>Powerspreadsheet Win7</v>
      </c>
      <c r="F306" s="46"/>
      <c r="G306" s="46"/>
      <c r="H306" s="46"/>
      <c r="I306" s="46"/>
      <c r="J306" s="46"/>
      <c r="K306" s="46"/>
      <c r="L306" s="41" t="s">
        <v>361</v>
      </c>
    </row>
    <row r="307" spans="2:12" ht="24" x14ac:dyDescent="0.2">
      <c r="B307" s="43">
        <v>42012</v>
      </c>
      <c r="C307" s="44">
        <v>0.25</v>
      </c>
      <c r="D307" s="38" t="s">
        <v>17</v>
      </c>
      <c r="E307" s="45" t="str">
        <f>VLOOKUP(D307,tblProjekt[],2,FALSE)</f>
        <v>Powerspreadsheet Win7</v>
      </c>
      <c r="F307" s="46"/>
      <c r="G307" s="46"/>
      <c r="H307" s="46"/>
      <c r="I307" s="46"/>
      <c r="J307" s="46"/>
      <c r="K307" s="46"/>
      <c r="L307" s="41" t="s">
        <v>362</v>
      </c>
    </row>
    <row r="308" spans="2:12" ht="24" x14ac:dyDescent="0.2">
      <c r="B308" s="43">
        <v>42012</v>
      </c>
      <c r="C308" s="44">
        <v>1</v>
      </c>
      <c r="D308" s="38" t="s">
        <v>6</v>
      </c>
      <c r="E308" s="45" t="str">
        <f>VLOOKUP(D308,tblProjekt[],2,FALSE)</f>
        <v>Produktionsportal 2</v>
      </c>
      <c r="F308" s="46"/>
      <c r="G308" s="46"/>
      <c r="H308" s="46"/>
      <c r="I308" s="46"/>
      <c r="J308" s="46"/>
      <c r="K308" s="46"/>
      <c r="L308" s="41" t="s">
        <v>363</v>
      </c>
    </row>
    <row r="309" spans="2:12" x14ac:dyDescent="0.2">
      <c r="B309" s="43">
        <v>42012</v>
      </c>
      <c r="C309" s="44">
        <v>0.75</v>
      </c>
      <c r="D309" s="38" t="s">
        <v>43</v>
      </c>
      <c r="E309" s="45" t="str">
        <f>VLOOKUP(D309,tblProjekt[],2,FALSE)</f>
        <v>DPMPSN Calculator</v>
      </c>
      <c r="F309" s="46">
        <v>40</v>
      </c>
      <c r="G309" s="46"/>
      <c r="H309" s="46"/>
      <c r="I309" s="46"/>
      <c r="J309" s="46"/>
      <c r="K309" s="46"/>
      <c r="L309" s="41" t="s">
        <v>364</v>
      </c>
    </row>
    <row r="310" spans="2:12" x14ac:dyDescent="0.2">
      <c r="B310" s="43">
        <v>42012</v>
      </c>
      <c r="C310" s="44">
        <v>0.5</v>
      </c>
      <c r="D310" s="38" t="s">
        <v>84</v>
      </c>
      <c r="E310" s="45" t="str">
        <f>VLOOKUP(D310,tblProjekt[],2,FALSE)</f>
        <v>Infrastruktur cognovo</v>
      </c>
      <c r="F310" s="46"/>
      <c r="G310" s="46"/>
      <c r="H310" s="46"/>
      <c r="I310" s="46"/>
      <c r="J310" s="46"/>
      <c r="K310" s="46"/>
      <c r="L310" s="41" t="s">
        <v>365</v>
      </c>
    </row>
    <row r="311" spans="2:12" ht="36" x14ac:dyDescent="0.2">
      <c r="B311" s="43">
        <v>42012</v>
      </c>
      <c r="C311" s="44">
        <v>0.75</v>
      </c>
      <c r="D311" s="45" t="s">
        <v>59</v>
      </c>
      <c r="E311" s="45" t="str">
        <f>VLOOKUP(D311,tblProjekt[],2,FALSE)</f>
        <v>Stada reports</v>
      </c>
      <c r="F311" s="46"/>
      <c r="G311" s="46"/>
      <c r="H311" s="46"/>
      <c r="I311" s="46"/>
      <c r="J311" s="46"/>
      <c r="K311" s="46"/>
      <c r="L311" s="41" t="s">
        <v>366</v>
      </c>
    </row>
    <row r="312" spans="2:12" ht="24" x14ac:dyDescent="0.2">
      <c r="B312" s="43">
        <v>42012</v>
      </c>
      <c r="C312" s="44">
        <v>1.25</v>
      </c>
      <c r="D312" s="38" t="s">
        <v>43</v>
      </c>
      <c r="E312" s="45" t="str">
        <f>VLOOKUP(D312,tblProjekt[],2,FALSE)</f>
        <v>DPMPSN Calculator</v>
      </c>
      <c r="F312" s="46">
        <v>40</v>
      </c>
      <c r="G312" s="46"/>
      <c r="H312" s="46"/>
      <c r="I312" s="46"/>
      <c r="J312" s="46"/>
      <c r="K312" s="46"/>
      <c r="L312" s="41" t="s">
        <v>367</v>
      </c>
    </row>
    <row r="313" spans="2:12" x14ac:dyDescent="0.2">
      <c r="B313" s="43">
        <v>42013</v>
      </c>
      <c r="C313" s="44">
        <v>1</v>
      </c>
      <c r="D313" s="38" t="s">
        <v>43</v>
      </c>
      <c r="E313" s="45" t="str">
        <f>VLOOKUP(D313,tblProjekt[],2,FALSE)</f>
        <v>DPMPSN Calculator</v>
      </c>
      <c r="F313" s="46">
        <v>40</v>
      </c>
      <c r="G313" s="46"/>
      <c r="H313" s="46"/>
      <c r="I313" s="46"/>
      <c r="J313" s="46"/>
      <c r="K313" s="46"/>
      <c r="L313" s="41" t="s">
        <v>368</v>
      </c>
    </row>
    <row r="314" spans="2:12" x14ac:dyDescent="0.2">
      <c r="B314" s="43">
        <v>42013</v>
      </c>
      <c r="C314" s="44">
        <v>0.25</v>
      </c>
      <c r="D314" s="38" t="s">
        <v>43</v>
      </c>
      <c r="E314" s="45" t="str">
        <f>VLOOKUP(D314,tblProjekt[],2,FALSE)</f>
        <v>DPMPSN Calculator</v>
      </c>
      <c r="F314" s="46">
        <v>40</v>
      </c>
      <c r="G314" s="46"/>
      <c r="H314" s="46"/>
      <c r="I314" s="46"/>
      <c r="J314" s="46"/>
      <c r="K314" s="46"/>
      <c r="L314" s="41" t="s">
        <v>369</v>
      </c>
    </row>
    <row r="315" spans="2:12" x14ac:dyDescent="0.2">
      <c r="B315" s="43">
        <v>42013</v>
      </c>
      <c r="C315" s="44">
        <v>0.75</v>
      </c>
      <c r="D315" s="38" t="s">
        <v>84</v>
      </c>
      <c r="E315" s="45" t="str">
        <f>VLOOKUP(D315,tblProjekt[],2,FALSE)</f>
        <v>Infrastruktur cognovo</v>
      </c>
      <c r="F315" s="46"/>
      <c r="G315" s="46"/>
      <c r="H315" s="46"/>
      <c r="I315" s="46"/>
      <c r="J315" s="46"/>
      <c r="K315" s="46"/>
      <c r="L315" s="41" t="s">
        <v>370</v>
      </c>
    </row>
    <row r="316" spans="2:12" ht="24" x14ac:dyDescent="0.2">
      <c r="B316" s="43">
        <v>42013</v>
      </c>
      <c r="C316" s="44">
        <v>0.5</v>
      </c>
      <c r="D316" s="38" t="s">
        <v>43</v>
      </c>
      <c r="E316" s="45" t="str">
        <f>VLOOKUP(D316,tblProjekt[],2,FALSE)</f>
        <v>DPMPSN Calculator</v>
      </c>
      <c r="F316" s="46">
        <v>40</v>
      </c>
      <c r="G316" s="46"/>
      <c r="H316" s="46"/>
      <c r="I316" s="46"/>
      <c r="J316" s="46"/>
      <c r="K316" s="46"/>
      <c r="L316" s="41" t="s">
        <v>371</v>
      </c>
    </row>
    <row r="317" spans="2:12" ht="24" x14ac:dyDescent="0.2">
      <c r="B317" s="43">
        <v>42013</v>
      </c>
      <c r="C317" s="44">
        <v>0.75</v>
      </c>
      <c r="D317" s="38" t="s">
        <v>63</v>
      </c>
      <c r="E317" s="45" t="str">
        <f>VLOOKUP(D317,tblProjekt[],2,FALSE)</f>
        <v>Klosterfrau Mass Market</v>
      </c>
      <c r="F317" s="46"/>
      <c r="G317" s="46"/>
      <c r="H317" s="46"/>
      <c r="I317" s="46"/>
      <c r="J317" s="46"/>
      <c r="K317" s="46"/>
      <c r="L317" s="41" t="s">
        <v>372</v>
      </c>
    </row>
    <row r="318" spans="2:12" ht="24" x14ac:dyDescent="0.2">
      <c r="B318" s="43">
        <v>42014</v>
      </c>
      <c r="C318" s="44">
        <v>0.75</v>
      </c>
      <c r="D318" s="38" t="s">
        <v>43</v>
      </c>
      <c r="E318" s="45" t="str">
        <f>VLOOKUP(D318,tblProjekt[],2,FALSE)</f>
        <v>DPMPSN Calculator</v>
      </c>
      <c r="F318" s="46">
        <v>48</v>
      </c>
      <c r="G318" s="46"/>
      <c r="H318" s="46"/>
      <c r="I318" s="46"/>
      <c r="J318" s="46"/>
      <c r="K318" s="46"/>
      <c r="L318" s="41" t="s">
        <v>373</v>
      </c>
    </row>
    <row r="319" spans="2:12" x14ac:dyDescent="0.2">
      <c r="B319" s="43">
        <v>42017</v>
      </c>
      <c r="C319" s="44">
        <v>0.5</v>
      </c>
      <c r="D319" s="38" t="s">
        <v>17</v>
      </c>
      <c r="E319" s="45" t="str">
        <f>VLOOKUP(D319,tblProjekt[],2,FALSE)</f>
        <v>Powerspreadsheet Win7</v>
      </c>
      <c r="F319" s="46"/>
      <c r="G319" s="46"/>
      <c r="H319" s="46"/>
      <c r="I319" s="46"/>
      <c r="J319" s="46"/>
      <c r="K319" s="46"/>
      <c r="L319" s="41" t="s">
        <v>374</v>
      </c>
    </row>
    <row r="320" spans="2:12" ht="24" x14ac:dyDescent="0.2">
      <c r="B320" s="43">
        <v>42023</v>
      </c>
      <c r="C320" s="44">
        <v>0.75</v>
      </c>
      <c r="D320" s="38" t="s">
        <v>84</v>
      </c>
      <c r="E320" s="45" t="str">
        <f>VLOOKUP(D320,tblProjekt[],2,FALSE)</f>
        <v>Infrastruktur cognovo</v>
      </c>
      <c r="F320" s="46"/>
      <c r="G320" s="46"/>
      <c r="H320" s="46"/>
      <c r="I320" s="46"/>
      <c r="J320" s="46"/>
      <c r="K320" s="46"/>
      <c r="L320" s="41" t="s">
        <v>375</v>
      </c>
    </row>
    <row r="321" spans="2:12" ht="36" x14ac:dyDescent="0.2">
      <c r="B321" s="43">
        <v>42023</v>
      </c>
      <c r="C321" s="44">
        <v>2.25</v>
      </c>
      <c r="D321" s="38" t="s">
        <v>63</v>
      </c>
      <c r="E321" s="45" t="str">
        <f>VLOOKUP(D321,tblProjekt[],2,FALSE)</f>
        <v>Klosterfrau Mass Market</v>
      </c>
      <c r="F321" s="46"/>
      <c r="G321" s="46"/>
      <c r="H321" s="46"/>
      <c r="I321" s="46"/>
      <c r="J321" s="46"/>
      <c r="K321" s="46"/>
      <c r="L321" s="41" t="s">
        <v>379</v>
      </c>
    </row>
    <row r="322" spans="2:12" x14ac:dyDescent="0.2">
      <c r="B322" s="43">
        <v>42023</v>
      </c>
      <c r="C322" s="44">
        <v>0.25</v>
      </c>
      <c r="D322" s="38" t="s">
        <v>66</v>
      </c>
      <c r="E322" s="45" t="str">
        <f>VLOOKUP(D322,tblProjekt[],2,FALSE)</f>
        <v>PHS Calculator</v>
      </c>
      <c r="F322" s="46"/>
      <c r="G322" s="46"/>
      <c r="H322" s="46"/>
      <c r="I322" s="46"/>
      <c r="J322" s="46"/>
      <c r="K322" s="46"/>
      <c r="L322" s="41" t="s">
        <v>376</v>
      </c>
    </row>
    <row r="323" spans="2:12" ht="24" x14ac:dyDescent="0.2">
      <c r="B323" s="43">
        <v>42023</v>
      </c>
      <c r="C323" s="44">
        <v>1</v>
      </c>
      <c r="D323" s="38" t="s">
        <v>43</v>
      </c>
      <c r="E323" s="45" t="str">
        <f>VLOOKUP(D323,tblProjekt[],2,FALSE)</f>
        <v>DPMPSN Calculator</v>
      </c>
      <c r="F323" s="46">
        <v>52</v>
      </c>
      <c r="G323" s="46"/>
      <c r="H323" s="46"/>
      <c r="I323" s="46"/>
      <c r="J323" s="46"/>
      <c r="K323" s="46"/>
      <c r="L323" s="41" t="s">
        <v>377</v>
      </c>
    </row>
    <row r="324" spans="2:12" ht="36" x14ac:dyDescent="0.2">
      <c r="B324" s="43">
        <v>42023</v>
      </c>
      <c r="C324" s="44">
        <v>1</v>
      </c>
      <c r="D324" s="38" t="s">
        <v>43</v>
      </c>
      <c r="E324" s="45" t="str">
        <f>VLOOKUP(D324,tblProjekt[],2,FALSE)</f>
        <v>DPMPSN Calculator</v>
      </c>
      <c r="F324" s="46">
        <v>50</v>
      </c>
      <c r="G324" s="46"/>
      <c r="H324" s="46"/>
      <c r="I324" s="46"/>
      <c r="J324" s="46"/>
      <c r="K324" s="46"/>
      <c r="L324" s="41" t="s">
        <v>378</v>
      </c>
    </row>
    <row r="325" spans="2:12" x14ac:dyDescent="0.2">
      <c r="B325" s="43">
        <v>42023</v>
      </c>
      <c r="C325" s="44">
        <v>0.5</v>
      </c>
      <c r="D325" s="38" t="s">
        <v>6</v>
      </c>
      <c r="E325" s="45" t="str">
        <f>VLOOKUP(D325,tblProjekt[],2,FALSE)</f>
        <v>Produktionsportal 2</v>
      </c>
      <c r="F325" s="39" t="s">
        <v>381</v>
      </c>
      <c r="G325" s="46"/>
      <c r="H325" s="46"/>
      <c r="I325" s="46"/>
      <c r="J325" s="46"/>
      <c r="K325" s="46"/>
      <c r="L325" s="41" t="s">
        <v>380</v>
      </c>
    </row>
    <row r="326" spans="2:12" ht="24" x14ac:dyDescent="0.2">
      <c r="B326" s="43">
        <v>42024</v>
      </c>
      <c r="C326" s="44">
        <v>1</v>
      </c>
      <c r="D326" s="38" t="s">
        <v>43</v>
      </c>
      <c r="E326" s="45" t="str">
        <f>VLOOKUP(D326,tblProjekt[],2,FALSE)</f>
        <v>DPMPSN Calculator</v>
      </c>
      <c r="F326" s="46">
        <v>52</v>
      </c>
      <c r="G326" s="46"/>
      <c r="H326" s="46"/>
      <c r="I326" s="46"/>
      <c r="J326" s="46"/>
      <c r="K326" s="46"/>
      <c r="L326" s="41" t="s">
        <v>382</v>
      </c>
    </row>
    <row r="327" spans="2:12" ht="24" x14ac:dyDescent="0.2">
      <c r="B327" s="43">
        <v>42024</v>
      </c>
      <c r="C327" s="44">
        <v>0.25</v>
      </c>
      <c r="D327" s="38" t="s">
        <v>66</v>
      </c>
      <c r="E327" s="45" t="str">
        <f>VLOOKUP(D327,tblProjekt[],2,FALSE)</f>
        <v>PHS Calculator</v>
      </c>
      <c r="F327" s="46"/>
      <c r="G327" s="46"/>
      <c r="H327" s="46"/>
      <c r="I327" s="46"/>
      <c r="J327" s="46"/>
      <c r="K327" s="46"/>
      <c r="L327" s="41" t="s">
        <v>383</v>
      </c>
    </row>
    <row r="328" spans="2:12" ht="36" x14ac:dyDescent="0.2">
      <c r="B328" s="43">
        <v>42024</v>
      </c>
      <c r="C328" s="44">
        <v>1</v>
      </c>
      <c r="D328" s="38" t="s">
        <v>6</v>
      </c>
      <c r="E328" s="45" t="str">
        <f>VLOOKUP(D328,tblProjekt[],2,FALSE)</f>
        <v>Produktionsportal 2</v>
      </c>
      <c r="F328" s="46">
        <v>20</v>
      </c>
      <c r="G328" s="46"/>
      <c r="H328" s="46"/>
      <c r="I328" s="46"/>
      <c r="J328" s="46"/>
      <c r="K328" s="46"/>
      <c r="L328" s="41" t="s">
        <v>384</v>
      </c>
    </row>
    <row r="329" spans="2:12" x14ac:dyDescent="0.2">
      <c r="B329" s="43">
        <v>42024</v>
      </c>
      <c r="C329" s="44">
        <v>0.25</v>
      </c>
      <c r="D329" s="38" t="s">
        <v>84</v>
      </c>
      <c r="E329" s="45" t="str">
        <f>VLOOKUP(D329,tblProjekt[],2,FALSE)</f>
        <v>Infrastruktur cognovo</v>
      </c>
      <c r="F329" s="46"/>
      <c r="G329" s="46"/>
      <c r="H329" s="46"/>
      <c r="I329" s="46"/>
      <c r="J329" s="46"/>
      <c r="K329" s="46"/>
      <c r="L329" s="41" t="s">
        <v>385</v>
      </c>
    </row>
    <row r="330" spans="2:12" ht="24" x14ac:dyDescent="0.2">
      <c r="B330" s="43">
        <v>42024</v>
      </c>
      <c r="C330" s="44">
        <v>1.25</v>
      </c>
      <c r="D330" s="38" t="s">
        <v>337</v>
      </c>
      <c r="E330" s="45" t="str">
        <f>VLOOKUP(D330,tblProjekt[],2,FALSE)</f>
        <v>Klosterfrau National</v>
      </c>
      <c r="F330" s="46"/>
      <c r="G330" s="46"/>
      <c r="H330" s="46"/>
      <c r="I330" s="46"/>
      <c r="J330" s="46"/>
      <c r="K330" s="46"/>
      <c r="L330" s="41" t="s">
        <v>386</v>
      </c>
    </row>
    <row r="331" spans="2:12" x14ac:dyDescent="0.2">
      <c r="B331" s="43">
        <v>42024</v>
      </c>
      <c r="C331" s="44">
        <v>0.25</v>
      </c>
      <c r="D331" s="38" t="s">
        <v>29</v>
      </c>
      <c r="E331" s="45" t="str">
        <f>VLOOKUP(D331,tblProjekt[],2,FALSE)</f>
        <v>CM Calculator</v>
      </c>
      <c r="F331" s="46">
        <v>53</v>
      </c>
      <c r="G331" s="46"/>
      <c r="H331" s="46"/>
      <c r="I331" s="46"/>
      <c r="J331" s="46"/>
      <c r="K331" s="46"/>
      <c r="L331" s="41" t="s">
        <v>232</v>
      </c>
    </row>
    <row r="332" spans="2:12" ht="24" x14ac:dyDescent="0.2">
      <c r="B332" s="43">
        <v>42025</v>
      </c>
      <c r="C332" s="44">
        <v>0.25</v>
      </c>
      <c r="D332" s="38" t="s">
        <v>66</v>
      </c>
      <c r="E332" s="45" t="str">
        <f>VLOOKUP(D332,tblProjekt[],2,FALSE)</f>
        <v>PHS Calculator</v>
      </c>
      <c r="F332" s="46"/>
      <c r="G332" s="46"/>
      <c r="H332" s="46"/>
      <c r="I332" s="46"/>
      <c r="J332" s="46"/>
      <c r="K332" s="46"/>
      <c r="L332" s="41" t="s">
        <v>387</v>
      </c>
    </row>
    <row r="333" spans="2:12" ht="24" x14ac:dyDescent="0.2">
      <c r="B333" s="43">
        <v>42025</v>
      </c>
      <c r="C333" s="44">
        <v>0.5</v>
      </c>
      <c r="D333" s="38" t="s">
        <v>60</v>
      </c>
      <c r="E333" s="45" t="str">
        <f>VLOOKUP(D333,tblProjekt[],2,FALSE)</f>
        <v>Nutricia reports</v>
      </c>
      <c r="F333" s="46"/>
      <c r="G333" s="46"/>
      <c r="H333" s="46"/>
      <c r="I333" s="46"/>
      <c r="J333" s="46"/>
      <c r="K333" s="46"/>
      <c r="L333" s="41" t="s">
        <v>388</v>
      </c>
    </row>
    <row r="334" spans="2:12" ht="24" x14ac:dyDescent="0.2">
      <c r="B334" s="43">
        <v>42025</v>
      </c>
      <c r="C334" s="44">
        <v>2</v>
      </c>
      <c r="D334" s="38" t="s">
        <v>6</v>
      </c>
      <c r="E334" s="45" t="str">
        <f>VLOOKUP(D334,tblProjekt[],2,FALSE)</f>
        <v>Produktionsportal 2</v>
      </c>
      <c r="F334" s="46">
        <v>20</v>
      </c>
      <c r="G334" s="46"/>
      <c r="H334" s="46"/>
      <c r="I334" s="46"/>
      <c r="J334" s="46"/>
      <c r="K334" s="46"/>
      <c r="L334" s="41" t="s">
        <v>389</v>
      </c>
    </row>
    <row r="335" spans="2:12" ht="48" x14ac:dyDescent="0.2">
      <c r="B335" s="43">
        <v>42025</v>
      </c>
      <c r="C335" s="44">
        <v>0.25</v>
      </c>
      <c r="D335" s="38" t="s">
        <v>6</v>
      </c>
      <c r="E335" s="45" t="str">
        <f>VLOOKUP(D335,tblProjekt[],2,FALSE)</f>
        <v>Produktionsportal 2</v>
      </c>
      <c r="F335" s="39" t="s">
        <v>390</v>
      </c>
      <c r="G335" s="46"/>
      <c r="H335" s="46"/>
      <c r="I335" s="46"/>
      <c r="J335" s="46"/>
      <c r="K335" s="46"/>
      <c r="L335" s="41" t="s">
        <v>391</v>
      </c>
    </row>
    <row r="336" spans="2:12" ht="24" x14ac:dyDescent="0.2">
      <c r="B336" s="43">
        <v>42025</v>
      </c>
      <c r="C336" s="44">
        <v>0.25</v>
      </c>
      <c r="D336" s="38" t="s">
        <v>6</v>
      </c>
      <c r="E336" s="45" t="str">
        <f>VLOOKUP(D336,tblProjekt[],2,FALSE)</f>
        <v>Produktionsportal 2</v>
      </c>
      <c r="F336" s="46">
        <v>22</v>
      </c>
      <c r="G336" s="46"/>
      <c r="H336" s="46"/>
      <c r="I336" s="46"/>
      <c r="J336" s="46"/>
      <c r="K336" s="46"/>
      <c r="L336" s="41" t="s">
        <v>392</v>
      </c>
    </row>
    <row r="337" spans="2:12" ht="24" x14ac:dyDescent="0.2">
      <c r="B337" s="43">
        <v>42025</v>
      </c>
      <c r="C337" s="44">
        <v>0.25</v>
      </c>
      <c r="D337" s="38" t="s">
        <v>6</v>
      </c>
      <c r="E337" s="45" t="str">
        <f>VLOOKUP(D337,tblProjekt[],2,FALSE)</f>
        <v>Produktionsportal 2</v>
      </c>
      <c r="F337" s="46">
        <v>23</v>
      </c>
      <c r="G337" s="46"/>
      <c r="H337" s="46"/>
      <c r="I337" s="46"/>
      <c r="J337" s="46"/>
      <c r="K337" s="46"/>
      <c r="L337" s="41" t="s">
        <v>393</v>
      </c>
    </row>
    <row r="338" spans="2:12" ht="24" x14ac:dyDescent="0.2">
      <c r="B338" s="43">
        <v>42025</v>
      </c>
      <c r="C338" s="44">
        <v>0.25</v>
      </c>
      <c r="D338" s="38" t="s">
        <v>6</v>
      </c>
      <c r="E338" s="45" t="str">
        <f>VLOOKUP(D338,tblProjekt[],2,FALSE)</f>
        <v>Produktionsportal 2</v>
      </c>
      <c r="F338" s="46">
        <v>24</v>
      </c>
      <c r="G338" s="46"/>
      <c r="H338" s="46"/>
      <c r="I338" s="46"/>
      <c r="J338" s="46"/>
      <c r="K338" s="46"/>
      <c r="L338" s="41" t="s">
        <v>394</v>
      </c>
    </row>
    <row r="339" spans="2:12" ht="36" x14ac:dyDescent="0.2">
      <c r="B339" s="43">
        <v>42025</v>
      </c>
      <c r="C339" s="44">
        <v>0.5</v>
      </c>
      <c r="D339" s="38" t="s">
        <v>6</v>
      </c>
      <c r="E339" s="45" t="str">
        <f>VLOOKUP(D339,tblProjekt[],2,FALSE)</f>
        <v>Produktionsportal 2</v>
      </c>
      <c r="F339" s="46"/>
      <c r="G339" s="46"/>
      <c r="H339" s="46"/>
      <c r="I339" s="46"/>
      <c r="J339" s="46"/>
      <c r="K339" s="46"/>
      <c r="L339" s="41" t="s">
        <v>395</v>
      </c>
    </row>
    <row r="340" spans="2:12" ht="24" x14ac:dyDescent="0.2">
      <c r="B340" s="43">
        <v>42025</v>
      </c>
      <c r="C340" s="44">
        <v>0.75</v>
      </c>
      <c r="D340" s="38" t="s">
        <v>339</v>
      </c>
      <c r="E340" s="45" t="str">
        <f>VLOOKUP(D340,tblProjekt[],2,FALSE)</f>
        <v>Klosterfrau Regio</v>
      </c>
      <c r="F340" s="46"/>
      <c r="G340" s="46"/>
      <c r="H340" s="46"/>
      <c r="I340" s="46"/>
      <c r="J340" s="46"/>
      <c r="K340" s="46"/>
      <c r="L340" s="41" t="s">
        <v>396</v>
      </c>
    </row>
    <row r="341" spans="2:12" x14ac:dyDescent="0.2">
      <c r="B341" s="43">
        <v>42025</v>
      </c>
      <c r="C341" s="44">
        <v>1.5</v>
      </c>
      <c r="D341" s="38" t="s">
        <v>84</v>
      </c>
      <c r="E341" s="45" t="str">
        <f>VLOOKUP(D341,tblProjekt[],2,FALSE)</f>
        <v>Infrastruktur cognovo</v>
      </c>
      <c r="F341" s="46"/>
      <c r="G341" s="46"/>
      <c r="H341" s="46"/>
      <c r="I341" s="46"/>
      <c r="J341" s="46"/>
      <c r="K341" s="46"/>
      <c r="L341" s="41" t="s">
        <v>397</v>
      </c>
    </row>
    <row r="342" spans="2:12" ht="36" x14ac:dyDescent="0.2">
      <c r="B342" s="43">
        <v>42026</v>
      </c>
      <c r="C342" s="44">
        <v>0.75</v>
      </c>
      <c r="D342" s="38" t="s">
        <v>339</v>
      </c>
      <c r="E342" s="45" t="str">
        <f>VLOOKUP(D342,tblProjekt[],2,FALSE)</f>
        <v>Klosterfrau Regio</v>
      </c>
      <c r="F342" s="46"/>
      <c r="G342" s="46"/>
      <c r="H342" s="46"/>
      <c r="I342" s="46"/>
      <c r="J342" s="46"/>
      <c r="K342" s="46"/>
      <c r="L342" s="41" t="s">
        <v>398</v>
      </c>
    </row>
    <row r="343" spans="2:12" ht="36" x14ac:dyDescent="0.2">
      <c r="B343" s="43">
        <v>42026</v>
      </c>
      <c r="C343" s="44">
        <v>1.5</v>
      </c>
      <c r="D343" s="38" t="s">
        <v>41</v>
      </c>
      <c r="E343" s="45" t="str">
        <f>VLOOKUP(D343,tblProjekt[],2,FALSE)</f>
        <v>L'Oreal Distributionsreport</v>
      </c>
      <c r="F343" s="46"/>
      <c r="G343" s="46"/>
      <c r="H343" s="46"/>
      <c r="I343" s="46"/>
      <c r="J343" s="46"/>
      <c r="K343" s="46"/>
      <c r="L343" s="41" t="s">
        <v>399</v>
      </c>
    </row>
    <row r="344" spans="2:12" ht="24" x14ac:dyDescent="0.2">
      <c r="B344" s="43">
        <v>42026</v>
      </c>
      <c r="C344" s="44">
        <v>0.5</v>
      </c>
      <c r="D344" s="38" t="s">
        <v>51</v>
      </c>
      <c r="E344" s="45" t="str">
        <f>VLOOKUP(D344,tblProjekt[],2,FALSE)</f>
        <v>L'Oreal Micro report</v>
      </c>
      <c r="F344" s="46"/>
      <c r="G344" s="46"/>
      <c r="H344" s="46"/>
      <c r="I344" s="46"/>
      <c r="J344" s="46"/>
      <c r="K344" s="46"/>
      <c r="L344" s="41" t="s">
        <v>400</v>
      </c>
    </row>
    <row r="345" spans="2:12" ht="24" x14ac:dyDescent="0.2">
      <c r="B345" s="43">
        <v>42026</v>
      </c>
      <c r="C345" s="44">
        <v>0.25</v>
      </c>
      <c r="D345" s="38" t="s">
        <v>59</v>
      </c>
      <c r="E345" s="45" t="str">
        <f>VLOOKUP(D345,tblProjekt[],2,FALSE)</f>
        <v>Stada reports</v>
      </c>
      <c r="F345" s="46"/>
      <c r="G345" s="46"/>
      <c r="H345" s="46"/>
      <c r="I345" s="46"/>
      <c r="J345" s="46"/>
      <c r="K345" s="46"/>
      <c r="L345" s="41" t="s">
        <v>401</v>
      </c>
    </row>
    <row r="346" spans="2:12" x14ac:dyDescent="0.2">
      <c r="B346" s="43">
        <v>42026</v>
      </c>
      <c r="C346" s="44">
        <v>0.75</v>
      </c>
      <c r="D346" s="38" t="s">
        <v>6</v>
      </c>
      <c r="E346" s="45" t="str">
        <f>VLOOKUP(D346,tblProjekt[],2,FALSE)</f>
        <v>Produktionsportal 2</v>
      </c>
      <c r="F346" s="46">
        <v>24</v>
      </c>
      <c r="G346" s="46"/>
      <c r="H346" s="46"/>
      <c r="I346" s="46"/>
      <c r="J346" s="46"/>
      <c r="K346" s="46"/>
      <c r="L346" s="41" t="s">
        <v>402</v>
      </c>
    </row>
    <row r="347" spans="2:12" ht="36" x14ac:dyDescent="0.2">
      <c r="B347" s="43">
        <v>42026</v>
      </c>
      <c r="C347" s="44">
        <v>2.5</v>
      </c>
      <c r="D347" s="38" t="s">
        <v>6</v>
      </c>
      <c r="E347" s="45" t="str">
        <f>VLOOKUP(D347,tblProjekt[],2,FALSE)</f>
        <v>Produktionsportal 2</v>
      </c>
      <c r="F347" s="46"/>
      <c r="G347" s="46"/>
      <c r="H347" s="46"/>
      <c r="I347" s="46"/>
      <c r="J347" s="46"/>
      <c r="K347" s="46"/>
      <c r="L347" s="41" t="s">
        <v>403</v>
      </c>
    </row>
    <row r="348" spans="2:12" ht="36" x14ac:dyDescent="0.2">
      <c r="B348" s="43">
        <v>42027</v>
      </c>
      <c r="C348" s="44">
        <v>2.5</v>
      </c>
      <c r="D348" s="38" t="s">
        <v>59</v>
      </c>
      <c r="E348" s="45" t="str">
        <f>VLOOKUP(D348,tblProjekt[],2,FALSE)</f>
        <v>Stada reports</v>
      </c>
      <c r="F348" s="46"/>
      <c r="G348" s="46"/>
      <c r="H348" s="46"/>
      <c r="I348" s="46"/>
      <c r="J348" s="46"/>
      <c r="K348" s="46"/>
      <c r="L348" s="41" t="s">
        <v>404</v>
      </c>
    </row>
    <row r="349" spans="2:12" x14ac:dyDescent="0.2">
      <c r="B349" s="43">
        <v>42027</v>
      </c>
      <c r="C349" s="44">
        <v>0.25</v>
      </c>
      <c r="D349" s="38" t="s">
        <v>64</v>
      </c>
      <c r="E349" s="45" t="str">
        <f>VLOOKUP(D349,tblProjekt[],2,FALSE)</f>
        <v>Omron reports</v>
      </c>
      <c r="F349" s="46"/>
      <c r="G349" s="46"/>
      <c r="H349" s="46"/>
      <c r="I349" s="46"/>
      <c r="J349" s="46"/>
      <c r="K349" s="46"/>
      <c r="L349" s="41" t="s">
        <v>405</v>
      </c>
    </row>
    <row r="350" spans="2:12" x14ac:dyDescent="0.2">
      <c r="B350" s="43">
        <v>42027</v>
      </c>
      <c r="C350" s="44">
        <v>0.25</v>
      </c>
      <c r="D350" s="38" t="s">
        <v>55</v>
      </c>
      <c r="E350" s="45" t="str">
        <f>VLOOKUP(D350,tblProjekt[],2,FALSE)</f>
        <v>Biomedica report</v>
      </c>
      <c r="F350" s="46"/>
      <c r="G350" s="46"/>
      <c r="H350" s="46"/>
      <c r="I350" s="46"/>
      <c r="J350" s="46"/>
      <c r="K350" s="46"/>
      <c r="L350" s="41" t="s">
        <v>406</v>
      </c>
    </row>
    <row r="351" spans="2:12" ht="24" x14ac:dyDescent="0.2">
      <c r="B351" s="43">
        <v>42027</v>
      </c>
      <c r="C351" s="44">
        <v>0.5</v>
      </c>
      <c r="D351" s="38" t="s">
        <v>29</v>
      </c>
      <c r="E351" s="45" t="str">
        <f>VLOOKUP(D351,tblProjekt[],2,FALSE)</f>
        <v>CM Calculator</v>
      </c>
      <c r="F351" s="46">
        <v>53</v>
      </c>
      <c r="G351" s="46"/>
      <c r="H351" s="46"/>
      <c r="I351" s="46"/>
      <c r="J351" s="46"/>
      <c r="K351" s="46"/>
      <c r="L351" s="41" t="s">
        <v>407</v>
      </c>
    </row>
    <row r="352" spans="2:12" ht="24" x14ac:dyDescent="0.2">
      <c r="B352" s="43">
        <v>42027</v>
      </c>
      <c r="C352" s="44">
        <v>0.5</v>
      </c>
      <c r="D352" s="38" t="s">
        <v>66</v>
      </c>
      <c r="E352" s="45" t="str">
        <f>VLOOKUP(D352,tblProjekt[],2,FALSE)</f>
        <v>PHS Calculator</v>
      </c>
      <c r="F352" s="46">
        <v>54</v>
      </c>
      <c r="G352" s="46"/>
      <c r="H352" s="46"/>
      <c r="I352" s="46"/>
      <c r="J352" s="46"/>
      <c r="K352" s="46"/>
      <c r="L352" s="41" t="s">
        <v>408</v>
      </c>
    </row>
    <row r="353" spans="2:12" ht="24" x14ac:dyDescent="0.2">
      <c r="B353" s="43">
        <v>42027</v>
      </c>
      <c r="C353" s="44">
        <v>0.25</v>
      </c>
      <c r="D353" s="38" t="s">
        <v>66</v>
      </c>
      <c r="E353" s="45" t="str">
        <f>VLOOKUP(D353,tblProjekt[],2,FALSE)</f>
        <v>PHS Calculator</v>
      </c>
      <c r="F353" s="46">
        <v>55</v>
      </c>
      <c r="G353" s="46"/>
      <c r="H353" s="46"/>
      <c r="I353" s="46"/>
      <c r="J353" s="46"/>
      <c r="K353" s="46"/>
      <c r="L353" s="41" t="s">
        <v>409</v>
      </c>
    </row>
    <row r="354" spans="2:12" ht="36" x14ac:dyDescent="0.2">
      <c r="B354" s="43">
        <v>42027</v>
      </c>
      <c r="C354" s="44">
        <v>0.75</v>
      </c>
      <c r="D354" s="38" t="s">
        <v>6</v>
      </c>
      <c r="E354" s="45" t="str">
        <f>VLOOKUP(D354,tblProjekt[],2,FALSE)</f>
        <v>Produktionsportal 2</v>
      </c>
      <c r="F354" s="46"/>
      <c r="G354" s="46"/>
      <c r="H354" s="46"/>
      <c r="I354" s="46"/>
      <c r="J354" s="46"/>
      <c r="K354" s="46"/>
      <c r="L354" s="41" t="s">
        <v>410</v>
      </c>
    </row>
    <row r="355" spans="2:12" ht="24" x14ac:dyDescent="0.2">
      <c r="B355" s="43">
        <v>42028</v>
      </c>
      <c r="C355" s="44">
        <v>0.5</v>
      </c>
      <c r="D355" s="38" t="s">
        <v>43</v>
      </c>
      <c r="E355" s="45" t="str">
        <f>VLOOKUP(D355,tblProjekt[],2,FALSE)</f>
        <v>DPMPSN Calculator</v>
      </c>
      <c r="F355" s="46">
        <v>56</v>
      </c>
      <c r="G355" s="46"/>
      <c r="H355" s="46"/>
      <c r="I355" s="46"/>
      <c r="J355" s="46"/>
      <c r="K355" s="46"/>
      <c r="L355" s="41" t="s">
        <v>411</v>
      </c>
    </row>
    <row r="356" spans="2:12" ht="24" x14ac:dyDescent="0.2">
      <c r="B356" s="43">
        <v>42029</v>
      </c>
      <c r="C356" s="44">
        <v>0.5</v>
      </c>
      <c r="D356" s="38" t="s">
        <v>6</v>
      </c>
      <c r="E356" s="45" t="str">
        <f>VLOOKUP(D356,tblProjekt[],2,FALSE)</f>
        <v>Produktionsportal 2</v>
      </c>
      <c r="F356" s="46"/>
      <c r="G356" s="46"/>
      <c r="H356" s="46"/>
      <c r="I356" s="46"/>
      <c r="J356" s="46"/>
      <c r="K356" s="46"/>
      <c r="L356" s="41" t="s">
        <v>412</v>
      </c>
    </row>
    <row r="357" spans="2:12" ht="24" x14ac:dyDescent="0.2">
      <c r="B357" s="43">
        <v>42033</v>
      </c>
      <c r="C357" s="44">
        <v>0.75</v>
      </c>
      <c r="D357" s="38" t="s">
        <v>84</v>
      </c>
      <c r="E357" s="45" t="str">
        <f>VLOOKUP(D357,tblProjekt[],2,FALSE)</f>
        <v>Infrastruktur cognovo</v>
      </c>
      <c r="F357" s="46"/>
      <c r="G357" s="46"/>
      <c r="H357" s="46"/>
      <c r="I357" s="46"/>
      <c r="J357" s="46"/>
      <c r="K357" s="46"/>
      <c r="L357" s="41" t="s">
        <v>413</v>
      </c>
    </row>
    <row r="358" spans="2:12" ht="24" x14ac:dyDescent="0.2">
      <c r="B358" s="43">
        <v>42033</v>
      </c>
      <c r="C358" s="44">
        <v>0.25</v>
      </c>
      <c r="D358" s="38" t="s">
        <v>84</v>
      </c>
      <c r="E358" s="45" t="str">
        <f>VLOOKUP(D358,tblProjekt[],2,FALSE)</f>
        <v>Infrastruktur cognovo</v>
      </c>
      <c r="F358" s="46"/>
      <c r="G358" s="46"/>
      <c r="H358" s="46"/>
      <c r="I358" s="46"/>
      <c r="J358" s="46"/>
      <c r="K358" s="46"/>
      <c r="L358" s="41" t="s">
        <v>414</v>
      </c>
    </row>
    <row r="359" spans="2:12" ht="24" x14ac:dyDescent="0.2">
      <c r="B359" s="43">
        <v>42033</v>
      </c>
      <c r="C359" s="44">
        <v>1</v>
      </c>
      <c r="D359" s="38" t="s">
        <v>29</v>
      </c>
      <c r="E359" s="45" t="str">
        <f>VLOOKUP(D359,tblProjekt[],2,FALSE)</f>
        <v>CM Calculator</v>
      </c>
      <c r="F359" s="46">
        <v>56</v>
      </c>
      <c r="G359" s="46"/>
      <c r="H359" s="46"/>
      <c r="I359" s="46"/>
      <c r="J359" s="46"/>
      <c r="K359" s="46"/>
      <c r="L359" s="41" t="s">
        <v>415</v>
      </c>
    </row>
    <row r="360" spans="2:12" ht="24" x14ac:dyDescent="0.2">
      <c r="B360" s="43">
        <v>42033</v>
      </c>
      <c r="C360" s="44">
        <v>1</v>
      </c>
      <c r="D360" s="38" t="s">
        <v>43</v>
      </c>
      <c r="E360" s="45" t="str">
        <f>VLOOKUP(D360,tblProjekt[],2,FALSE)</f>
        <v>DPMPSN Calculator</v>
      </c>
      <c r="F360" s="46">
        <v>56</v>
      </c>
      <c r="G360" s="46"/>
      <c r="H360" s="46"/>
      <c r="I360" s="46"/>
      <c r="J360" s="46"/>
      <c r="K360" s="46"/>
      <c r="L360" s="41" t="s">
        <v>415</v>
      </c>
    </row>
    <row r="361" spans="2:12" ht="24" x14ac:dyDescent="0.2">
      <c r="B361" s="43">
        <v>42033</v>
      </c>
      <c r="C361" s="44">
        <v>1</v>
      </c>
      <c r="D361" s="38" t="s">
        <v>66</v>
      </c>
      <c r="E361" s="45" t="str">
        <f>VLOOKUP(D361,tblProjekt[],2,FALSE)</f>
        <v>PHS Calculator</v>
      </c>
      <c r="F361" s="46">
        <v>56</v>
      </c>
      <c r="G361" s="46"/>
      <c r="H361" s="46"/>
      <c r="I361" s="46"/>
      <c r="J361" s="46"/>
      <c r="K361" s="46"/>
      <c r="L361" s="41" t="s">
        <v>415</v>
      </c>
    </row>
    <row r="362" spans="2:12" ht="24" x14ac:dyDescent="0.2">
      <c r="B362" s="43">
        <v>42033</v>
      </c>
      <c r="C362" s="44">
        <v>1</v>
      </c>
      <c r="D362" s="38" t="s">
        <v>35</v>
      </c>
      <c r="E362" s="45" t="str">
        <f>VLOOKUP(D362,tblProjekt[],2,FALSE)</f>
        <v>NPA Calculator</v>
      </c>
      <c r="F362" s="46">
        <v>56</v>
      </c>
      <c r="G362" s="46"/>
      <c r="H362" s="46"/>
      <c r="I362" s="46"/>
      <c r="J362" s="46"/>
      <c r="K362" s="46"/>
      <c r="L362" s="41" t="s">
        <v>415</v>
      </c>
    </row>
    <row r="363" spans="2:12" x14ac:dyDescent="0.2">
      <c r="B363" s="43">
        <v>42033</v>
      </c>
      <c r="C363" s="44">
        <v>0.5</v>
      </c>
      <c r="D363" s="38" t="s">
        <v>6</v>
      </c>
      <c r="E363" s="45" t="str">
        <f>VLOOKUP(D363,tblProjekt[],2,FALSE)</f>
        <v>Produktionsportal 2</v>
      </c>
      <c r="F363" s="46">
        <v>22</v>
      </c>
      <c r="G363" s="46"/>
      <c r="H363" s="46"/>
      <c r="I363" s="46"/>
      <c r="J363" s="46"/>
      <c r="K363" s="46"/>
      <c r="L363" s="41" t="s">
        <v>416</v>
      </c>
    </row>
    <row r="364" spans="2:12" x14ac:dyDescent="0.2">
      <c r="B364" s="43">
        <v>42033</v>
      </c>
      <c r="C364" s="44">
        <v>1.5</v>
      </c>
      <c r="D364" s="38" t="s">
        <v>6</v>
      </c>
      <c r="E364" s="45" t="str">
        <f>VLOOKUP(D364,tblProjekt[],2,FALSE)</f>
        <v>Produktionsportal 2</v>
      </c>
      <c r="F364" s="46"/>
      <c r="G364" s="46"/>
      <c r="H364" s="46"/>
      <c r="I364" s="46"/>
      <c r="J364" s="46"/>
      <c r="K364" s="46"/>
      <c r="L364" s="41" t="s">
        <v>417</v>
      </c>
    </row>
    <row r="365" spans="2:12" ht="24" x14ac:dyDescent="0.2">
      <c r="B365" s="43">
        <v>42033</v>
      </c>
      <c r="C365" s="44">
        <v>0.5</v>
      </c>
      <c r="D365" s="38" t="s">
        <v>6</v>
      </c>
      <c r="E365" s="45" t="str">
        <f>VLOOKUP(D365,tblProjekt[],2,FALSE)</f>
        <v>Produktionsportal 2</v>
      </c>
      <c r="F365" s="46">
        <v>25</v>
      </c>
      <c r="G365" s="46"/>
      <c r="H365" s="46"/>
      <c r="I365" s="46"/>
      <c r="J365" s="46"/>
      <c r="K365" s="46"/>
      <c r="L365" s="41" t="s">
        <v>418</v>
      </c>
    </row>
    <row r="366" spans="2:12" ht="24" x14ac:dyDescent="0.2">
      <c r="B366" s="43">
        <v>42033</v>
      </c>
      <c r="C366" s="44">
        <v>0.25</v>
      </c>
      <c r="D366" s="38" t="s">
        <v>6</v>
      </c>
      <c r="E366" s="45" t="str">
        <f>VLOOKUP(D366,tblProjekt[],2,FALSE)</f>
        <v>Produktionsportal 2</v>
      </c>
      <c r="F366" s="46">
        <v>26</v>
      </c>
      <c r="G366" s="46"/>
      <c r="H366" s="46"/>
      <c r="I366" s="46"/>
      <c r="J366" s="46"/>
      <c r="K366" s="46"/>
      <c r="L366" s="41" t="s">
        <v>419</v>
      </c>
    </row>
    <row r="367" spans="2:12" ht="24" x14ac:dyDescent="0.2">
      <c r="B367" s="43">
        <v>42033</v>
      </c>
      <c r="C367" s="44">
        <v>0.75</v>
      </c>
      <c r="D367" s="38" t="s">
        <v>66</v>
      </c>
      <c r="E367" s="45" t="str">
        <f>VLOOKUP(D367,tblProjekt[],2,FALSE)</f>
        <v>PHS Calculator</v>
      </c>
      <c r="F367" s="46">
        <v>54</v>
      </c>
      <c r="G367" s="46"/>
      <c r="H367" s="46"/>
      <c r="I367" s="46"/>
      <c r="J367" s="46"/>
      <c r="K367" s="46"/>
      <c r="L367" s="41" t="s">
        <v>420</v>
      </c>
    </row>
    <row r="368" spans="2:12" ht="36" x14ac:dyDescent="0.2">
      <c r="B368" s="43">
        <v>42034</v>
      </c>
      <c r="C368" s="44">
        <v>1</v>
      </c>
      <c r="D368" s="38" t="s">
        <v>43</v>
      </c>
      <c r="E368" s="45" t="str">
        <f>VLOOKUP(D368,tblProjekt[],2,FALSE)</f>
        <v>DPMPSN Calculator</v>
      </c>
      <c r="F368" s="46">
        <v>52</v>
      </c>
      <c r="G368" s="46"/>
      <c r="H368" s="46"/>
      <c r="I368" s="46"/>
      <c r="J368" s="46"/>
      <c r="K368" s="46"/>
      <c r="L368" s="41" t="s">
        <v>421</v>
      </c>
    </row>
    <row r="369" spans="2:12" x14ac:dyDescent="0.2">
      <c r="B369" s="43">
        <v>42034</v>
      </c>
      <c r="C369" s="44">
        <v>0.25</v>
      </c>
      <c r="D369" s="38" t="s">
        <v>43</v>
      </c>
      <c r="E369" s="45" t="str">
        <f>VLOOKUP(D369,tblProjekt[],2,FALSE)</f>
        <v>DPMPSN Calculator</v>
      </c>
      <c r="F369" s="46">
        <v>50</v>
      </c>
      <c r="G369" s="46"/>
      <c r="H369" s="46"/>
      <c r="I369" s="46"/>
      <c r="J369" s="46"/>
      <c r="K369" s="46"/>
      <c r="L369" s="41" t="s">
        <v>422</v>
      </c>
    </row>
    <row r="370" spans="2:12" ht="24" x14ac:dyDescent="0.2">
      <c r="B370" s="43">
        <v>42034</v>
      </c>
      <c r="C370" s="44">
        <v>2.75</v>
      </c>
      <c r="D370" s="38" t="s">
        <v>17</v>
      </c>
      <c r="E370" s="45" t="str">
        <f>VLOOKUP(D370,tblProjekt[],2,FALSE)</f>
        <v>Powerspreadsheet Win7</v>
      </c>
      <c r="F370" s="46">
        <v>23</v>
      </c>
      <c r="G370" s="46"/>
      <c r="H370" s="46"/>
      <c r="I370" s="46"/>
      <c r="J370" s="46"/>
      <c r="K370" s="46"/>
      <c r="L370" s="41" t="s">
        <v>423</v>
      </c>
    </row>
    <row r="371" spans="2:12" ht="36" x14ac:dyDescent="0.2">
      <c r="B371" s="43">
        <v>42034</v>
      </c>
      <c r="C371" s="44">
        <v>1</v>
      </c>
      <c r="D371" s="38" t="s">
        <v>43</v>
      </c>
      <c r="E371" s="45" t="str">
        <f>VLOOKUP(D371,tblProjekt[],2,FALSE)</f>
        <v>DPMPSN Calculator</v>
      </c>
      <c r="F371" s="46">
        <v>57</v>
      </c>
      <c r="G371" s="46"/>
      <c r="H371" s="46"/>
      <c r="I371" s="46"/>
      <c r="J371" s="46"/>
      <c r="K371" s="46"/>
      <c r="L371" s="41" t="s">
        <v>424</v>
      </c>
    </row>
    <row r="372" spans="2:12" x14ac:dyDescent="0.2">
      <c r="B372" s="43">
        <v>42034</v>
      </c>
      <c r="C372" s="44">
        <v>0.5</v>
      </c>
      <c r="D372" s="38" t="s">
        <v>84</v>
      </c>
      <c r="E372" s="45" t="str">
        <f>VLOOKUP(D372,tblProjekt[],2,FALSE)</f>
        <v>Infrastruktur cognovo</v>
      </c>
      <c r="F372" s="46"/>
      <c r="G372" s="46"/>
      <c r="H372" s="46"/>
      <c r="I372" s="46"/>
      <c r="J372" s="46"/>
      <c r="K372" s="46"/>
      <c r="L372" s="41" t="s">
        <v>223</v>
      </c>
    </row>
    <row r="373" spans="2:12" ht="24" x14ac:dyDescent="0.2">
      <c r="B373" s="43">
        <v>42035</v>
      </c>
      <c r="C373" s="44">
        <v>1.5</v>
      </c>
      <c r="D373" s="38" t="s">
        <v>17</v>
      </c>
      <c r="E373" s="45" t="str">
        <f>VLOOKUP(D373,tblProjekt[],2,FALSE)</f>
        <v>Powerspreadsheet Win7</v>
      </c>
      <c r="F373" s="46">
        <v>23</v>
      </c>
      <c r="G373" s="46"/>
      <c r="H373" s="46"/>
      <c r="I373" s="46"/>
      <c r="J373" s="46"/>
      <c r="K373" s="46"/>
      <c r="L373" s="41" t="s">
        <v>425</v>
      </c>
    </row>
    <row r="374" spans="2:12" x14ac:dyDescent="0.2">
      <c r="B374" s="43">
        <v>42039</v>
      </c>
      <c r="C374" s="44">
        <v>0.5</v>
      </c>
      <c r="D374" s="38" t="s">
        <v>84</v>
      </c>
      <c r="E374" s="45" t="str">
        <f>VLOOKUP(D374,tblProjekt[],2,FALSE)</f>
        <v>Infrastruktur cognovo</v>
      </c>
      <c r="F374" s="46"/>
      <c r="G374" s="46"/>
      <c r="H374" s="46"/>
      <c r="I374" s="46"/>
      <c r="J374" s="46"/>
      <c r="K374" s="46"/>
      <c r="L374" s="41" t="s">
        <v>435</v>
      </c>
    </row>
    <row r="375" spans="2:12" ht="24" x14ac:dyDescent="0.2">
      <c r="B375" s="43">
        <v>42039</v>
      </c>
      <c r="C375" s="44">
        <v>1</v>
      </c>
      <c r="D375" s="38" t="s">
        <v>17</v>
      </c>
      <c r="E375" s="45" t="str">
        <f>VLOOKUP(D375,tblProjekt[],2,FALSE)</f>
        <v>Powerspreadsheet Win7</v>
      </c>
      <c r="F375" s="46">
        <v>23</v>
      </c>
      <c r="G375" s="46"/>
      <c r="H375" s="46"/>
      <c r="I375" s="46"/>
      <c r="J375" s="46"/>
      <c r="K375" s="46"/>
      <c r="L375" s="41" t="s">
        <v>468</v>
      </c>
    </row>
    <row r="376" spans="2:12" ht="24" x14ac:dyDescent="0.2">
      <c r="B376" s="43">
        <v>42039</v>
      </c>
      <c r="C376" s="44">
        <v>0.5</v>
      </c>
      <c r="D376" s="38" t="s">
        <v>427</v>
      </c>
      <c r="E376" s="45" t="str">
        <f>VLOOKUP(D376,tblProjekt[],2,FALSE)</f>
        <v>Calculator übergreifend</v>
      </c>
      <c r="F376" s="46">
        <v>58</v>
      </c>
      <c r="G376" s="46"/>
      <c r="H376" s="46"/>
      <c r="I376" s="46"/>
      <c r="J376" s="46"/>
      <c r="K376" s="46"/>
      <c r="L376" s="41" t="s">
        <v>436</v>
      </c>
    </row>
    <row r="377" spans="2:12" ht="24" x14ac:dyDescent="0.2">
      <c r="B377" s="43">
        <v>42039</v>
      </c>
      <c r="C377" s="44">
        <v>0.5</v>
      </c>
      <c r="D377" s="38" t="s">
        <v>17</v>
      </c>
      <c r="E377" s="45" t="str">
        <f>VLOOKUP(D377,tblProjekt[],2,FALSE)</f>
        <v>Powerspreadsheet Win7</v>
      </c>
      <c r="F377" s="46">
        <v>23</v>
      </c>
      <c r="G377" s="46"/>
      <c r="H377" s="46"/>
      <c r="I377" s="46"/>
      <c r="J377" s="46"/>
      <c r="K377" s="46"/>
      <c r="L377" s="41" t="s">
        <v>437</v>
      </c>
    </row>
    <row r="378" spans="2:12" ht="24" x14ac:dyDescent="0.2">
      <c r="B378" s="43">
        <v>42039</v>
      </c>
      <c r="C378" s="44">
        <v>1.5</v>
      </c>
      <c r="D378" s="38" t="s">
        <v>427</v>
      </c>
      <c r="E378" s="45" t="str">
        <f>VLOOKUP(D378,tblProjekt[],2,FALSE)</f>
        <v>Calculator übergreifend</v>
      </c>
      <c r="F378" s="46">
        <v>58</v>
      </c>
      <c r="G378" s="46"/>
      <c r="H378" s="46"/>
      <c r="I378" s="46"/>
      <c r="J378" s="46"/>
      <c r="K378" s="46"/>
      <c r="L378" s="41" t="s">
        <v>438</v>
      </c>
    </row>
    <row r="379" spans="2:12" x14ac:dyDescent="0.2">
      <c r="B379" s="43">
        <v>42039</v>
      </c>
      <c r="C379" s="44">
        <v>0.25</v>
      </c>
      <c r="D379" s="38" t="s">
        <v>6</v>
      </c>
      <c r="E379" s="45" t="str">
        <f>VLOOKUP(D379,tblProjekt[],2,FALSE)</f>
        <v>Produktionsportal 2</v>
      </c>
      <c r="F379" s="46">
        <v>22</v>
      </c>
      <c r="G379" s="46"/>
      <c r="H379" s="46"/>
      <c r="I379" s="46"/>
      <c r="J379" s="46"/>
      <c r="K379" s="46"/>
      <c r="L379" s="41" t="s">
        <v>439</v>
      </c>
    </row>
    <row r="380" spans="2:12" x14ac:dyDescent="0.2">
      <c r="B380" s="43">
        <v>42039</v>
      </c>
      <c r="C380" s="44">
        <v>0.25</v>
      </c>
      <c r="D380" s="38" t="s">
        <v>59</v>
      </c>
      <c r="E380" s="45" t="str">
        <f>VLOOKUP(D380,tblProjekt[],2,FALSE)</f>
        <v>Stada reports</v>
      </c>
      <c r="F380" s="46"/>
      <c r="G380" s="46"/>
      <c r="H380" s="46"/>
      <c r="I380" s="46"/>
      <c r="J380" s="46"/>
      <c r="K380" s="46"/>
      <c r="L380" s="41" t="s">
        <v>440</v>
      </c>
    </row>
    <row r="381" spans="2:12" ht="24" x14ac:dyDescent="0.2">
      <c r="B381" s="43">
        <v>42039</v>
      </c>
      <c r="C381" s="44">
        <v>1</v>
      </c>
      <c r="D381" s="38" t="s">
        <v>17</v>
      </c>
      <c r="E381" s="45" t="str">
        <f>VLOOKUP(D381,tblProjekt[],2,FALSE)</f>
        <v>Powerspreadsheet Win7</v>
      </c>
      <c r="F381" s="46">
        <v>23</v>
      </c>
      <c r="G381" s="46"/>
      <c r="H381" s="46"/>
      <c r="I381" s="46"/>
      <c r="J381" s="46"/>
      <c r="K381" s="46"/>
      <c r="L381" s="41" t="s">
        <v>441</v>
      </c>
    </row>
    <row r="382" spans="2:12" ht="24" x14ac:dyDescent="0.2">
      <c r="B382" s="43">
        <v>42039</v>
      </c>
      <c r="C382" s="44">
        <v>0.5</v>
      </c>
      <c r="D382" s="38" t="s">
        <v>339</v>
      </c>
      <c r="E382" s="45" t="str">
        <f>VLOOKUP(D382,tblProjekt[],2,FALSE)</f>
        <v>Klosterfrau Regio</v>
      </c>
      <c r="F382" s="46"/>
      <c r="G382" s="46"/>
      <c r="H382" s="46"/>
      <c r="I382" s="46"/>
      <c r="J382" s="46"/>
      <c r="K382" s="46"/>
      <c r="L382" s="41" t="s">
        <v>442</v>
      </c>
    </row>
    <row r="383" spans="2:12" x14ac:dyDescent="0.2">
      <c r="B383" s="43">
        <v>42039</v>
      </c>
      <c r="C383" s="44">
        <v>0.25</v>
      </c>
      <c r="D383" s="38" t="s">
        <v>66</v>
      </c>
      <c r="E383" s="45" t="str">
        <f>VLOOKUP(D383,tblProjekt[],2,FALSE)</f>
        <v>PHS Calculator</v>
      </c>
      <c r="F383" s="46"/>
      <c r="G383" s="46"/>
      <c r="H383" s="46"/>
      <c r="I383" s="46"/>
      <c r="J383" s="46"/>
      <c r="K383" s="46"/>
      <c r="L383" s="41" t="s">
        <v>443</v>
      </c>
    </row>
    <row r="384" spans="2:12" x14ac:dyDescent="0.2">
      <c r="B384" s="43">
        <v>42039</v>
      </c>
      <c r="C384" s="44">
        <v>0.25</v>
      </c>
      <c r="D384" s="38" t="s">
        <v>43</v>
      </c>
      <c r="E384" s="45" t="str">
        <f>VLOOKUP(D384,tblProjekt[],2,FALSE)</f>
        <v>DPMPSN Calculator</v>
      </c>
      <c r="F384" s="46"/>
      <c r="G384" s="46"/>
      <c r="H384" s="46"/>
      <c r="I384" s="46"/>
      <c r="J384" s="46"/>
      <c r="K384" s="46"/>
      <c r="L384" s="41" t="s">
        <v>444</v>
      </c>
    </row>
    <row r="385" spans="2:12" ht="24" x14ac:dyDescent="0.2">
      <c r="B385" s="43">
        <v>42039</v>
      </c>
      <c r="C385" s="44">
        <v>1</v>
      </c>
      <c r="D385" s="38" t="s">
        <v>6</v>
      </c>
      <c r="E385" s="45" t="str">
        <f>VLOOKUP(D385,tblProjekt[],2,FALSE)</f>
        <v>Produktionsportal 2</v>
      </c>
      <c r="F385" s="46">
        <v>25</v>
      </c>
      <c r="G385" s="46"/>
      <c r="H385" s="46"/>
      <c r="I385" s="46"/>
      <c r="J385" s="46"/>
      <c r="K385" s="46"/>
      <c r="L385" s="41" t="s">
        <v>445</v>
      </c>
    </row>
    <row r="386" spans="2:12" ht="24" x14ac:dyDescent="0.2">
      <c r="B386" s="43">
        <v>42040</v>
      </c>
      <c r="C386" s="44">
        <v>2.5</v>
      </c>
      <c r="D386" s="38" t="s">
        <v>427</v>
      </c>
      <c r="E386" s="45" t="str">
        <f>VLOOKUP(D386,tblProjekt[],2,FALSE)</f>
        <v>Calculator übergreifend</v>
      </c>
      <c r="F386" s="46"/>
      <c r="G386" s="46"/>
      <c r="H386" s="46"/>
      <c r="I386" s="46"/>
      <c r="J386" s="46"/>
      <c r="K386" s="46"/>
      <c r="L386" s="41" t="s">
        <v>446</v>
      </c>
    </row>
    <row r="387" spans="2:12" x14ac:dyDescent="0.2">
      <c r="B387" s="43">
        <v>42040</v>
      </c>
      <c r="C387" s="44">
        <v>0.75</v>
      </c>
      <c r="D387" s="38" t="s">
        <v>6</v>
      </c>
      <c r="E387" s="45" t="str">
        <f>VLOOKUP(D387,tblProjekt[],2,FALSE)</f>
        <v>Produktionsportal 2</v>
      </c>
      <c r="F387" s="46"/>
      <c r="G387" s="46"/>
      <c r="H387" s="46"/>
      <c r="I387" s="46"/>
      <c r="J387" s="46"/>
      <c r="K387" s="46"/>
      <c r="L387" s="41" t="s">
        <v>447</v>
      </c>
    </row>
    <row r="388" spans="2:12" x14ac:dyDescent="0.2">
      <c r="B388" s="43">
        <v>42040</v>
      </c>
      <c r="C388" s="44">
        <v>1</v>
      </c>
      <c r="D388" s="38" t="s">
        <v>17</v>
      </c>
      <c r="E388" s="45" t="str">
        <f>VLOOKUP(D388,tblProjekt[],2,FALSE)</f>
        <v>Powerspreadsheet Win7</v>
      </c>
      <c r="F388" s="46"/>
      <c r="G388" s="46"/>
      <c r="H388" s="46"/>
      <c r="I388" s="46"/>
      <c r="J388" s="46"/>
      <c r="K388" s="46"/>
      <c r="L388" s="41" t="s">
        <v>447</v>
      </c>
    </row>
    <row r="389" spans="2:12" x14ac:dyDescent="0.2">
      <c r="B389" s="43">
        <v>42040</v>
      </c>
      <c r="C389" s="44">
        <v>0.25</v>
      </c>
      <c r="D389" s="38" t="s">
        <v>84</v>
      </c>
      <c r="E389" s="45" t="str">
        <f>VLOOKUP(D389,tblProjekt[],2,FALSE)</f>
        <v>Infrastruktur cognovo</v>
      </c>
      <c r="F389" s="46"/>
      <c r="G389" s="46"/>
      <c r="H389" s="46"/>
      <c r="I389" s="46"/>
      <c r="J389" s="46"/>
      <c r="K389" s="46"/>
      <c r="L389" s="41" t="s">
        <v>448</v>
      </c>
    </row>
    <row r="390" spans="2:12" x14ac:dyDescent="0.2">
      <c r="B390" s="43">
        <v>42040</v>
      </c>
      <c r="C390" s="44">
        <v>0.25</v>
      </c>
      <c r="D390" s="38" t="s">
        <v>84</v>
      </c>
      <c r="E390" s="45" t="str">
        <f>VLOOKUP(D390,tblProjekt[],2,FALSE)</f>
        <v>Infrastruktur cognovo</v>
      </c>
      <c r="F390" s="46"/>
      <c r="G390" s="46"/>
      <c r="H390" s="46"/>
      <c r="I390" s="46"/>
      <c r="J390" s="46"/>
      <c r="K390" s="46"/>
      <c r="L390" s="41" t="s">
        <v>223</v>
      </c>
    </row>
    <row r="391" spans="2:12" ht="24" x14ac:dyDescent="0.2">
      <c r="B391" s="43">
        <v>42040</v>
      </c>
      <c r="C391" s="44">
        <v>0.75</v>
      </c>
      <c r="D391" s="38" t="s">
        <v>6</v>
      </c>
      <c r="E391" s="45" t="str">
        <f>VLOOKUP(D391,tblProjekt[],2,FALSE)</f>
        <v>Produktionsportal 2</v>
      </c>
      <c r="F391" s="46">
        <v>25</v>
      </c>
      <c r="G391" s="46"/>
      <c r="H391" s="46"/>
      <c r="I391" s="46"/>
      <c r="J391" s="46"/>
      <c r="K391" s="46"/>
      <c r="L391" s="41" t="s">
        <v>445</v>
      </c>
    </row>
    <row r="392" spans="2:12" ht="24" x14ac:dyDescent="0.2">
      <c r="B392" s="43">
        <v>42040</v>
      </c>
      <c r="C392" s="44">
        <v>2.5</v>
      </c>
      <c r="D392" s="38" t="s">
        <v>339</v>
      </c>
      <c r="E392" s="45" t="str">
        <f>VLOOKUP(D392,tblProjekt[],2,FALSE)</f>
        <v>Klosterfrau Regio</v>
      </c>
      <c r="F392" s="46">
        <v>26</v>
      </c>
      <c r="G392" s="46"/>
      <c r="H392" s="46"/>
      <c r="I392" s="46"/>
      <c r="J392" s="46"/>
      <c r="K392" s="46"/>
      <c r="L392" s="41" t="s">
        <v>452</v>
      </c>
    </row>
    <row r="393" spans="2:12" x14ac:dyDescent="0.2">
      <c r="B393" s="43">
        <v>42040</v>
      </c>
      <c r="C393" s="44">
        <v>0.25</v>
      </c>
      <c r="D393" s="38" t="s">
        <v>59</v>
      </c>
      <c r="E393" s="45" t="str">
        <f>VLOOKUP(D393,tblProjekt[],2,FALSE)</f>
        <v>Stada reports</v>
      </c>
      <c r="F393" s="46">
        <v>27</v>
      </c>
      <c r="G393" s="46"/>
      <c r="H393" s="46"/>
      <c r="I393" s="46"/>
      <c r="J393" s="46"/>
      <c r="K393" s="46"/>
      <c r="L393" s="41" t="s">
        <v>232</v>
      </c>
    </row>
    <row r="394" spans="2:12" ht="24" x14ac:dyDescent="0.2">
      <c r="B394" s="43">
        <v>42040</v>
      </c>
      <c r="C394" s="44">
        <v>1</v>
      </c>
      <c r="D394" s="38" t="s">
        <v>17</v>
      </c>
      <c r="E394" s="45" t="str">
        <f>VLOOKUP(D394,tblProjekt[],2,FALSE)</f>
        <v>Powerspreadsheet Win7</v>
      </c>
      <c r="F394" s="46">
        <v>23</v>
      </c>
      <c r="G394" s="46"/>
      <c r="H394" s="46"/>
      <c r="I394" s="46"/>
      <c r="J394" s="46"/>
      <c r="K394" s="46"/>
      <c r="L394" s="41" t="s">
        <v>449</v>
      </c>
    </row>
    <row r="395" spans="2:12" ht="24" x14ac:dyDescent="0.2">
      <c r="B395" s="43">
        <v>42041</v>
      </c>
      <c r="C395" s="44">
        <v>0.25</v>
      </c>
      <c r="D395" s="38" t="s">
        <v>84</v>
      </c>
      <c r="E395" s="45" t="str">
        <f>VLOOKUP(D395,tblProjekt[],2,FALSE)</f>
        <v>Infrastruktur cognovo</v>
      </c>
      <c r="F395" s="46"/>
      <c r="G395" s="46"/>
      <c r="H395" s="46"/>
      <c r="I395" s="46"/>
      <c r="J395" s="46"/>
      <c r="K395" s="46"/>
      <c r="L395" s="41" t="s">
        <v>450</v>
      </c>
    </row>
    <row r="396" spans="2:12" ht="24" x14ac:dyDescent="0.2">
      <c r="B396" s="43">
        <v>42041</v>
      </c>
      <c r="C396" s="44">
        <v>0.25</v>
      </c>
      <c r="D396" s="38" t="s">
        <v>427</v>
      </c>
      <c r="E396" s="45" t="str">
        <f>VLOOKUP(D396,tblProjekt[],2,FALSE)</f>
        <v>Calculator übergreifend</v>
      </c>
      <c r="F396" s="46"/>
      <c r="G396" s="46"/>
      <c r="H396" s="46"/>
      <c r="I396" s="46"/>
      <c r="J396" s="46"/>
      <c r="K396" s="46"/>
      <c r="L396" s="41" t="s">
        <v>451</v>
      </c>
    </row>
    <row r="397" spans="2:12" ht="24" x14ac:dyDescent="0.2">
      <c r="B397" s="43">
        <v>42041</v>
      </c>
      <c r="C397" s="44">
        <v>2.25</v>
      </c>
      <c r="D397" s="38" t="s">
        <v>339</v>
      </c>
      <c r="E397" s="45" t="str">
        <f>VLOOKUP(D397,tblProjekt[],2,FALSE)</f>
        <v>Klosterfrau Regio</v>
      </c>
      <c r="F397" s="46">
        <v>26</v>
      </c>
      <c r="G397" s="46"/>
      <c r="H397" s="46"/>
      <c r="I397" s="46"/>
      <c r="J397" s="46"/>
      <c r="K397" s="46"/>
      <c r="L397" s="41" t="s">
        <v>453</v>
      </c>
    </row>
    <row r="398" spans="2:12" ht="36" x14ac:dyDescent="0.2">
      <c r="B398" s="43">
        <v>42041</v>
      </c>
      <c r="C398" s="44">
        <v>2.75</v>
      </c>
      <c r="D398" s="38" t="s">
        <v>6</v>
      </c>
      <c r="E398" s="45" t="str">
        <f>VLOOKUP(D398,tblProjekt[],2,FALSE)</f>
        <v>Produktionsportal 2</v>
      </c>
      <c r="F398" s="46">
        <v>25</v>
      </c>
      <c r="G398" s="46"/>
      <c r="H398" s="46"/>
      <c r="I398" s="46"/>
      <c r="J398" s="46"/>
      <c r="K398" s="46"/>
      <c r="L398" s="41" t="s">
        <v>454</v>
      </c>
    </row>
    <row r="399" spans="2:12" ht="24" x14ac:dyDescent="0.2">
      <c r="B399" s="55">
        <v>42041</v>
      </c>
      <c r="C399" s="56">
        <v>0.75</v>
      </c>
      <c r="D399" s="57" t="s">
        <v>84</v>
      </c>
      <c r="E399" s="57" t="str">
        <f>VLOOKUP(D399,tblProjekt[],2,FALSE)</f>
        <v>Infrastruktur cognovo</v>
      </c>
      <c r="F399" s="58"/>
      <c r="G399" s="58"/>
      <c r="H399" s="58"/>
      <c r="I399" s="58"/>
      <c r="J399" s="58"/>
      <c r="K399" s="58"/>
      <c r="L399" s="59" t="s">
        <v>455</v>
      </c>
    </row>
    <row r="400" spans="2:12" x14ac:dyDescent="0.2">
      <c r="B400" s="55">
        <v>42041</v>
      </c>
      <c r="C400" s="56">
        <v>0.75</v>
      </c>
      <c r="D400" s="57" t="s">
        <v>427</v>
      </c>
      <c r="E400" s="57" t="str">
        <f>VLOOKUP(D400,tblProjekt[],2,FALSE)</f>
        <v>Calculator übergreifend</v>
      </c>
      <c r="F400" s="58">
        <v>62</v>
      </c>
      <c r="G400" s="58"/>
      <c r="H400" s="58"/>
      <c r="I400" s="58"/>
      <c r="J400" s="58"/>
      <c r="K400" s="58"/>
      <c r="L400" s="59" t="s">
        <v>456</v>
      </c>
    </row>
    <row r="401" spans="2:12" x14ac:dyDescent="0.2">
      <c r="B401" s="55">
        <v>42041</v>
      </c>
      <c r="C401" s="56">
        <v>0.75</v>
      </c>
      <c r="D401" s="57" t="s">
        <v>66</v>
      </c>
      <c r="E401" s="57" t="str">
        <f>VLOOKUP(D401,tblProjekt[],2,FALSE)</f>
        <v>PHS Calculator</v>
      </c>
      <c r="F401" s="58">
        <v>61</v>
      </c>
      <c r="G401" s="58"/>
      <c r="H401" s="58"/>
      <c r="I401" s="58"/>
      <c r="J401" s="58"/>
      <c r="K401" s="58"/>
      <c r="L401" s="59" t="s">
        <v>459</v>
      </c>
    </row>
    <row r="402" spans="2:12" ht="24" x14ac:dyDescent="0.2">
      <c r="B402" s="55">
        <v>42041</v>
      </c>
      <c r="C402" s="56">
        <v>0.25</v>
      </c>
      <c r="D402" s="57" t="s">
        <v>66</v>
      </c>
      <c r="E402" s="57" t="str">
        <f>VLOOKUP(D402,tblProjekt[],2,FALSE)</f>
        <v>PHS Calculator</v>
      </c>
      <c r="F402" s="58">
        <v>55</v>
      </c>
      <c r="G402" s="58"/>
      <c r="H402" s="58"/>
      <c r="I402" s="58"/>
      <c r="J402" s="58"/>
      <c r="K402" s="58"/>
      <c r="L402" s="59" t="s">
        <v>457</v>
      </c>
    </row>
    <row r="403" spans="2:12" ht="24" x14ac:dyDescent="0.2">
      <c r="B403" s="55">
        <v>42041</v>
      </c>
      <c r="C403" s="56">
        <v>0.5</v>
      </c>
      <c r="D403" s="57" t="s">
        <v>6</v>
      </c>
      <c r="E403" s="57" t="str">
        <f>VLOOKUP(D403,tblProjekt[],2,FALSE)</f>
        <v>Produktionsportal 2</v>
      </c>
      <c r="F403" s="58">
        <v>21</v>
      </c>
      <c r="G403" s="58"/>
      <c r="H403" s="58"/>
      <c r="I403" s="58"/>
      <c r="J403" s="58"/>
      <c r="K403" s="58"/>
      <c r="L403" s="59" t="s">
        <v>458</v>
      </c>
    </row>
    <row r="404" spans="2:12" x14ac:dyDescent="0.2">
      <c r="B404" s="55">
        <v>42043</v>
      </c>
      <c r="C404" s="56">
        <v>1</v>
      </c>
      <c r="D404" s="57" t="s">
        <v>66</v>
      </c>
      <c r="E404" s="57" t="str">
        <f>VLOOKUP(D404,tblProjekt[],2,FALSE)</f>
        <v>PHS Calculator</v>
      </c>
      <c r="F404" s="58">
        <v>61</v>
      </c>
      <c r="G404" s="58"/>
      <c r="H404" s="58"/>
      <c r="I404" s="58"/>
      <c r="J404" s="58"/>
      <c r="K404" s="58"/>
      <c r="L404" s="59" t="s">
        <v>460</v>
      </c>
    </row>
    <row r="405" spans="2:12" x14ac:dyDescent="0.2">
      <c r="B405" s="55">
        <v>42043</v>
      </c>
      <c r="C405" s="56">
        <v>0.25</v>
      </c>
      <c r="D405" s="57" t="s">
        <v>66</v>
      </c>
      <c r="E405" s="57" t="str">
        <f>VLOOKUP(D405,tblProjekt[],2,FALSE)</f>
        <v>PHS Calculator</v>
      </c>
      <c r="F405" s="58">
        <v>55</v>
      </c>
      <c r="G405" s="58"/>
      <c r="H405" s="58"/>
      <c r="I405" s="58"/>
      <c r="J405" s="58"/>
      <c r="K405" s="58"/>
      <c r="L405" s="59" t="s">
        <v>461</v>
      </c>
    </row>
    <row r="406" spans="2:12" x14ac:dyDescent="0.2">
      <c r="B406" s="55">
        <v>42043</v>
      </c>
      <c r="C406" s="56">
        <v>0.25</v>
      </c>
      <c r="D406" s="57" t="s">
        <v>43</v>
      </c>
      <c r="E406" s="57" t="str">
        <f>VLOOKUP(D406,tblProjekt[],2,FALSE)</f>
        <v>DPMPSN Calculator</v>
      </c>
      <c r="F406" s="58">
        <v>57</v>
      </c>
      <c r="G406" s="58"/>
      <c r="H406" s="58"/>
      <c r="I406" s="58"/>
      <c r="J406" s="58"/>
      <c r="K406" s="58"/>
      <c r="L406" s="59" t="s">
        <v>462</v>
      </c>
    </row>
    <row r="407" spans="2:12" x14ac:dyDescent="0.2">
      <c r="B407" s="55">
        <v>42046</v>
      </c>
      <c r="C407" s="56">
        <v>0.25</v>
      </c>
      <c r="D407" s="57" t="s">
        <v>84</v>
      </c>
      <c r="E407" s="57" t="str">
        <f>VLOOKUP(D407,tblProjekt[],2,FALSE)</f>
        <v>Infrastruktur cognovo</v>
      </c>
      <c r="F407" s="58"/>
      <c r="G407" s="58"/>
      <c r="H407" s="58"/>
      <c r="I407" s="58"/>
      <c r="J407" s="58"/>
      <c r="K407" s="58"/>
      <c r="L407" s="59" t="s">
        <v>463</v>
      </c>
    </row>
    <row r="408" spans="2:12" x14ac:dyDescent="0.2">
      <c r="B408" s="55">
        <v>42046</v>
      </c>
      <c r="C408" s="56">
        <v>0.5</v>
      </c>
      <c r="D408" s="57" t="s">
        <v>84</v>
      </c>
      <c r="E408" s="57" t="str">
        <f>VLOOKUP(D408,tblProjekt[],2,FALSE)</f>
        <v>Infrastruktur cognovo</v>
      </c>
      <c r="F408" s="58"/>
      <c r="G408" s="58"/>
      <c r="H408" s="58"/>
      <c r="I408" s="58"/>
      <c r="J408" s="58"/>
      <c r="K408" s="58"/>
      <c r="L408" s="59" t="s">
        <v>464</v>
      </c>
    </row>
    <row r="409" spans="2:12" x14ac:dyDescent="0.2">
      <c r="B409" s="55">
        <v>42047</v>
      </c>
      <c r="C409" s="56">
        <v>0.5</v>
      </c>
      <c r="D409" s="57" t="s">
        <v>427</v>
      </c>
      <c r="E409" s="57" t="str">
        <f>VLOOKUP(D409,tblProjekt[],2,FALSE)</f>
        <v>Calculator übergreifend</v>
      </c>
      <c r="F409" s="58">
        <v>63</v>
      </c>
      <c r="G409" s="58"/>
      <c r="H409" s="58"/>
      <c r="I409" s="58"/>
      <c r="J409" s="58"/>
      <c r="K409" s="58"/>
      <c r="L409" s="59" t="s">
        <v>465</v>
      </c>
    </row>
    <row r="410" spans="2:12" ht="24" x14ac:dyDescent="0.2">
      <c r="B410" s="55">
        <v>42047</v>
      </c>
      <c r="C410" s="56">
        <v>3</v>
      </c>
      <c r="D410" s="57" t="s">
        <v>6</v>
      </c>
      <c r="E410" s="57" t="str">
        <f>VLOOKUP(D410,tblProjekt[],2,FALSE)</f>
        <v>Produktionsportal 2</v>
      </c>
      <c r="F410" s="58">
        <v>21</v>
      </c>
      <c r="G410" s="58"/>
      <c r="H410" s="58"/>
      <c r="I410" s="58"/>
      <c r="J410" s="58"/>
      <c r="K410" s="58"/>
      <c r="L410" s="59" t="s">
        <v>466</v>
      </c>
    </row>
    <row r="411" spans="2:12" x14ac:dyDescent="0.2">
      <c r="B411" s="55">
        <v>42047</v>
      </c>
      <c r="C411" s="56">
        <v>1</v>
      </c>
      <c r="D411" s="57" t="s">
        <v>6</v>
      </c>
      <c r="E411" s="57" t="str">
        <f>VLOOKUP(D411,tblProjekt[],2,FALSE)</f>
        <v>Produktionsportal 2</v>
      </c>
      <c r="F411" s="58">
        <v>25</v>
      </c>
      <c r="G411" s="58"/>
      <c r="H411" s="58"/>
      <c r="I411" s="58"/>
      <c r="J411" s="58"/>
      <c r="K411" s="58"/>
      <c r="L411" s="59" t="s">
        <v>467</v>
      </c>
    </row>
    <row r="412" spans="2:12" ht="36" x14ac:dyDescent="0.2">
      <c r="B412" s="55">
        <v>42047</v>
      </c>
      <c r="C412" s="56">
        <v>1</v>
      </c>
      <c r="D412" s="57" t="s">
        <v>17</v>
      </c>
      <c r="E412" s="57" t="str">
        <f>VLOOKUP(D412,tblProjekt[],2,FALSE)</f>
        <v>Powerspreadsheet Win7</v>
      </c>
      <c r="F412" s="58">
        <v>23</v>
      </c>
      <c r="G412" s="58"/>
      <c r="H412" s="58"/>
      <c r="I412" s="58"/>
      <c r="J412" s="58"/>
      <c r="K412" s="58"/>
      <c r="L412" s="59" t="s">
        <v>469</v>
      </c>
    </row>
    <row r="413" spans="2:12" ht="36" x14ac:dyDescent="0.2">
      <c r="B413" s="55">
        <v>42047</v>
      </c>
      <c r="C413" s="56">
        <v>1</v>
      </c>
      <c r="D413" s="57" t="s">
        <v>6</v>
      </c>
      <c r="E413" s="57" t="str">
        <f>VLOOKUP(D413,tblProjekt[],2,FALSE)</f>
        <v>Produktionsportal 2</v>
      </c>
      <c r="F413" s="58">
        <v>21</v>
      </c>
      <c r="G413" s="58"/>
      <c r="H413" s="58"/>
      <c r="I413" s="58"/>
      <c r="J413" s="58"/>
      <c r="K413" s="58"/>
      <c r="L413" s="59" t="s">
        <v>470</v>
      </c>
    </row>
    <row r="414" spans="2:12" ht="24" x14ac:dyDescent="0.2">
      <c r="B414" s="55">
        <v>42048</v>
      </c>
      <c r="C414" s="56">
        <v>1</v>
      </c>
      <c r="D414" s="57" t="s">
        <v>6</v>
      </c>
      <c r="E414" s="57" t="str">
        <f>VLOOKUP(D414,tblProjekt[],2,FALSE)</f>
        <v>Produktionsportal 2</v>
      </c>
      <c r="F414" s="58">
        <v>23</v>
      </c>
      <c r="G414" s="58"/>
      <c r="H414" s="58"/>
      <c r="I414" s="58"/>
      <c r="J414" s="58"/>
      <c r="K414" s="58"/>
      <c r="L414" s="59" t="s">
        <v>471</v>
      </c>
    </row>
    <row r="415" spans="2:12" ht="36" x14ac:dyDescent="0.2">
      <c r="B415" s="55">
        <v>42048</v>
      </c>
      <c r="C415" s="56">
        <v>1</v>
      </c>
      <c r="D415" s="57" t="s">
        <v>17</v>
      </c>
      <c r="E415" s="57" t="str">
        <f>VLOOKUP(D415,tblProjekt[],2,FALSE)</f>
        <v>Powerspreadsheet Win7</v>
      </c>
      <c r="F415" s="58">
        <v>28</v>
      </c>
      <c r="G415" s="58"/>
      <c r="H415" s="58"/>
      <c r="I415" s="58"/>
      <c r="J415" s="58"/>
      <c r="K415" s="58"/>
      <c r="L415" s="59" t="s">
        <v>472</v>
      </c>
    </row>
    <row r="416" spans="2:12" ht="24" x14ac:dyDescent="0.2">
      <c r="B416" s="55">
        <v>42050</v>
      </c>
      <c r="C416" s="56">
        <v>2</v>
      </c>
      <c r="D416" s="57" t="s">
        <v>17</v>
      </c>
      <c r="E416" s="57" t="str">
        <f>VLOOKUP(D416,tblProjekt[],2,FALSE)</f>
        <v>Powerspreadsheet Win7</v>
      </c>
      <c r="F416" s="58">
        <v>28</v>
      </c>
      <c r="G416" s="58"/>
      <c r="H416" s="58"/>
      <c r="I416" s="58"/>
      <c r="J416" s="58"/>
      <c r="K416" s="58"/>
      <c r="L416" s="59" t="s">
        <v>473</v>
      </c>
    </row>
    <row r="417" spans="2:12" ht="24" x14ac:dyDescent="0.2">
      <c r="B417" s="55">
        <v>42050</v>
      </c>
      <c r="C417" s="56">
        <v>0.5</v>
      </c>
      <c r="D417" s="57" t="s">
        <v>17</v>
      </c>
      <c r="E417" s="57" t="str">
        <f>VLOOKUP(D417,tblProjekt[],2,FALSE)</f>
        <v>Powerspreadsheet Win7</v>
      </c>
      <c r="F417" s="58">
        <v>23</v>
      </c>
      <c r="G417" s="58"/>
      <c r="H417" s="58"/>
      <c r="I417" s="58"/>
      <c r="J417" s="58"/>
      <c r="K417" s="58"/>
      <c r="L417" s="59" t="s">
        <v>474</v>
      </c>
    </row>
    <row r="418" spans="2:12" x14ac:dyDescent="0.2">
      <c r="B418" s="55">
        <v>42050</v>
      </c>
      <c r="C418" s="56">
        <v>2</v>
      </c>
      <c r="D418" s="57" t="s">
        <v>17</v>
      </c>
      <c r="E418" s="57" t="str">
        <f>VLOOKUP(D418,tblProjekt[],2,FALSE)</f>
        <v>Powerspreadsheet Win7</v>
      </c>
      <c r="F418" s="58">
        <v>24</v>
      </c>
      <c r="G418" s="58"/>
      <c r="H418" s="58"/>
      <c r="I418" s="58"/>
      <c r="J418" s="58"/>
      <c r="K418" s="58"/>
      <c r="L418" s="59" t="s">
        <v>475</v>
      </c>
    </row>
    <row r="419" spans="2:12" ht="24" x14ac:dyDescent="0.2">
      <c r="B419" s="55">
        <v>42051</v>
      </c>
      <c r="C419" s="56">
        <v>0.5</v>
      </c>
      <c r="D419" s="57" t="s">
        <v>84</v>
      </c>
      <c r="E419" s="57" t="str">
        <f>VLOOKUP(D419,tblProjekt[],2,FALSE)</f>
        <v>Infrastruktur cognovo</v>
      </c>
      <c r="F419" s="58"/>
      <c r="G419" s="58"/>
      <c r="H419" s="58"/>
      <c r="I419" s="58"/>
      <c r="J419" s="58"/>
      <c r="K419" s="58"/>
      <c r="L419" s="59" t="s">
        <v>476</v>
      </c>
    </row>
    <row r="420" spans="2:12" x14ac:dyDescent="0.2">
      <c r="B420" s="55">
        <v>42051</v>
      </c>
      <c r="C420" s="56">
        <v>0.25</v>
      </c>
      <c r="D420" s="57" t="s">
        <v>84</v>
      </c>
      <c r="E420" s="57" t="str">
        <f>VLOOKUP(D420,tblProjekt[],2,FALSE)</f>
        <v>Infrastruktur cognovo</v>
      </c>
      <c r="F420" s="58"/>
      <c r="G420" s="58"/>
      <c r="H420" s="58"/>
      <c r="I420" s="58"/>
      <c r="J420" s="58"/>
      <c r="K420" s="58"/>
      <c r="L420" s="59" t="s">
        <v>223</v>
      </c>
    </row>
    <row r="421" spans="2:12" ht="24" x14ac:dyDescent="0.2">
      <c r="B421" s="55">
        <v>42051</v>
      </c>
      <c r="C421" s="56">
        <v>2</v>
      </c>
      <c r="D421" s="57" t="s">
        <v>17</v>
      </c>
      <c r="E421" s="57" t="str">
        <f>VLOOKUP(D421,tblProjekt[],2,FALSE)</f>
        <v>Powerspreadsheet Win7</v>
      </c>
      <c r="F421" s="58">
        <v>25</v>
      </c>
      <c r="G421" s="58"/>
      <c r="H421" s="58"/>
      <c r="I421" s="58"/>
      <c r="J421" s="58"/>
      <c r="K421" s="58"/>
      <c r="L421" s="59" t="s">
        <v>477</v>
      </c>
    </row>
    <row r="422" spans="2:12" x14ac:dyDescent="0.2">
      <c r="B422" s="55">
        <v>42051</v>
      </c>
      <c r="C422" s="56">
        <v>0.25</v>
      </c>
      <c r="D422" s="57" t="s">
        <v>17</v>
      </c>
      <c r="E422" s="57" t="str">
        <f>VLOOKUP(D422,tblProjekt[],2,FALSE)</f>
        <v>Powerspreadsheet Win7</v>
      </c>
      <c r="F422" s="58">
        <v>30</v>
      </c>
      <c r="G422" s="58"/>
      <c r="H422" s="58"/>
      <c r="I422" s="58"/>
      <c r="J422" s="58"/>
      <c r="K422" s="58"/>
      <c r="L422" s="59" t="s">
        <v>478</v>
      </c>
    </row>
    <row r="423" spans="2:12" x14ac:dyDescent="0.2">
      <c r="B423" s="55">
        <v>42051</v>
      </c>
      <c r="C423" s="56">
        <v>2.25</v>
      </c>
      <c r="D423" s="57" t="s">
        <v>17</v>
      </c>
      <c r="E423" s="57" t="str">
        <f>VLOOKUP(D423,tblProjekt[],2,FALSE)</f>
        <v>Powerspreadsheet Win7</v>
      </c>
      <c r="F423" s="58">
        <v>25</v>
      </c>
      <c r="G423" s="58"/>
      <c r="H423" s="58"/>
      <c r="I423" s="58"/>
      <c r="J423" s="58"/>
      <c r="K423" s="58"/>
      <c r="L423" s="59" t="s">
        <v>479</v>
      </c>
    </row>
    <row r="424" spans="2:12" ht="36" x14ac:dyDescent="0.2">
      <c r="B424" s="55">
        <v>42051</v>
      </c>
      <c r="C424" s="56">
        <v>1</v>
      </c>
      <c r="D424" s="57" t="s">
        <v>17</v>
      </c>
      <c r="E424" s="57" t="str">
        <f>VLOOKUP(D424,tblProjekt[],2,FALSE)</f>
        <v>Powerspreadsheet Win7</v>
      </c>
      <c r="F424" s="58">
        <v>29</v>
      </c>
      <c r="G424" s="58"/>
      <c r="H424" s="58"/>
      <c r="I424" s="58"/>
      <c r="J424" s="58"/>
      <c r="K424" s="58"/>
      <c r="L424" s="59" t="s">
        <v>480</v>
      </c>
    </row>
    <row r="425" spans="2:12" ht="24" x14ac:dyDescent="0.2">
      <c r="B425" s="55">
        <v>42051</v>
      </c>
      <c r="C425" s="56">
        <v>0.5</v>
      </c>
      <c r="D425" s="57" t="s">
        <v>6</v>
      </c>
      <c r="E425" s="57" t="str">
        <f>VLOOKUP(D425,tblProjekt[],2,FALSE)</f>
        <v>Produktionsportal 2</v>
      </c>
      <c r="F425" s="58">
        <v>38</v>
      </c>
      <c r="G425" s="58"/>
      <c r="H425" s="58"/>
      <c r="I425" s="58"/>
      <c r="J425" s="58"/>
      <c r="K425" s="58"/>
      <c r="L425" s="59" t="s">
        <v>481</v>
      </c>
    </row>
    <row r="426" spans="2:12" x14ac:dyDescent="0.2">
      <c r="B426" s="55">
        <v>42051</v>
      </c>
      <c r="C426" s="56">
        <v>0.75</v>
      </c>
      <c r="D426" s="57" t="s">
        <v>84</v>
      </c>
      <c r="E426" s="57" t="str">
        <f>VLOOKUP(D426,tblProjekt[],2,FALSE)</f>
        <v>Infrastruktur cognovo</v>
      </c>
      <c r="F426" s="58">
        <v>1</v>
      </c>
      <c r="G426" s="58"/>
      <c r="H426" s="58"/>
      <c r="I426" s="58"/>
      <c r="J426" s="58"/>
      <c r="K426" s="58"/>
      <c r="L426" s="59" t="s">
        <v>482</v>
      </c>
    </row>
    <row r="427" spans="2:12" ht="24" x14ac:dyDescent="0.2">
      <c r="B427" s="55">
        <v>42051</v>
      </c>
      <c r="C427" s="56">
        <v>1</v>
      </c>
      <c r="D427" s="57" t="s">
        <v>17</v>
      </c>
      <c r="E427" s="57" t="str">
        <f>VLOOKUP(D427,tblProjekt[],2,FALSE)</f>
        <v>Powerspreadsheet Win7</v>
      </c>
      <c r="F427" s="58">
        <v>29</v>
      </c>
      <c r="G427" s="58"/>
      <c r="H427" s="58"/>
      <c r="I427" s="58"/>
      <c r="J427" s="58"/>
      <c r="K427" s="58"/>
      <c r="L427" s="59" t="s">
        <v>483</v>
      </c>
    </row>
    <row r="428" spans="2:12" x14ac:dyDescent="0.2">
      <c r="B428" s="55">
        <v>42052</v>
      </c>
      <c r="C428" s="56">
        <v>2</v>
      </c>
      <c r="D428" s="57" t="s">
        <v>84</v>
      </c>
      <c r="E428" s="57" t="str">
        <f>VLOOKUP(D428,tblProjekt[],2,FALSE)</f>
        <v>Infrastruktur cognovo</v>
      </c>
      <c r="F428" s="58">
        <v>1</v>
      </c>
      <c r="G428" s="58"/>
      <c r="H428" s="58"/>
      <c r="I428" s="58"/>
      <c r="J428" s="58"/>
      <c r="K428" s="58"/>
      <c r="L428" s="59" t="s">
        <v>482</v>
      </c>
    </row>
    <row r="429" spans="2:12" ht="24" x14ac:dyDescent="0.2">
      <c r="B429" s="55">
        <v>42052</v>
      </c>
      <c r="C429" s="56">
        <v>0.25</v>
      </c>
      <c r="D429" s="57" t="s">
        <v>84</v>
      </c>
      <c r="E429" s="57" t="str">
        <f>VLOOKUP(D429,tblProjekt[],2,FALSE)</f>
        <v>Infrastruktur cognovo</v>
      </c>
      <c r="F429" s="58"/>
      <c r="G429" s="58"/>
      <c r="H429" s="58"/>
      <c r="I429" s="58"/>
      <c r="J429" s="58"/>
      <c r="K429" s="58"/>
      <c r="L429" s="59" t="s">
        <v>484</v>
      </c>
    </row>
    <row r="430" spans="2:12" x14ac:dyDescent="0.2">
      <c r="B430" s="55">
        <v>42052</v>
      </c>
      <c r="C430" s="56">
        <v>0.25</v>
      </c>
      <c r="D430" s="57" t="s">
        <v>17</v>
      </c>
      <c r="E430" s="57" t="str">
        <f>VLOOKUP(D430,tblProjekt[],2,FALSE)</f>
        <v>Powerspreadsheet Win7</v>
      </c>
      <c r="F430" s="58">
        <v>29</v>
      </c>
      <c r="G430" s="58"/>
      <c r="H430" s="58"/>
      <c r="I430" s="58"/>
      <c r="J430" s="58"/>
      <c r="K430" s="58"/>
      <c r="L430" s="59" t="s">
        <v>485</v>
      </c>
    </row>
    <row r="431" spans="2:12" x14ac:dyDescent="0.2">
      <c r="B431" s="55">
        <v>42052</v>
      </c>
      <c r="C431" s="56">
        <v>0.25</v>
      </c>
      <c r="D431" s="57" t="s">
        <v>59</v>
      </c>
      <c r="E431" s="57" t="str">
        <f>VLOOKUP(D431,tblProjekt[],2,FALSE)</f>
        <v>Stada reports</v>
      </c>
      <c r="F431" s="58" t="s">
        <v>486</v>
      </c>
      <c r="G431" s="58"/>
      <c r="H431" s="58"/>
      <c r="I431" s="58"/>
      <c r="J431" s="58"/>
      <c r="K431" s="58"/>
      <c r="L431" s="59" t="s">
        <v>487</v>
      </c>
    </row>
    <row r="432" spans="2:12" x14ac:dyDescent="0.2">
      <c r="B432" s="55">
        <v>42052</v>
      </c>
      <c r="C432" s="56">
        <v>0.25</v>
      </c>
      <c r="D432" s="57" t="s">
        <v>84</v>
      </c>
      <c r="E432" s="57" t="str">
        <f>VLOOKUP(D432,tblProjekt[],2,FALSE)</f>
        <v>Infrastruktur cognovo</v>
      </c>
      <c r="F432" s="58"/>
      <c r="G432" s="58"/>
      <c r="H432" s="58"/>
      <c r="I432" s="58"/>
      <c r="J432" s="58"/>
      <c r="K432" s="58"/>
      <c r="L432" s="59" t="s">
        <v>488</v>
      </c>
    </row>
    <row r="433" spans="2:12" x14ac:dyDescent="0.2">
      <c r="B433" s="55">
        <v>42052</v>
      </c>
      <c r="C433" s="56">
        <v>0.25</v>
      </c>
      <c r="D433" s="57" t="s">
        <v>84</v>
      </c>
      <c r="E433" s="57" t="str">
        <f>VLOOKUP(D433,tblProjekt[],2,FALSE)</f>
        <v>Infrastruktur cognovo</v>
      </c>
      <c r="F433" s="58"/>
      <c r="G433" s="58"/>
      <c r="H433" s="58"/>
      <c r="I433" s="58"/>
      <c r="J433" s="58"/>
      <c r="K433" s="58"/>
      <c r="L433" s="59" t="s">
        <v>380</v>
      </c>
    </row>
    <row r="434" spans="2:12" x14ac:dyDescent="0.2">
      <c r="B434" s="55">
        <v>42052</v>
      </c>
      <c r="C434" s="56">
        <v>1.5</v>
      </c>
      <c r="D434" s="57" t="s">
        <v>17</v>
      </c>
      <c r="E434" s="57" t="str">
        <f>VLOOKUP(D434,tblProjekt[],2,FALSE)</f>
        <v>Powerspreadsheet Win7</v>
      </c>
      <c r="F434" s="58">
        <v>29</v>
      </c>
      <c r="G434" s="58"/>
      <c r="H434" s="58"/>
      <c r="I434" s="58"/>
      <c r="J434" s="58"/>
      <c r="K434" s="58"/>
      <c r="L434" s="59" t="s">
        <v>489</v>
      </c>
    </row>
    <row r="435" spans="2:12" x14ac:dyDescent="0.2">
      <c r="B435" s="55">
        <v>42052</v>
      </c>
      <c r="C435" s="56">
        <v>2.5</v>
      </c>
      <c r="D435" s="57" t="s">
        <v>59</v>
      </c>
      <c r="E435" s="57" t="str">
        <f>VLOOKUP(D435,tblProjekt[],2,FALSE)</f>
        <v>Stada reports</v>
      </c>
      <c r="F435" s="58">
        <v>27</v>
      </c>
      <c r="G435" s="58"/>
      <c r="H435" s="58"/>
      <c r="I435" s="58"/>
      <c r="J435" s="58"/>
      <c r="K435" s="58"/>
      <c r="L435" s="59" t="s">
        <v>490</v>
      </c>
    </row>
    <row r="436" spans="2:12" ht="24" x14ac:dyDescent="0.2">
      <c r="B436" s="55">
        <v>42052</v>
      </c>
      <c r="C436" s="56">
        <v>0.75</v>
      </c>
      <c r="D436" s="57" t="s">
        <v>6</v>
      </c>
      <c r="E436" s="57" t="str">
        <f>VLOOKUP(D436,tblProjekt[],2,FALSE)</f>
        <v>Produktionsportal 2</v>
      </c>
      <c r="F436" s="58">
        <v>38</v>
      </c>
      <c r="G436" s="58"/>
      <c r="H436" s="58"/>
      <c r="I436" s="58"/>
      <c r="J436" s="58"/>
      <c r="K436" s="58"/>
      <c r="L436" s="59" t="s">
        <v>491</v>
      </c>
    </row>
    <row r="437" spans="2:12" x14ac:dyDescent="0.2">
      <c r="B437" s="55">
        <v>42055</v>
      </c>
      <c r="C437" s="56">
        <v>0.25</v>
      </c>
      <c r="D437" s="57" t="s">
        <v>17</v>
      </c>
      <c r="E437" s="57" t="str">
        <f>VLOOKUP(D437,tblProjekt[],2,FALSE)</f>
        <v>Powerspreadsheet Win7</v>
      </c>
      <c r="F437" s="58"/>
      <c r="G437" s="58"/>
      <c r="H437" s="58"/>
      <c r="I437" s="58"/>
      <c r="J437" s="58"/>
      <c r="K437" s="58"/>
      <c r="L437" s="59" t="s">
        <v>492</v>
      </c>
    </row>
    <row r="438" spans="2:12" x14ac:dyDescent="0.2">
      <c r="B438" s="55">
        <v>42055</v>
      </c>
      <c r="C438" s="56">
        <v>0.25</v>
      </c>
      <c r="D438" s="57" t="s">
        <v>84</v>
      </c>
      <c r="E438" s="57" t="str">
        <f>VLOOKUP(D438,tblProjekt[],2,FALSE)</f>
        <v>Infrastruktur cognovo</v>
      </c>
      <c r="F438" s="58"/>
      <c r="G438" s="58"/>
      <c r="H438" s="58"/>
      <c r="I438" s="58"/>
      <c r="J438" s="58"/>
      <c r="K438" s="58"/>
      <c r="L438" s="59" t="s">
        <v>223</v>
      </c>
    </row>
    <row r="439" spans="2:12" x14ac:dyDescent="0.2">
      <c r="B439" s="55">
        <v>42058</v>
      </c>
      <c r="C439" s="56">
        <v>1</v>
      </c>
      <c r="D439" s="57" t="s">
        <v>84</v>
      </c>
      <c r="E439" s="57" t="str">
        <f>VLOOKUP(D439,tblProjekt[],2,FALSE)</f>
        <v>Infrastruktur cognovo</v>
      </c>
      <c r="F439" s="58"/>
      <c r="G439" s="58"/>
      <c r="H439" s="58"/>
      <c r="I439" s="58"/>
      <c r="J439" s="58"/>
      <c r="K439" s="58"/>
      <c r="L439" s="59" t="s">
        <v>493</v>
      </c>
    </row>
    <row r="440" spans="2:12" x14ac:dyDescent="0.2">
      <c r="B440" s="55">
        <v>42058</v>
      </c>
      <c r="C440" s="56">
        <v>0.75</v>
      </c>
      <c r="D440" s="57" t="s">
        <v>17</v>
      </c>
      <c r="E440" s="57" t="str">
        <f>VLOOKUP(D440,tblProjekt[],2,FALSE)</f>
        <v>Powerspreadsheet Win7</v>
      </c>
      <c r="F440" s="58">
        <v>32</v>
      </c>
      <c r="G440" s="58"/>
      <c r="H440" s="58"/>
      <c r="I440" s="58"/>
      <c r="J440" s="58"/>
      <c r="K440" s="58"/>
      <c r="L440" s="59" t="s">
        <v>494</v>
      </c>
    </row>
    <row r="441" spans="2:12" x14ac:dyDescent="0.2">
      <c r="B441" s="55">
        <v>42058</v>
      </c>
      <c r="C441" s="56">
        <v>0.75</v>
      </c>
      <c r="D441" s="57" t="s">
        <v>337</v>
      </c>
      <c r="E441" s="57" t="str">
        <f>VLOOKUP(D441,tblProjekt[],2,FALSE)</f>
        <v>Klosterfrau National</v>
      </c>
      <c r="F441" s="58">
        <v>33</v>
      </c>
      <c r="G441" s="58"/>
      <c r="H441" s="58"/>
      <c r="I441" s="58"/>
      <c r="J441" s="58"/>
      <c r="K441" s="58"/>
      <c r="L441" s="59" t="s">
        <v>495</v>
      </c>
    </row>
    <row r="442" spans="2:12" ht="24" x14ac:dyDescent="0.2">
      <c r="B442" s="55">
        <v>42059</v>
      </c>
      <c r="C442" s="56">
        <v>0.5</v>
      </c>
      <c r="D442" s="57" t="s">
        <v>337</v>
      </c>
      <c r="E442" s="57" t="str">
        <f>VLOOKUP(D442,tblProjekt[],2,FALSE)</f>
        <v>Klosterfrau National</v>
      </c>
      <c r="F442" s="58">
        <v>33</v>
      </c>
      <c r="G442" s="58"/>
      <c r="H442" s="58"/>
      <c r="I442" s="58"/>
      <c r="J442" s="58"/>
      <c r="K442" s="58"/>
      <c r="L442" s="59" t="s">
        <v>496</v>
      </c>
    </row>
    <row r="443" spans="2:12" x14ac:dyDescent="0.2">
      <c r="B443" s="55">
        <v>42060</v>
      </c>
      <c r="C443" s="56">
        <v>0.5</v>
      </c>
      <c r="D443" s="57" t="s">
        <v>84</v>
      </c>
      <c r="E443" s="57" t="str">
        <f>VLOOKUP(D443,tblProjekt[],2,FALSE)</f>
        <v>Infrastruktur cognovo</v>
      </c>
      <c r="F443" s="58"/>
      <c r="G443" s="58"/>
      <c r="H443" s="58"/>
      <c r="I443" s="58"/>
      <c r="J443" s="58"/>
      <c r="K443" s="58"/>
      <c r="L443" s="59" t="s">
        <v>223</v>
      </c>
    </row>
    <row r="444" spans="2:12" x14ac:dyDescent="0.2">
      <c r="B444" s="55">
        <v>42060</v>
      </c>
      <c r="C444" s="56">
        <v>0.5</v>
      </c>
      <c r="D444" s="57" t="s">
        <v>17</v>
      </c>
      <c r="E444" s="57" t="str">
        <f>VLOOKUP(D444,tblProjekt[],2,FALSE)</f>
        <v>Powerspreadsheet Win7</v>
      </c>
      <c r="F444" s="58">
        <v>36</v>
      </c>
      <c r="G444" s="58"/>
      <c r="H444" s="58"/>
      <c r="I444" s="58"/>
      <c r="J444" s="58"/>
      <c r="K444" s="58"/>
      <c r="L444" s="59" t="s">
        <v>497</v>
      </c>
    </row>
    <row r="445" spans="2:12" x14ac:dyDescent="0.2">
      <c r="B445" s="55">
        <v>42060</v>
      </c>
      <c r="C445" s="56">
        <v>0.5</v>
      </c>
      <c r="D445" s="57" t="s">
        <v>60</v>
      </c>
      <c r="E445" s="57" t="str">
        <f>VLOOKUP(D445,tblProjekt[],2,FALSE)</f>
        <v>Nutricia reports</v>
      </c>
      <c r="F445" s="58">
        <v>34</v>
      </c>
      <c r="G445" s="58"/>
      <c r="H445" s="58"/>
      <c r="I445" s="58"/>
      <c r="J445" s="58"/>
      <c r="K445" s="58"/>
      <c r="L445" s="59" t="s">
        <v>498</v>
      </c>
    </row>
    <row r="446" spans="2:12" ht="24" x14ac:dyDescent="0.2">
      <c r="B446" s="55">
        <v>42060</v>
      </c>
      <c r="C446" s="56">
        <v>1.5</v>
      </c>
      <c r="D446" s="57" t="s">
        <v>6</v>
      </c>
      <c r="E446" s="57" t="str">
        <f>VLOOKUP(D446,tblProjekt[],2,FALSE)</f>
        <v>Produktionsportal 2</v>
      </c>
      <c r="F446" s="58">
        <v>38</v>
      </c>
      <c r="G446" s="58"/>
      <c r="H446" s="58"/>
      <c r="I446" s="58"/>
      <c r="J446" s="58"/>
      <c r="K446" s="58"/>
      <c r="L446" s="59" t="s">
        <v>499</v>
      </c>
    </row>
    <row r="447" spans="2:12" ht="24" x14ac:dyDescent="0.2">
      <c r="B447" s="55">
        <v>42060</v>
      </c>
      <c r="C447" s="56">
        <v>0.75</v>
      </c>
      <c r="D447" s="57" t="s">
        <v>84</v>
      </c>
      <c r="E447" s="57" t="str">
        <f>VLOOKUP(D447,tblProjekt[],2,FALSE)</f>
        <v>Infrastruktur cognovo</v>
      </c>
      <c r="F447" s="58"/>
      <c r="G447" s="58"/>
      <c r="H447" s="58"/>
      <c r="I447" s="58"/>
      <c r="J447" s="58"/>
      <c r="K447" s="58"/>
      <c r="L447" s="59" t="s">
        <v>500</v>
      </c>
    </row>
    <row r="448" spans="2:12" x14ac:dyDescent="0.2">
      <c r="B448" s="55">
        <v>42060</v>
      </c>
      <c r="C448" s="56">
        <v>0.5</v>
      </c>
      <c r="D448" s="57" t="s">
        <v>84</v>
      </c>
      <c r="E448" s="57" t="str">
        <f>VLOOKUP(D448,tblProjekt[],2,FALSE)</f>
        <v>Infrastruktur cognovo</v>
      </c>
      <c r="F448" s="58">
        <v>5</v>
      </c>
      <c r="G448" s="58"/>
      <c r="H448" s="58"/>
      <c r="I448" s="58"/>
      <c r="J448" s="58"/>
      <c r="K448" s="58"/>
      <c r="L448" s="59" t="s">
        <v>501</v>
      </c>
    </row>
    <row r="449" spans="2:12" ht="24" x14ac:dyDescent="0.2">
      <c r="B449" s="55">
        <v>42060</v>
      </c>
      <c r="C449" s="56">
        <v>3.25</v>
      </c>
      <c r="D449" s="57" t="s">
        <v>339</v>
      </c>
      <c r="E449" s="57" t="str">
        <f>VLOOKUP(D449,tblProjekt[],2,FALSE)</f>
        <v>Klosterfrau Regio</v>
      </c>
      <c r="F449" s="58">
        <v>39</v>
      </c>
      <c r="G449" s="58"/>
      <c r="H449" s="58"/>
      <c r="I449" s="58"/>
      <c r="J449" s="58"/>
      <c r="K449" s="58"/>
      <c r="L449" s="59" t="s">
        <v>502</v>
      </c>
    </row>
    <row r="450" spans="2:12" ht="24" x14ac:dyDescent="0.2">
      <c r="B450" s="55">
        <v>42060</v>
      </c>
      <c r="C450" s="56">
        <v>0.25</v>
      </c>
      <c r="D450" s="57" t="s">
        <v>59</v>
      </c>
      <c r="E450" s="57" t="str">
        <f>VLOOKUP(D450,tblProjekt[],2,FALSE)</f>
        <v>Stada reports</v>
      </c>
      <c r="F450" s="58">
        <v>37</v>
      </c>
      <c r="G450" s="58"/>
      <c r="H450" s="58"/>
      <c r="I450" s="58"/>
      <c r="J450" s="58"/>
      <c r="K450" s="58"/>
      <c r="L450" s="59" t="s">
        <v>503</v>
      </c>
    </row>
    <row r="451" spans="2:12" x14ac:dyDescent="0.2">
      <c r="B451" s="55">
        <v>42060</v>
      </c>
      <c r="C451" s="56">
        <v>0.5</v>
      </c>
      <c r="D451" s="57" t="s">
        <v>17</v>
      </c>
      <c r="E451" s="57" t="str">
        <f>VLOOKUP(D451,tblProjekt[],2,FALSE)</f>
        <v>Powerspreadsheet Win7</v>
      </c>
      <c r="F451" s="58">
        <v>36</v>
      </c>
      <c r="G451" s="58"/>
      <c r="H451" s="58"/>
      <c r="I451" s="58"/>
      <c r="J451" s="58"/>
      <c r="K451" s="58"/>
      <c r="L451" s="59" t="s">
        <v>505</v>
      </c>
    </row>
    <row r="452" spans="2:12" ht="24" x14ac:dyDescent="0.2">
      <c r="B452" s="55">
        <v>42060</v>
      </c>
      <c r="C452" s="56">
        <v>0.25</v>
      </c>
      <c r="D452" s="57" t="s">
        <v>17</v>
      </c>
      <c r="E452" s="57" t="str">
        <f>VLOOKUP(D452,tblProjekt[],2,FALSE)</f>
        <v>Powerspreadsheet Win7</v>
      </c>
      <c r="F452" s="58">
        <v>36</v>
      </c>
      <c r="G452" s="58"/>
      <c r="H452" s="58"/>
      <c r="I452" s="58"/>
      <c r="J452" s="58"/>
      <c r="K452" s="58"/>
      <c r="L452" s="59" t="s">
        <v>504</v>
      </c>
    </row>
    <row r="453" spans="2:12" x14ac:dyDescent="0.2">
      <c r="B453" s="55">
        <v>42061</v>
      </c>
      <c r="C453" s="56">
        <v>1.75</v>
      </c>
      <c r="D453" s="57" t="s">
        <v>84</v>
      </c>
      <c r="E453" s="57" t="str">
        <f>VLOOKUP(D453,tblProjekt[],2,FALSE)</f>
        <v>Infrastruktur cognovo</v>
      </c>
      <c r="F453" s="58"/>
      <c r="G453" s="58"/>
      <c r="H453" s="58"/>
      <c r="I453" s="58"/>
      <c r="J453" s="58"/>
      <c r="K453" s="58"/>
      <c r="L453" s="59" t="s">
        <v>506</v>
      </c>
    </row>
    <row r="454" spans="2:12" x14ac:dyDescent="0.2">
      <c r="B454" s="55">
        <v>42061</v>
      </c>
      <c r="C454" s="56">
        <v>0.5</v>
      </c>
      <c r="D454" s="57" t="s">
        <v>17</v>
      </c>
      <c r="E454" s="57" t="str">
        <f>VLOOKUP(D454,tblProjekt[],2,FALSE)</f>
        <v>Powerspreadsheet Win7</v>
      </c>
      <c r="F454" s="58">
        <v>41</v>
      </c>
      <c r="G454" s="58"/>
      <c r="H454" s="58"/>
      <c r="I454" s="58"/>
      <c r="J454" s="58"/>
      <c r="K454" s="58"/>
      <c r="L454" s="59" t="s">
        <v>507</v>
      </c>
    </row>
    <row r="455" spans="2:12" x14ac:dyDescent="0.2">
      <c r="B455" s="55">
        <v>42061</v>
      </c>
      <c r="C455" s="56">
        <v>0.25</v>
      </c>
      <c r="D455" s="57" t="s">
        <v>339</v>
      </c>
      <c r="E455" s="57" t="str">
        <f>VLOOKUP(D455,tblProjekt[],2,FALSE)</f>
        <v>Klosterfrau Regio</v>
      </c>
      <c r="F455" s="58">
        <v>33</v>
      </c>
      <c r="G455" s="58"/>
      <c r="H455" s="58"/>
      <c r="I455" s="58"/>
      <c r="J455" s="58"/>
      <c r="K455" s="58"/>
      <c r="L455" s="59" t="s">
        <v>498</v>
      </c>
    </row>
    <row r="456" spans="2:12" x14ac:dyDescent="0.2">
      <c r="B456" s="55">
        <v>42061</v>
      </c>
      <c r="C456" s="56">
        <v>1</v>
      </c>
      <c r="D456" s="57" t="s">
        <v>17</v>
      </c>
      <c r="E456" s="57" t="str">
        <f>VLOOKUP(D456,tblProjekt[],2,FALSE)</f>
        <v>Powerspreadsheet Win7</v>
      </c>
      <c r="F456" s="58">
        <v>29</v>
      </c>
      <c r="G456" s="58"/>
      <c r="H456" s="58"/>
      <c r="I456" s="58"/>
      <c r="J456" s="58"/>
      <c r="K456" s="58"/>
      <c r="L456" s="59" t="s">
        <v>508</v>
      </c>
    </row>
    <row r="457" spans="2:12" x14ac:dyDescent="0.2">
      <c r="B457" s="55">
        <v>42061</v>
      </c>
      <c r="C457" s="56">
        <v>0.5</v>
      </c>
      <c r="D457" s="57" t="s">
        <v>84</v>
      </c>
      <c r="E457" s="57" t="str">
        <f>VLOOKUP(D457,tblProjekt[],2,FALSE)</f>
        <v>Infrastruktur cognovo</v>
      </c>
      <c r="F457" s="58"/>
      <c r="G457" s="58"/>
      <c r="H457" s="58"/>
      <c r="I457" s="58"/>
      <c r="J457" s="58"/>
      <c r="K457" s="58"/>
      <c r="L457" s="59" t="s">
        <v>509</v>
      </c>
    </row>
    <row r="458" spans="2:12" x14ac:dyDescent="0.2">
      <c r="B458" s="55">
        <v>42061</v>
      </c>
      <c r="C458" s="56">
        <v>0.25</v>
      </c>
      <c r="D458" s="57" t="s">
        <v>84</v>
      </c>
      <c r="E458" s="57" t="str">
        <f>VLOOKUP(D458,tblProjekt[],2,FALSE)</f>
        <v>Infrastruktur cognovo</v>
      </c>
      <c r="F458" s="58">
        <v>14</v>
      </c>
      <c r="G458" s="58"/>
      <c r="H458" s="58"/>
      <c r="I458" s="58"/>
      <c r="J458" s="58"/>
      <c r="K458" s="58"/>
      <c r="L458" s="59" t="s">
        <v>510</v>
      </c>
    </row>
    <row r="459" spans="2:12" x14ac:dyDescent="0.2">
      <c r="B459" s="55">
        <v>42061</v>
      </c>
      <c r="C459" s="56">
        <v>0.5</v>
      </c>
      <c r="D459" s="57" t="s">
        <v>66</v>
      </c>
      <c r="E459" s="57" t="str">
        <f>VLOOKUP(D459,tblProjekt[],2,FALSE)</f>
        <v>PHS Calculator</v>
      </c>
      <c r="F459" s="58"/>
      <c r="G459" s="58"/>
      <c r="H459" s="58"/>
      <c r="I459" s="58"/>
      <c r="J459" s="58"/>
      <c r="K459" s="58"/>
      <c r="L459" s="59" t="s">
        <v>511</v>
      </c>
    </row>
    <row r="460" spans="2:12" ht="24" x14ac:dyDescent="0.2">
      <c r="B460" s="55">
        <v>42061</v>
      </c>
      <c r="C460" s="56">
        <v>0.5</v>
      </c>
      <c r="D460" s="57" t="s">
        <v>66</v>
      </c>
      <c r="E460" s="57" t="str">
        <f>VLOOKUP(D460,tblProjekt[],2,FALSE)</f>
        <v>PHS Calculator</v>
      </c>
      <c r="F460" s="58">
        <v>64</v>
      </c>
      <c r="G460" s="58"/>
      <c r="H460" s="58"/>
      <c r="I460" s="58"/>
      <c r="J460" s="58"/>
      <c r="K460" s="58"/>
      <c r="L460" s="59" t="s">
        <v>512</v>
      </c>
    </row>
    <row r="461" spans="2:12" ht="24" x14ac:dyDescent="0.2">
      <c r="B461" s="55">
        <v>42061</v>
      </c>
      <c r="C461" s="56">
        <v>0.5</v>
      </c>
      <c r="D461" s="57" t="s">
        <v>17</v>
      </c>
      <c r="E461" s="57" t="str">
        <f>VLOOKUP(D461,tblProjekt[],2,FALSE)</f>
        <v>Powerspreadsheet Win7</v>
      </c>
      <c r="F461" s="58">
        <v>36</v>
      </c>
      <c r="G461" s="58"/>
      <c r="H461" s="58"/>
      <c r="I461" s="58"/>
      <c r="J461" s="58"/>
      <c r="K461" s="58"/>
      <c r="L461" s="59" t="s">
        <v>513</v>
      </c>
    </row>
    <row r="462" spans="2:12" x14ac:dyDescent="0.2">
      <c r="B462" s="55">
        <v>42061</v>
      </c>
      <c r="C462" s="56">
        <v>0.25</v>
      </c>
      <c r="D462" s="57" t="s">
        <v>64</v>
      </c>
      <c r="E462" s="57" t="str">
        <f>VLOOKUP(D462,tblProjekt[],2,FALSE)</f>
        <v>Omron reports</v>
      </c>
      <c r="F462" s="58">
        <v>38</v>
      </c>
      <c r="G462" s="58"/>
      <c r="H462" s="58"/>
      <c r="I462" s="58"/>
      <c r="J462" s="58"/>
      <c r="K462" s="58"/>
      <c r="L462" s="59" t="s">
        <v>498</v>
      </c>
    </row>
    <row r="463" spans="2:12" x14ac:dyDescent="0.2">
      <c r="B463" s="55">
        <v>42061</v>
      </c>
      <c r="C463" s="56">
        <v>0.25</v>
      </c>
      <c r="D463" s="57" t="s">
        <v>6</v>
      </c>
      <c r="E463" s="57" t="str">
        <f>VLOOKUP(D463,tblProjekt[],2,FALSE)</f>
        <v>Produktionsportal 2</v>
      </c>
      <c r="F463" s="58">
        <v>39</v>
      </c>
      <c r="G463" s="58"/>
      <c r="H463" s="58"/>
      <c r="I463" s="58"/>
      <c r="J463" s="58"/>
      <c r="K463" s="58"/>
      <c r="L463" s="59" t="s">
        <v>232</v>
      </c>
    </row>
    <row r="464" spans="2:12" x14ac:dyDescent="0.2">
      <c r="B464" s="55">
        <v>42061</v>
      </c>
      <c r="C464" s="56">
        <v>0.25</v>
      </c>
      <c r="D464" s="57" t="s">
        <v>17</v>
      </c>
      <c r="E464" s="57" t="str">
        <f>VLOOKUP(D464,tblProjekt[],2,FALSE)</f>
        <v>Powerspreadsheet Win7</v>
      </c>
      <c r="F464" s="58">
        <v>41</v>
      </c>
      <c r="G464" s="58"/>
      <c r="H464" s="58"/>
      <c r="I464" s="58"/>
      <c r="J464" s="58"/>
      <c r="K464" s="58"/>
      <c r="L464" s="59" t="s">
        <v>514</v>
      </c>
    </row>
    <row r="465" spans="2:12" ht="24" x14ac:dyDescent="0.2">
      <c r="B465" s="55">
        <v>42061</v>
      </c>
      <c r="C465" s="56">
        <v>0.25</v>
      </c>
      <c r="D465" s="57" t="s">
        <v>337</v>
      </c>
      <c r="E465" s="57" t="str">
        <f>VLOOKUP(D465,tblProjekt[],2,FALSE)</f>
        <v>Klosterfrau National</v>
      </c>
      <c r="F465" s="58">
        <v>33</v>
      </c>
      <c r="G465" s="58"/>
      <c r="H465" s="58"/>
      <c r="I465" s="58"/>
      <c r="J465" s="58"/>
      <c r="K465" s="58"/>
      <c r="L465" s="59" t="s">
        <v>515</v>
      </c>
    </row>
    <row r="466" spans="2:12" ht="24" x14ac:dyDescent="0.2">
      <c r="B466" s="55">
        <v>42062</v>
      </c>
      <c r="C466" s="56">
        <v>0.5</v>
      </c>
      <c r="D466" s="57" t="s">
        <v>59</v>
      </c>
      <c r="E466" s="57" t="str">
        <f>VLOOKUP(D466,tblProjekt[],2,FALSE)</f>
        <v>Stada reports</v>
      </c>
      <c r="F466" s="58">
        <v>37</v>
      </c>
      <c r="G466" s="58"/>
      <c r="H466" s="58"/>
      <c r="I466" s="58"/>
      <c r="J466" s="58"/>
      <c r="K466" s="58"/>
      <c r="L466" s="59" t="s">
        <v>516</v>
      </c>
    </row>
    <row r="467" spans="2:12" x14ac:dyDescent="0.2">
      <c r="B467" s="55">
        <v>42062</v>
      </c>
      <c r="C467" s="56">
        <v>0.5</v>
      </c>
      <c r="D467" s="57" t="s">
        <v>17</v>
      </c>
      <c r="E467" s="57" t="str">
        <f>VLOOKUP(D467,tblProjekt[],2,FALSE)</f>
        <v>Powerspreadsheet Win7</v>
      </c>
      <c r="F467" s="58">
        <v>19</v>
      </c>
      <c r="G467" s="58"/>
      <c r="H467" s="58"/>
      <c r="I467" s="58"/>
      <c r="J467" s="58"/>
      <c r="K467" s="58"/>
      <c r="L467" s="59" t="s">
        <v>517</v>
      </c>
    </row>
    <row r="468" spans="2:12" ht="24" x14ac:dyDescent="0.2">
      <c r="B468" s="55">
        <v>42062</v>
      </c>
      <c r="C468" s="56">
        <v>2.5</v>
      </c>
      <c r="D468" s="57" t="s">
        <v>59</v>
      </c>
      <c r="E468" s="57" t="str">
        <f>VLOOKUP(D468,tblProjekt[],2,FALSE)</f>
        <v>Stada reports</v>
      </c>
      <c r="F468" s="58">
        <v>21</v>
      </c>
      <c r="G468" s="58"/>
      <c r="H468" s="58"/>
      <c r="I468" s="58"/>
      <c r="J468" s="58"/>
      <c r="K468" s="58"/>
      <c r="L468" s="59" t="s">
        <v>518</v>
      </c>
    </row>
    <row r="469" spans="2:12" ht="24" x14ac:dyDescent="0.2">
      <c r="B469" s="55">
        <v>42062</v>
      </c>
      <c r="C469" s="56">
        <v>0.5</v>
      </c>
      <c r="D469" s="57" t="s">
        <v>59</v>
      </c>
      <c r="E469" s="57" t="str">
        <f>VLOOKUP(D469,tblProjekt[],2,FALSE)</f>
        <v>Stada reports</v>
      </c>
      <c r="F469" s="58">
        <v>42</v>
      </c>
      <c r="G469" s="58"/>
      <c r="H469" s="58"/>
      <c r="I469" s="58"/>
      <c r="J469" s="58"/>
      <c r="K469" s="58"/>
      <c r="L469" s="59" t="s">
        <v>519</v>
      </c>
    </row>
    <row r="470" spans="2:12" x14ac:dyDescent="0.2">
      <c r="B470" s="55">
        <v>42062</v>
      </c>
      <c r="C470" s="56">
        <v>0.75</v>
      </c>
      <c r="D470" s="57" t="s">
        <v>84</v>
      </c>
      <c r="E470" s="57" t="str">
        <f>VLOOKUP(D470,tblProjekt[],2,FALSE)</f>
        <v>Infrastruktur cognovo</v>
      </c>
      <c r="F470" s="58"/>
      <c r="G470" s="58"/>
      <c r="H470" s="58"/>
      <c r="I470" s="58"/>
      <c r="J470" s="58"/>
      <c r="K470" s="58"/>
      <c r="L470" s="59" t="s">
        <v>520</v>
      </c>
    </row>
    <row r="471" spans="2:12" ht="24" x14ac:dyDescent="0.2">
      <c r="B471" s="55">
        <v>42062</v>
      </c>
      <c r="C471" s="56">
        <v>0.5</v>
      </c>
      <c r="D471" s="57" t="s">
        <v>66</v>
      </c>
      <c r="E471" s="57" t="str">
        <f>VLOOKUP(D471,tblProjekt[],2,FALSE)</f>
        <v>PHS Calculator</v>
      </c>
      <c r="F471" s="58">
        <v>64</v>
      </c>
      <c r="G471" s="58"/>
      <c r="H471" s="58"/>
      <c r="I471" s="58"/>
      <c r="J471" s="58"/>
      <c r="K471" s="58"/>
      <c r="L471" s="59" t="s">
        <v>521</v>
      </c>
    </row>
    <row r="472" spans="2:12" ht="24" x14ac:dyDescent="0.2">
      <c r="B472" s="55">
        <v>42062</v>
      </c>
      <c r="C472" s="56">
        <v>4.25</v>
      </c>
      <c r="D472" s="57" t="s">
        <v>84</v>
      </c>
      <c r="E472" s="57" t="str">
        <f>VLOOKUP(D472,tblProjekt[],2,FALSE)</f>
        <v>Infrastruktur cognovo</v>
      </c>
      <c r="F472" s="58">
        <v>1</v>
      </c>
      <c r="G472" s="58"/>
      <c r="H472" s="58"/>
      <c r="I472" s="58"/>
      <c r="J472" s="58"/>
      <c r="K472" s="58"/>
      <c r="L472" s="59" t="s">
        <v>522</v>
      </c>
    </row>
    <row r="473" spans="2:12" ht="24" x14ac:dyDescent="0.2">
      <c r="B473" s="55">
        <v>42064</v>
      </c>
      <c r="C473" s="56">
        <v>0.75</v>
      </c>
      <c r="D473" s="57" t="s">
        <v>66</v>
      </c>
      <c r="E473" s="57" t="str">
        <f>VLOOKUP(D473,tblProjekt[],2,FALSE)</f>
        <v>PHS Calculator</v>
      </c>
      <c r="F473" s="58">
        <v>64</v>
      </c>
      <c r="G473" s="58"/>
      <c r="H473" s="58"/>
      <c r="I473" s="58"/>
      <c r="J473" s="58"/>
      <c r="K473" s="58"/>
      <c r="L473" s="59" t="s">
        <v>523</v>
      </c>
    </row>
    <row r="474" spans="2:12" ht="24" x14ac:dyDescent="0.2">
      <c r="B474" s="55">
        <v>42065</v>
      </c>
      <c r="C474" s="56">
        <v>0.5</v>
      </c>
      <c r="D474" s="57" t="s">
        <v>337</v>
      </c>
      <c r="E474" s="57" t="str">
        <f>VLOOKUP(D474,tblProjekt[],2,FALSE)</f>
        <v>Klosterfrau National</v>
      </c>
      <c r="F474" s="58">
        <v>33</v>
      </c>
      <c r="G474" s="58"/>
      <c r="H474" s="58"/>
      <c r="I474" s="58"/>
      <c r="J474" s="58"/>
      <c r="K474" s="58"/>
      <c r="L474" s="59" t="s">
        <v>524</v>
      </c>
    </row>
    <row r="475" spans="2:12" x14ac:dyDescent="0.2">
      <c r="B475" s="55">
        <v>42065</v>
      </c>
      <c r="C475" s="56">
        <v>0.25</v>
      </c>
      <c r="D475" s="57" t="s">
        <v>59</v>
      </c>
      <c r="E475" s="57" t="str">
        <f>VLOOKUP(D475,tblProjekt[],2,FALSE)</f>
        <v>Stada reports</v>
      </c>
      <c r="F475" s="58">
        <v>27</v>
      </c>
      <c r="G475" s="58"/>
      <c r="H475" s="58"/>
      <c r="I475" s="58"/>
      <c r="J475" s="58"/>
      <c r="K475" s="58"/>
      <c r="L475" s="59" t="s">
        <v>526</v>
      </c>
    </row>
    <row r="476" spans="2:12" x14ac:dyDescent="0.2">
      <c r="B476" s="55">
        <v>42065</v>
      </c>
      <c r="C476" s="56">
        <v>0.25</v>
      </c>
      <c r="D476" s="57" t="s">
        <v>55</v>
      </c>
      <c r="E476" s="57" t="str">
        <f>VLOOKUP(D476,tblProjekt[],2,FALSE)</f>
        <v>Biomedica report</v>
      </c>
      <c r="F476" s="58">
        <v>43</v>
      </c>
      <c r="G476" s="58"/>
      <c r="H476" s="58"/>
      <c r="I476" s="58"/>
      <c r="J476" s="58"/>
      <c r="K476" s="58"/>
      <c r="L476" s="59" t="s">
        <v>525</v>
      </c>
    </row>
    <row r="477" spans="2:12" x14ac:dyDescent="0.2">
      <c r="B477" s="55">
        <v>42066</v>
      </c>
      <c r="C477" s="56">
        <v>0.25</v>
      </c>
      <c r="D477" s="57" t="s">
        <v>17</v>
      </c>
      <c r="E477" s="57" t="str">
        <f>VLOOKUP(D477,tblProjekt[],2,FALSE)</f>
        <v>Powerspreadsheet Win7</v>
      </c>
      <c r="F477" s="58"/>
      <c r="G477" s="58"/>
      <c r="H477" s="58"/>
      <c r="I477" s="58"/>
      <c r="J477" s="58"/>
      <c r="K477" s="58"/>
      <c r="L477" s="59" t="s">
        <v>527</v>
      </c>
    </row>
    <row r="478" spans="2:12" ht="36" x14ac:dyDescent="0.2">
      <c r="B478" s="55">
        <v>42066</v>
      </c>
      <c r="C478" s="56">
        <v>1.25</v>
      </c>
      <c r="D478" s="57" t="s">
        <v>55</v>
      </c>
      <c r="E478" s="57" t="str">
        <f>VLOOKUP(D478,tblProjekt[],2,FALSE)</f>
        <v>Biomedica report</v>
      </c>
      <c r="F478" s="58">
        <v>43</v>
      </c>
      <c r="G478" s="58"/>
      <c r="H478" s="58"/>
      <c r="I478" s="58"/>
      <c r="J478" s="58"/>
      <c r="K478" s="58"/>
      <c r="L478" s="59" t="s">
        <v>528</v>
      </c>
    </row>
    <row r="479" spans="2:12" ht="24" x14ac:dyDescent="0.2">
      <c r="B479" s="55">
        <v>42066</v>
      </c>
      <c r="C479" s="56">
        <v>0.25</v>
      </c>
      <c r="D479" s="57" t="s">
        <v>17</v>
      </c>
      <c r="E479" s="57" t="str">
        <f>VLOOKUP(D479,tblProjekt[],2,FALSE)</f>
        <v>Powerspreadsheet Win7</v>
      </c>
      <c r="F479" s="58">
        <v>44</v>
      </c>
      <c r="G479" s="58"/>
      <c r="H479" s="58"/>
      <c r="I479" s="58"/>
      <c r="J479" s="58"/>
      <c r="K479" s="58"/>
      <c r="L479" s="59" t="s">
        <v>529</v>
      </c>
    </row>
    <row r="480" spans="2:12" ht="24" x14ac:dyDescent="0.2">
      <c r="B480" s="55">
        <v>42067</v>
      </c>
      <c r="C480" s="56">
        <v>0.75</v>
      </c>
      <c r="D480" s="57" t="s">
        <v>59</v>
      </c>
      <c r="E480" s="57" t="str">
        <f>VLOOKUP(D480,tblProjekt[],2,FALSE)</f>
        <v>Stada reports</v>
      </c>
      <c r="F480" s="58">
        <v>27</v>
      </c>
      <c r="G480" s="58"/>
      <c r="H480" s="58"/>
      <c r="I480" s="58"/>
      <c r="J480" s="58"/>
      <c r="K480" s="58"/>
      <c r="L480" s="59" t="s">
        <v>530</v>
      </c>
    </row>
    <row r="481" spans="2:12" ht="24" x14ac:dyDescent="0.2">
      <c r="B481" s="55">
        <v>42067</v>
      </c>
      <c r="C481" s="56">
        <v>0.5</v>
      </c>
      <c r="D481" s="57" t="s">
        <v>337</v>
      </c>
      <c r="E481" s="57" t="str">
        <f>VLOOKUP(D481,tblProjekt[],2,FALSE)</f>
        <v>Klosterfrau National</v>
      </c>
      <c r="F481" s="58">
        <v>33</v>
      </c>
      <c r="G481" s="58"/>
      <c r="H481" s="58"/>
      <c r="I481" s="58"/>
      <c r="J481" s="58"/>
      <c r="K481" s="58"/>
      <c r="L481" s="59" t="s">
        <v>531</v>
      </c>
    </row>
    <row r="482" spans="2:12" x14ac:dyDescent="0.2">
      <c r="B482" s="55">
        <v>42067</v>
      </c>
      <c r="C482" s="56">
        <v>0.25</v>
      </c>
      <c r="D482" s="57" t="s">
        <v>84</v>
      </c>
      <c r="E482" s="57" t="str">
        <f>VLOOKUP(D482,tblProjekt[],2,FALSE)</f>
        <v>Infrastruktur cognovo</v>
      </c>
      <c r="F482" s="58"/>
      <c r="G482" s="58"/>
      <c r="H482" s="58"/>
      <c r="I482" s="58"/>
      <c r="J482" s="58"/>
      <c r="K482" s="58"/>
      <c r="L482" s="59" t="s">
        <v>532</v>
      </c>
    </row>
    <row r="483" spans="2:12" x14ac:dyDescent="0.2">
      <c r="B483" s="55">
        <v>42067</v>
      </c>
      <c r="C483" s="56">
        <v>0.25</v>
      </c>
      <c r="D483" s="57" t="s">
        <v>66</v>
      </c>
      <c r="E483" s="57" t="str">
        <f>VLOOKUP(D483,tblProjekt[],2,FALSE)</f>
        <v>PHS Calculator</v>
      </c>
      <c r="F483" s="58"/>
      <c r="G483" s="58"/>
      <c r="H483" s="58"/>
      <c r="I483" s="58"/>
      <c r="J483" s="58"/>
      <c r="K483" s="58"/>
      <c r="L483" s="59" t="s">
        <v>533</v>
      </c>
    </row>
    <row r="484" spans="2:12" x14ac:dyDescent="0.2">
      <c r="B484" s="55">
        <v>42068</v>
      </c>
      <c r="C484" s="56">
        <v>0.75</v>
      </c>
      <c r="D484" s="57" t="s">
        <v>84</v>
      </c>
      <c r="E484" s="57" t="str">
        <f>VLOOKUP(D484,tblProjekt[],2,FALSE)</f>
        <v>Infrastruktur cognovo</v>
      </c>
      <c r="F484" s="58"/>
      <c r="G484" s="58"/>
      <c r="H484" s="58"/>
      <c r="I484" s="58"/>
      <c r="J484" s="58"/>
      <c r="K484" s="58"/>
      <c r="L484" s="59" t="s">
        <v>534</v>
      </c>
    </row>
    <row r="485" spans="2:12" x14ac:dyDescent="0.2">
      <c r="B485" s="55">
        <v>42068</v>
      </c>
      <c r="C485" s="56">
        <v>0.25</v>
      </c>
      <c r="D485" s="57" t="s">
        <v>17</v>
      </c>
      <c r="E485" s="57" t="str">
        <f>VLOOKUP(D485,tblProjekt[],2,FALSE)</f>
        <v>Powerspreadsheet Win7</v>
      </c>
      <c r="F485" s="58"/>
      <c r="G485" s="58"/>
      <c r="H485" s="58"/>
      <c r="I485" s="58"/>
      <c r="J485" s="58"/>
      <c r="K485" s="58"/>
      <c r="L485" s="59" t="s">
        <v>535</v>
      </c>
    </row>
    <row r="486" spans="2:12" ht="24" x14ac:dyDescent="0.2">
      <c r="B486" s="55">
        <v>42068</v>
      </c>
      <c r="C486" s="56">
        <v>0.5</v>
      </c>
      <c r="D486" s="57" t="s">
        <v>60</v>
      </c>
      <c r="E486" s="57" t="str">
        <f>VLOOKUP(D486,tblProjekt[],2,FALSE)</f>
        <v>Nutricia reports</v>
      </c>
      <c r="F486" s="58">
        <v>34</v>
      </c>
      <c r="G486" s="58"/>
      <c r="H486" s="58"/>
      <c r="I486" s="58"/>
      <c r="J486" s="58"/>
      <c r="K486" s="58"/>
      <c r="L486" s="59" t="s">
        <v>536</v>
      </c>
    </row>
    <row r="487" spans="2:12" x14ac:dyDescent="0.2">
      <c r="B487" s="55">
        <v>42068</v>
      </c>
      <c r="C487" s="56">
        <v>1.25</v>
      </c>
      <c r="D487" s="57" t="s">
        <v>17</v>
      </c>
      <c r="E487" s="57" t="str">
        <f>VLOOKUP(D487,tblProjekt[],2,FALSE)</f>
        <v>Powerspreadsheet Win7</v>
      </c>
      <c r="F487" s="58" t="s">
        <v>537</v>
      </c>
      <c r="G487" s="58"/>
      <c r="H487" s="58"/>
      <c r="I487" s="58"/>
      <c r="J487" s="58"/>
      <c r="K487" s="58"/>
      <c r="L487" s="59" t="s">
        <v>538</v>
      </c>
    </row>
    <row r="488" spans="2:12" ht="24" x14ac:dyDescent="0.2">
      <c r="B488" s="55">
        <v>42068</v>
      </c>
      <c r="C488" s="56">
        <v>0.5</v>
      </c>
      <c r="D488" s="57" t="s">
        <v>66</v>
      </c>
      <c r="E488" s="57" t="str">
        <f>VLOOKUP(D488,tblProjekt[],2,FALSE)</f>
        <v>PHS Calculator</v>
      </c>
      <c r="F488" s="58">
        <v>66</v>
      </c>
      <c r="G488" s="58"/>
      <c r="H488" s="58"/>
      <c r="I488" s="58"/>
      <c r="J488" s="58"/>
      <c r="K488" s="58"/>
      <c r="L488" s="59" t="s">
        <v>539</v>
      </c>
    </row>
    <row r="489" spans="2:12" ht="24" x14ac:dyDescent="0.2">
      <c r="B489" s="55">
        <v>42068</v>
      </c>
      <c r="C489" s="56">
        <v>0.25</v>
      </c>
      <c r="D489" s="57" t="s">
        <v>66</v>
      </c>
      <c r="E489" s="57" t="str">
        <f>VLOOKUP(D489,tblProjekt[],2,FALSE)</f>
        <v>PHS Calculator</v>
      </c>
      <c r="F489" s="58">
        <v>68</v>
      </c>
      <c r="G489" s="58"/>
      <c r="H489" s="58"/>
      <c r="I489" s="58"/>
      <c r="J489" s="58"/>
      <c r="K489" s="58"/>
      <c r="L489" s="59" t="s">
        <v>540</v>
      </c>
    </row>
    <row r="490" spans="2:12" ht="24" x14ac:dyDescent="0.2">
      <c r="B490" s="55">
        <v>42068</v>
      </c>
      <c r="C490" s="56">
        <v>0.25</v>
      </c>
      <c r="D490" s="57" t="s">
        <v>66</v>
      </c>
      <c r="E490" s="57" t="str">
        <f>VLOOKUP(D490,tblProjekt[],2,FALSE)</f>
        <v>PHS Calculator</v>
      </c>
      <c r="F490" s="58">
        <v>69</v>
      </c>
      <c r="G490" s="58"/>
      <c r="H490" s="58"/>
      <c r="I490" s="58"/>
      <c r="J490" s="58"/>
      <c r="K490" s="58"/>
      <c r="L490" s="59" t="s">
        <v>541</v>
      </c>
    </row>
    <row r="491" spans="2:12" ht="24" x14ac:dyDescent="0.2">
      <c r="B491" s="55">
        <v>42068</v>
      </c>
      <c r="C491" s="56">
        <v>0.25</v>
      </c>
      <c r="D491" s="57" t="s">
        <v>66</v>
      </c>
      <c r="E491" s="57" t="str">
        <f>VLOOKUP(D491,tblProjekt[],2,FALSE)</f>
        <v>PHS Calculator</v>
      </c>
      <c r="F491" s="58">
        <v>70</v>
      </c>
      <c r="G491" s="58"/>
      <c r="H491" s="58"/>
      <c r="I491" s="58"/>
      <c r="J491" s="58"/>
      <c r="K491" s="58"/>
      <c r="L491" s="59" t="s">
        <v>542</v>
      </c>
    </row>
    <row r="492" spans="2:12" x14ac:dyDescent="0.2">
      <c r="B492" s="55">
        <v>42068</v>
      </c>
      <c r="C492" s="56">
        <v>0.25</v>
      </c>
      <c r="D492" s="57" t="s">
        <v>66</v>
      </c>
      <c r="E492" s="57" t="str">
        <f>VLOOKUP(D492,tblProjekt[],2,FALSE)</f>
        <v>PHS Calculator</v>
      </c>
      <c r="F492" s="58">
        <v>67</v>
      </c>
      <c r="G492" s="58"/>
      <c r="H492" s="58"/>
      <c r="I492" s="58"/>
      <c r="J492" s="58"/>
      <c r="K492" s="58"/>
      <c r="L492" s="59" t="s">
        <v>543</v>
      </c>
    </row>
    <row r="493" spans="2:12" ht="24" x14ac:dyDescent="0.2">
      <c r="B493" s="55">
        <v>42068</v>
      </c>
      <c r="C493" s="56">
        <v>1.25</v>
      </c>
      <c r="D493" s="57" t="s">
        <v>84</v>
      </c>
      <c r="E493" s="57" t="str">
        <f>VLOOKUP(D493,tblProjekt[],2,FALSE)</f>
        <v>Infrastruktur cognovo</v>
      </c>
      <c r="F493" s="58">
        <v>5</v>
      </c>
      <c r="G493" s="58"/>
      <c r="H493" s="58"/>
      <c r="I493" s="58"/>
      <c r="J493" s="58"/>
      <c r="K493" s="58"/>
      <c r="L493" s="59" t="s">
        <v>544</v>
      </c>
    </row>
    <row r="494" spans="2:12" ht="24" x14ac:dyDescent="0.2">
      <c r="B494" s="55">
        <v>42068</v>
      </c>
      <c r="C494" s="56">
        <v>0.5</v>
      </c>
      <c r="D494" s="57" t="s">
        <v>17</v>
      </c>
      <c r="E494" s="57" t="str">
        <f>VLOOKUP(D494,tblProjekt[],2,FALSE)</f>
        <v>Powerspreadsheet Win7</v>
      </c>
      <c r="F494" s="58">
        <v>44</v>
      </c>
      <c r="G494" s="58"/>
      <c r="H494" s="58"/>
      <c r="I494" s="58"/>
      <c r="J494" s="58"/>
      <c r="K494" s="58"/>
      <c r="L494" s="59" t="s">
        <v>545</v>
      </c>
    </row>
    <row r="495" spans="2:12" ht="24" x14ac:dyDescent="0.2">
      <c r="B495" s="55">
        <v>42068</v>
      </c>
      <c r="C495" s="56">
        <v>0.5</v>
      </c>
      <c r="D495" s="57" t="s">
        <v>84</v>
      </c>
      <c r="E495" s="57" t="str">
        <f>VLOOKUP(D495,tblProjekt[],2,FALSE)</f>
        <v>Infrastruktur cognovo</v>
      </c>
      <c r="F495" s="58"/>
      <c r="G495" s="58"/>
      <c r="H495" s="58"/>
      <c r="I495" s="58"/>
      <c r="J495" s="58"/>
      <c r="K495" s="58"/>
      <c r="L495" s="59" t="s">
        <v>546</v>
      </c>
    </row>
    <row r="496" spans="2:12" x14ac:dyDescent="0.2">
      <c r="B496" s="55">
        <v>42068</v>
      </c>
      <c r="C496" s="56">
        <v>0.25</v>
      </c>
      <c r="D496" s="57" t="s">
        <v>337</v>
      </c>
      <c r="E496" s="57" t="str">
        <f>VLOOKUP(D496,tblProjekt[],2,FALSE)</f>
        <v>Klosterfrau National</v>
      </c>
      <c r="F496" s="58">
        <v>48</v>
      </c>
      <c r="G496" s="58"/>
      <c r="H496" s="58"/>
      <c r="I496" s="58"/>
      <c r="J496" s="58"/>
      <c r="K496" s="58"/>
      <c r="L496" s="59" t="s">
        <v>547</v>
      </c>
    </row>
    <row r="497" spans="2:12" x14ac:dyDescent="0.2">
      <c r="B497" s="55">
        <v>42069</v>
      </c>
      <c r="C497" s="56">
        <v>0.25</v>
      </c>
      <c r="D497" s="57" t="s">
        <v>66</v>
      </c>
      <c r="E497" s="57" t="str">
        <f>VLOOKUP(D497,tblProjekt[],2,FALSE)</f>
        <v>PHS Calculator</v>
      </c>
      <c r="F497" s="58" t="s">
        <v>548</v>
      </c>
      <c r="G497" s="58"/>
      <c r="H497" s="58"/>
      <c r="I497" s="58"/>
      <c r="J497" s="58"/>
      <c r="K497" s="58"/>
      <c r="L497" s="59" t="s">
        <v>549</v>
      </c>
    </row>
    <row r="498" spans="2:12" x14ac:dyDescent="0.2">
      <c r="B498" s="55">
        <v>42069</v>
      </c>
      <c r="C498" s="56">
        <v>0.25</v>
      </c>
      <c r="D498" s="57" t="s">
        <v>17</v>
      </c>
      <c r="E498" s="57" t="str">
        <f>VLOOKUP(D498,tblProjekt[],2,FALSE)</f>
        <v>Powerspreadsheet Win7</v>
      </c>
      <c r="F498" s="58">
        <v>44</v>
      </c>
      <c r="G498" s="58"/>
      <c r="H498" s="58"/>
      <c r="I498" s="58"/>
      <c r="J498" s="58"/>
      <c r="K498" s="58"/>
      <c r="L498" s="59" t="s">
        <v>550</v>
      </c>
    </row>
    <row r="499" spans="2:12" x14ac:dyDescent="0.2">
      <c r="B499" s="55">
        <v>42069</v>
      </c>
      <c r="C499" s="56">
        <v>0.25</v>
      </c>
      <c r="D499" s="57" t="s">
        <v>17</v>
      </c>
      <c r="E499" s="57" t="str">
        <f>VLOOKUP(D499,tblProjekt[],2,FALSE)</f>
        <v>Powerspreadsheet Win7</v>
      </c>
      <c r="F499" s="58">
        <v>50</v>
      </c>
      <c r="G499" s="58"/>
      <c r="H499" s="58"/>
      <c r="I499" s="58"/>
      <c r="J499" s="58"/>
      <c r="K499" s="58"/>
      <c r="L499" s="59" t="s">
        <v>551</v>
      </c>
    </row>
    <row r="500" spans="2:12" ht="24" x14ac:dyDescent="0.2">
      <c r="B500" s="55">
        <v>42069</v>
      </c>
      <c r="C500" s="56">
        <v>0.25</v>
      </c>
      <c r="D500" s="57" t="s">
        <v>60</v>
      </c>
      <c r="E500" s="57" t="str">
        <f>VLOOKUP(D500,tblProjekt[],2,FALSE)</f>
        <v>Nutricia reports</v>
      </c>
      <c r="F500" s="58"/>
      <c r="G500" s="58"/>
      <c r="H500" s="58"/>
      <c r="I500" s="58"/>
      <c r="J500" s="58"/>
      <c r="K500" s="58"/>
      <c r="L500" s="59" t="s">
        <v>552</v>
      </c>
    </row>
    <row r="501" spans="2:12" ht="36" x14ac:dyDescent="0.2">
      <c r="B501" s="55">
        <v>42069</v>
      </c>
      <c r="C501" s="56">
        <v>1</v>
      </c>
      <c r="D501" s="57" t="s">
        <v>59</v>
      </c>
      <c r="E501" s="57" t="str">
        <f>VLOOKUP(D501,tblProjekt[],2,FALSE)</f>
        <v>Stada reports</v>
      </c>
      <c r="F501" s="58">
        <v>37</v>
      </c>
      <c r="G501" s="58"/>
      <c r="H501" s="58"/>
      <c r="I501" s="58"/>
      <c r="J501" s="58"/>
      <c r="K501" s="58"/>
      <c r="L501" s="59" t="s">
        <v>553</v>
      </c>
    </row>
    <row r="502" spans="2:12" x14ac:dyDescent="0.2">
      <c r="B502" s="55">
        <v>42069</v>
      </c>
      <c r="C502" s="56">
        <v>0.5</v>
      </c>
      <c r="D502" s="57" t="s">
        <v>84</v>
      </c>
      <c r="E502" s="57" t="str">
        <f>VLOOKUP(D502,tblProjekt[],2,FALSE)</f>
        <v>Infrastruktur cognovo</v>
      </c>
      <c r="F502" s="58"/>
      <c r="G502" s="58"/>
      <c r="H502" s="58"/>
      <c r="I502" s="58"/>
      <c r="J502" s="58"/>
      <c r="K502" s="58"/>
      <c r="L502" s="59" t="s">
        <v>223</v>
      </c>
    </row>
    <row r="503" spans="2:12" ht="24" x14ac:dyDescent="0.2">
      <c r="B503" s="55">
        <v>42069</v>
      </c>
      <c r="C503" s="56">
        <v>0.25</v>
      </c>
      <c r="D503" s="57" t="s">
        <v>66</v>
      </c>
      <c r="E503" s="57" t="str">
        <f>VLOOKUP(D503,tblProjekt[],2,FALSE)</f>
        <v>PHS Calculator</v>
      </c>
      <c r="F503" s="58">
        <v>69</v>
      </c>
      <c r="G503" s="58"/>
      <c r="H503" s="58"/>
      <c r="I503" s="58"/>
      <c r="J503" s="58"/>
      <c r="K503" s="58"/>
      <c r="L503" s="59" t="s">
        <v>554</v>
      </c>
    </row>
    <row r="504" spans="2:12" ht="36" x14ac:dyDescent="0.2">
      <c r="B504" s="55">
        <v>42069</v>
      </c>
      <c r="C504" s="56">
        <v>1.5</v>
      </c>
      <c r="D504" s="57" t="s">
        <v>66</v>
      </c>
      <c r="E504" s="57" t="str">
        <f>VLOOKUP(D504,tblProjekt[],2,FALSE)</f>
        <v>PHS Calculator</v>
      </c>
      <c r="F504" s="58">
        <v>70</v>
      </c>
      <c r="G504" s="58"/>
      <c r="H504" s="58"/>
      <c r="I504" s="58"/>
      <c r="J504" s="58"/>
      <c r="K504" s="58"/>
      <c r="L504" s="59" t="s">
        <v>555</v>
      </c>
    </row>
    <row r="505" spans="2:12" ht="24" x14ac:dyDescent="0.2">
      <c r="B505" s="55">
        <v>42069</v>
      </c>
      <c r="C505" s="56">
        <v>0.25</v>
      </c>
      <c r="D505" s="57" t="s">
        <v>66</v>
      </c>
      <c r="E505" s="57" t="str">
        <f>VLOOKUP(D505,tblProjekt[],2,FALSE)</f>
        <v>PHS Calculator</v>
      </c>
      <c r="F505" s="58">
        <v>68</v>
      </c>
      <c r="G505" s="58"/>
      <c r="H505" s="58"/>
      <c r="I505" s="58"/>
      <c r="J505" s="58"/>
      <c r="K505" s="58"/>
      <c r="L505" s="59" t="s">
        <v>556</v>
      </c>
    </row>
    <row r="506" spans="2:12" x14ac:dyDescent="0.2">
      <c r="B506" s="55">
        <v>42069</v>
      </c>
      <c r="C506" s="56">
        <v>0.25</v>
      </c>
      <c r="D506" s="57" t="s">
        <v>66</v>
      </c>
      <c r="E506" s="57" t="str">
        <f>VLOOKUP(D506,tblProjekt[],2,FALSE)</f>
        <v>PHS Calculator</v>
      </c>
      <c r="F506" s="58">
        <v>68</v>
      </c>
      <c r="G506" s="58"/>
      <c r="H506" s="58"/>
      <c r="I506" s="58"/>
      <c r="J506" s="58"/>
      <c r="K506" s="58"/>
      <c r="L506" s="59" t="s">
        <v>557</v>
      </c>
    </row>
    <row r="507" spans="2:12" ht="24" x14ac:dyDescent="0.2">
      <c r="B507" s="55">
        <v>42072</v>
      </c>
      <c r="C507" s="56">
        <v>0.75</v>
      </c>
      <c r="D507" s="57" t="s">
        <v>84</v>
      </c>
      <c r="E507" s="57" t="str">
        <f>VLOOKUP(D507,tblProjekt[],2,FALSE)</f>
        <v>Infrastruktur cognovo</v>
      </c>
      <c r="F507" s="58">
        <v>1</v>
      </c>
      <c r="G507" s="58"/>
      <c r="H507" s="58"/>
      <c r="I507" s="58"/>
      <c r="J507" s="58"/>
      <c r="K507" s="58"/>
      <c r="L507" s="59" t="s">
        <v>558</v>
      </c>
    </row>
    <row r="508" spans="2:12" ht="24" x14ac:dyDescent="0.2">
      <c r="B508" s="55">
        <v>42072</v>
      </c>
      <c r="C508" s="56">
        <v>0.25</v>
      </c>
      <c r="D508" s="57" t="s">
        <v>66</v>
      </c>
      <c r="E508" s="57" t="str">
        <f>VLOOKUP(D508,tblProjekt[],2,FALSE)</f>
        <v>PHS Calculator</v>
      </c>
      <c r="F508" s="58" t="s">
        <v>559</v>
      </c>
      <c r="G508" s="58"/>
      <c r="H508" s="58"/>
      <c r="I508" s="58"/>
      <c r="J508" s="58"/>
      <c r="K508" s="58"/>
      <c r="L508" s="59" t="s">
        <v>560</v>
      </c>
    </row>
    <row r="509" spans="2:12" ht="60" x14ac:dyDescent="0.2">
      <c r="B509" s="55">
        <v>42072</v>
      </c>
      <c r="C509" s="56">
        <v>5.5</v>
      </c>
      <c r="D509" s="57" t="s">
        <v>59</v>
      </c>
      <c r="E509" s="57" t="str">
        <f>VLOOKUP(D509,tblProjekt[],2,FALSE)</f>
        <v>Stada reports</v>
      </c>
      <c r="F509" s="58">
        <v>37</v>
      </c>
      <c r="G509" s="58"/>
      <c r="H509" s="58"/>
      <c r="I509" s="58"/>
      <c r="J509" s="58"/>
      <c r="K509" s="58"/>
      <c r="L509" s="59" t="s">
        <v>561</v>
      </c>
    </row>
    <row r="510" spans="2:12" x14ac:dyDescent="0.2">
      <c r="B510" s="55">
        <v>42074</v>
      </c>
      <c r="C510" s="56">
        <v>0.25</v>
      </c>
      <c r="D510" s="57" t="s">
        <v>84</v>
      </c>
      <c r="E510" s="57" t="str">
        <f>VLOOKUP(D510,tblProjekt[],2,FALSE)</f>
        <v>Infrastruktur cognovo</v>
      </c>
      <c r="F510" s="58"/>
      <c r="G510" s="58"/>
      <c r="H510" s="58"/>
      <c r="I510" s="58"/>
      <c r="J510" s="58"/>
      <c r="K510" s="58"/>
      <c r="L510" s="59" t="s">
        <v>223</v>
      </c>
    </row>
    <row r="511" spans="2:12" x14ac:dyDescent="0.2">
      <c r="B511" s="55">
        <v>42074</v>
      </c>
      <c r="C511" s="56">
        <v>0.25</v>
      </c>
      <c r="D511" s="57" t="s">
        <v>17</v>
      </c>
      <c r="E511" s="57" t="str">
        <f>VLOOKUP(D511,tblProjekt[],2,FALSE)</f>
        <v>Powerspreadsheet Win7</v>
      </c>
      <c r="F511" s="58">
        <v>50</v>
      </c>
      <c r="G511" s="58"/>
      <c r="H511" s="58"/>
      <c r="I511" s="58"/>
      <c r="J511" s="58"/>
      <c r="K511" s="58"/>
      <c r="L511" s="59" t="s">
        <v>565</v>
      </c>
    </row>
    <row r="512" spans="2:12" ht="24" x14ac:dyDescent="0.2">
      <c r="B512" s="55">
        <v>42074</v>
      </c>
      <c r="C512" s="56">
        <v>0.25</v>
      </c>
      <c r="D512" s="57" t="s">
        <v>66</v>
      </c>
      <c r="E512" s="57" t="str">
        <f>VLOOKUP(D512,tblProjekt[],2,FALSE)</f>
        <v>PHS Calculator</v>
      </c>
      <c r="F512" s="58" t="s">
        <v>562</v>
      </c>
      <c r="G512" s="58"/>
      <c r="H512" s="58"/>
      <c r="I512" s="58"/>
      <c r="J512" s="58"/>
      <c r="K512" s="58"/>
      <c r="L512" s="59" t="s">
        <v>563</v>
      </c>
    </row>
    <row r="513" spans="2:12" x14ac:dyDescent="0.2">
      <c r="B513" s="55">
        <v>42074</v>
      </c>
      <c r="C513" s="56">
        <v>1.5</v>
      </c>
      <c r="D513" s="57" t="s">
        <v>66</v>
      </c>
      <c r="E513" s="57" t="str">
        <f>VLOOKUP(D513,tblProjekt[],2,FALSE)</f>
        <v>PHS Calculator</v>
      </c>
      <c r="F513" s="58">
        <v>69</v>
      </c>
      <c r="G513" s="58"/>
      <c r="H513" s="58"/>
      <c r="I513" s="58"/>
      <c r="J513" s="58"/>
      <c r="K513" s="58"/>
      <c r="L513" s="59" t="s">
        <v>227</v>
      </c>
    </row>
    <row r="514" spans="2:12" ht="36" x14ac:dyDescent="0.2">
      <c r="B514" s="55">
        <v>42074</v>
      </c>
      <c r="C514" s="56">
        <v>2</v>
      </c>
      <c r="D514" s="57" t="s">
        <v>17</v>
      </c>
      <c r="E514" s="57" t="str">
        <f>VLOOKUP(D514,tblProjekt[],2,FALSE)</f>
        <v>Powerspreadsheet Win7</v>
      </c>
      <c r="F514" s="58">
        <v>50</v>
      </c>
      <c r="G514" s="58"/>
      <c r="H514" s="58"/>
      <c r="I514" s="58"/>
      <c r="J514" s="58"/>
      <c r="K514" s="58"/>
      <c r="L514" s="59" t="s">
        <v>564</v>
      </c>
    </row>
    <row r="515" spans="2:12" ht="24" x14ac:dyDescent="0.2">
      <c r="B515" s="55">
        <v>42074</v>
      </c>
      <c r="C515" s="56">
        <v>1.5</v>
      </c>
      <c r="D515" s="57" t="s">
        <v>17</v>
      </c>
      <c r="E515" s="57" t="str">
        <f>VLOOKUP(D515,tblProjekt[],2,FALSE)</f>
        <v>Powerspreadsheet Win7</v>
      </c>
      <c r="F515" s="58">
        <v>52</v>
      </c>
      <c r="G515" s="58"/>
      <c r="H515" s="58"/>
      <c r="I515" s="58"/>
      <c r="J515" s="58"/>
      <c r="K515" s="58"/>
      <c r="L515" s="59" t="s">
        <v>566</v>
      </c>
    </row>
    <row r="516" spans="2:12" x14ac:dyDescent="0.2">
      <c r="B516" s="55">
        <v>42074</v>
      </c>
      <c r="C516" s="56">
        <v>0.25</v>
      </c>
      <c r="D516" s="57" t="s">
        <v>63</v>
      </c>
      <c r="E516" s="57" t="str">
        <f>VLOOKUP(D516,tblProjekt[],2,FALSE)</f>
        <v>Klosterfrau Mass Market</v>
      </c>
      <c r="F516" s="58">
        <v>53</v>
      </c>
      <c r="G516" s="58"/>
      <c r="H516" s="58"/>
      <c r="I516" s="58"/>
      <c r="J516" s="58"/>
      <c r="K516" s="58"/>
      <c r="L516" s="59" t="s">
        <v>567</v>
      </c>
    </row>
    <row r="517" spans="2:12" x14ac:dyDescent="0.2">
      <c r="B517" s="55">
        <v>42075</v>
      </c>
      <c r="C517" s="56">
        <v>0.25</v>
      </c>
      <c r="D517" s="57" t="s">
        <v>66</v>
      </c>
      <c r="E517" s="57" t="str">
        <f>VLOOKUP(D517,tblProjekt[],2,FALSE)</f>
        <v>PHS Calculator</v>
      </c>
      <c r="F517" s="58" t="s">
        <v>568</v>
      </c>
      <c r="G517" s="58"/>
      <c r="H517" s="58"/>
      <c r="I517" s="58"/>
      <c r="J517" s="58"/>
      <c r="K517" s="58"/>
      <c r="L517" s="59" t="s">
        <v>569</v>
      </c>
    </row>
    <row r="518" spans="2:12" x14ac:dyDescent="0.2">
      <c r="B518" s="55">
        <v>42075</v>
      </c>
      <c r="C518" s="56">
        <v>0.5</v>
      </c>
      <c r="D518" s="57" t="s">
        <v>84</v>
      </c>
      <c r="E518" s="57" t="str">
        <f>VLOOKUP(D518,tblProjekt[],2,FALSE)</f>
        <v>Infrastruktur cognovo</v>
      </c>
      <c r="F518" s="58">
        <v>13</v>
      </c>
      <c r="G518" s="58"/>
      <c r="H518" s="58"/>
      <c r="I518" s="58"/>
      <c r="J518" s="58"/>
      <c r="K518" s="58"/>
      <c r="L518" s="59" t="s">
        <v>570</v>
      </c>
    </row>
    <row r="519" spans="2:12" x14ac:dyDescent="0.2">
      <c r="B519" s="55">
        <v>42075</v>
      </c>
      <c r="C519" s="56">
        <v>1.75</v>
      </c>
      <c r="D519" s="57" t="s">
        <v>63</v>
      </c>
      <c r="E519" s="57" t="str">
        <f>VLOOKUP(D519,tblProjekt[],2,FALSE)</f>
        <v>Klosterfrau Mass Market</v>
      </c>
      <c r="F519" s="58">
        <v>53</v>
      </c>
      <c r="G519" s="58"/>
      <c r="H519" s="58"/>
      <c r="I519" s="58"/>
      <c r="J519" s="58"/>
      <c r="K519" s="58"/>
      <c r="L519" s="59" t="s">
        <v>571</v>
      </c>
    </row>
    <row r="520" spans="2:12" x14ac:dyDescent="0.2">
      <c r="B520" s="55">
        <v>42075</v>
      </c>
      <c r="C520" s="56">
        <v>0.5</v>
      </c>
      <c r="D520" s="57" t="s">
        <v>84</v>
      </c>
      <c r="E520" s="57" t="str">
        <f>VLOOKUP(D520,tblProjekt[],2,FALSE)</f>
        <v>Infrastruktur cognovo</v>
      </c>
      <c r="F520" s="58">
        <v>1</v>
      </c>
      <c r="G520" s="58"/>
      <c r="H520" s="58"/>
      <c r="I520" s="58"/>
      <c r="J520" s="58"/>
      <c r="K520" s="58"/>
      <c r="L520" s="59" t="s">
        <v>572</v>
      </c>
    </row>
    <row r="521" spans="2:12" ht="24" x14ac:dyDescent="0.2">
      <c r="B521" s="55">
        <v>42075</v>
      </c>
      <c r="C521" s="56">
        <v>1.5</v>
      </c>
      <c r="D521" s="57" t="s">
        <v>17</v>
      </c>
      <c r="E521" s="57" t="str">
        <f>VLOOKUP(D521,tblProjekt[],2,FALSE)</f>
        <v>Powerspreadsheet Win7</v>
      </c>
      <c r="F521" s="58">
        <v>29</v>
      </c>
      <c r="G521" s="58"/>
      <c r="H521" s="58"/>
      <c r="I521" s="58"/>
      <c r="J521" s="58"/>
      <c r="K521" s="58"/>
      <c r="L521" s="59" t="s">
        <v>573</v>
      </c>
    </row>
    <row r="522" spans="2:12" x14ac:dyDescent="0.2">
      <c r="B522" s="55">
        <v>42075</v>
      </c>
      <c r="C522" s="56">
        <v>1</v>
      </c>
      <c r="D522" s="57" t="s">
        <v>84</v>
      </c>
      <c r="E522" s="57" t="str">
        <f>VLOOKUP(D522,tblProjekt[],2,FALSE)</f>
        <v>Infrastruktur cognovo</v>
      </c>
      <c r="F522" s="58">
        <v>1</v>
      </c>
      <c r="G522" s="58"/>
      <c r="H522" s="58"/>
      <c r="I522" s="58"/>
      <c r="J522" s="58"/>
      <c r="K522" s="58"/>
      <c r="L522" s="59" t="s">
        <v>574</v>
      </c>
    </row>
    <row r="523" spans="2:12" x14ac:dyDescent="0.2">
      <c r="B523" s="55">
        <v>42075</v>
      </c>
      <c r="C523" s="56">
        <v>0.25</v>
      </c>
      <c r="D523" s="57" t="s">
        <v>63</v>
      </c>
      <c r="E523" s="57" t="str">
        <f>VLOOKUP(D523,tblProjekt[],2,FALSE)</f>
        <v>Klosterfrau Mass Market</v>
      </c>
      <c r="F523" s="58">
        <v>55</v>
      </c>
      <c r="G523" s="58"/>
      <c r="H523" s="58"/>
      <c r="I523" s="58"/>
      <c r="J523" s="58"/>
      <c r="K523" s="58"/>
      <c r="L523" s="59" t="s">
        <v>575</v>
      </c>
    </row>
    <row r="524" spans="2:12" ht="24" x14ac:dyDescent="0.2">
      <c r="B524" s="55">
        <v>42075</v>
      </c>
      <c r="C524" s="56">
        <v>0.5</v>
      </c>
      <c r="D524" s="57" t="s">
        <v>17</v>
      </c>
      <c r="E524" s="57" t="str">
        <f>VLOOKUP(D524,tblProjekt[],2,FALSE)</f>
        <v>Powerspreadsheet Win7</v>
      </c>
      <c r="F524" s="58">
        <v>56</v>
      </c>
      <c r="G524" s="58"/>
      <c r="H524" s="58"/>
      <c r="I524" s="58"/>
      <c r="J524" s="58"/>
      <c r="K524" s="58"/>
      <c r="L524" s="59" t="s">
        <v>576</v>
      </c>
    </row>
    <row r="525" spans="2:12" x14ac:dyDescent="0.2">
      <c r="B525" s="55">
        <v>42076</v>
      </c>
      <c r="C525" s="56">
        <v>0.25</v>
      </c>
      <c r="D525" s="57" t="s">
        <v>84</v>
      </c>
      <c r="E525" s="57" t="str">
        <f>VLOOKUP(D525,tblProjekt[],2,FALSE)</f>
        <v>Infrastruktur cognovo</v>
      </c>
      <c r="F525" s="58"/>
      <c r="G525" s="58"/>
      <c r="H525" s="58"/>
      <c r="I525" s="58"/>
      <c r="J525" s="58"/>
      <c r="K525" s="58"/>
      <c r="L525" s="59" t="s">
        <v>223</v>
      </c>
    </row>
    <row r="526" spans="2:12" x14ac:dyDescent="0.2">
      <c r="B526" s="55">
        <v>42076</v>
      </c>
      <c r="C526" s="56">
        <v>0.25</v>
      </c>
      <c r="D526" s="57" t="s">
        <v>84</v>
      </c>
      <c r="E526" s="57" t="str">
        <f>VLOOKUP(D526,tblProjekt[],2,FALSE)</f>
        <v>Infrastruktur cognovo</v>
      </c>
      <c r="F526" s="58">
        <v>16</v>
      </c>
      <c r="G526" s="58"/>
      <c r="H526" s="58"/>
      <c r="I526" s="58"/>
      <c r="J526" s="58"/>
      <c r="K526" s="58"/>
      <c r="L526" s="59" t="s">
        <v>577</v>
      </c>
    </row>
    <row r="527" spans="2:12" ht="24" x14ac:dyDescent="0.2">
      <c r="B527" s="55">
        <v>42076</v>
      </c>
      <c r="C527" s="56">
        <v>0.25</v>
      </c>
      <c r="D527" s="57" t="s">
        <v>63</v>
      </c>
      <c r="E527" s="57" t="str">
        <f>VLOOKUP(D527,tblProjekt[],2,FALSE)</f>
        <v>Klosterfrau Mass Market</v>
      </c>
      <c r="F527" s="58">
        <v>57</v>
      </c>
      <c r="G527" s="58"/>
      <c r="H527" s="58"/>
      <c r="I527" s="58"/>
      <c r="J527" s="58"/>
      <c r="K527" s="58"/>
      <c r="L527" s="59" t="s">
        <v>578</v>
      </c>
    </row>
    <row r="528" spans="2:12" x14ac:dyDescent="0.2">
      <c r="B528" s="55">
        <v>42076</v>
      </c>
      <c r="C528" s="56">
        <v>3</v>
      </c>
      <c r="D528" s="57" t="s">
        <v>84</v>
      </c>
      <c r="E528" s="57" t="str">
        <f>VLOOKUP(D528,tblProjekt[],2,FALSE)</f>
        <v>Infrastruktur cognovo</v>
      </c>
      <c r="F528" s="58">
        <v>1</v>
      </c>
      <c r="G528" s="58"/>
      <c r="H528" s="58"/>
      <c r="I528" s="58"/>
      <c r="J528" s="58"/>
      <c r="K528" s="58"/>
      <c r="L528" s="59" t="s">
        <v>579</v>
      </c>
    </row>
    <row r="529" spans="2:12" ht="24" x14ac:dyDescent="0.2">
      <c r="B529" s="55">
        <v>42076</v>
      </c>
      <c r="C529" s="56">
        <v>0.5</v>
      </c>
      <c r="D529" s="57" t="s">
        <v>63</v>
      </c>
      <c r="E529" s="57" t="str">
        <f>VLOOKUP(D529,tblProjekt[],2,FALSE)</f>
        <v>Klosterfrau Mass Market</v>
      </c>
      <c r="F529" s="58">
        <v>58</v>
      </c>
      <c r="G529" s="58"/>
      <c r="H529" s="58"/>
      <c r="I529" s="58"/>
      <c r="J529" s="58"/>
      <c r="K529" s="58"/>
      <c r="L529" s="59" t="s">
        <v>580</v>
      </c>
    </row>
    <row r="530" spans="2:12" ht="24" x14ac:dyDescent="0.2">
      <c r="B530" s="55">
        <v>42076</v>
      </c>
      <c r="C530" s="56">
        <v>1.75</v>
      </c>
      <c r="D530" s="57" t="s">
        <v>17</v>
      </c>
      <c r="E530" s="57" t="str">
        <f>VLOOKUP(D530,tblProjekt[],2,FALSE)</f>
        <v>Powerspreadsheet Win7</v>
      </c>
      <c r="F530" s="58">
        <v>52</v>
      </c>
      <c r="G530" s="58"/>
      <c r="H530" s="58"/>
      <c r="I530" s="58"/>
      <c r="J530" s="58"/>
      <c r="K530" s="58"/>
      <c r="L530" s="59" t="s">
        <v>581</v>
      </c>
    </row>
    <row r="531" spans="2:12" ht="24" x14ac:dyDescent="0.2">
      <c r="B531" s="55">
        <v>42076</v>
      </c>
      <c r="C531" s="56">
        <v>0.25</v>
      </c>
      <c r="D531" s="57" t="s">
        <v>63</v>
      </c>
      <c r="E531" s="57" t="str">
        <f>VLOOKUP(D531,tblProjekt[],2,FALSE)</f>
        <v>Klosterfrau Mass Market</v>
      </c>
      <c r="F531" s="58">
        <v>53</v>
      </c>
      <c r="G531" s="58"/>
      <c r="H531" s="58"/>
      <c r="I531" s="58"/>
      <c r="J531" s="58"/>
      <c r="K531" s="58"/>
      <c r="L531" s="59" t="s">
        <v>582</v>
      </c>
    </row>
    <row r="532" spans="2:12" x14ac:dyDescent="0.2">
      <c r="B532" s="55">
        <v>42079</v>
      </c>
      <c r="C532" s="56">
        <v>0.5</v>
      </c>
      <c r="D532" s="57" t="s">
        <v>84</v>
      </c>
      <c r="E532" s="57" t="str">
        <f>VLOOKUP(D532,tblProjekt[],2,FALSE)</f>
        <v>Infrastruktur cognovo</v>
      </c>
      <c r="F532" s="58">
        <v>16</v>
      </c>
      <c r="G532" s="58"/>
      <c r="H532" s="58"/>
      <c r="I532" s="58"/>
      <c r="J532" s="58"/>
      <c r="K532" s="58"/>
      <c r="L532" s="59" t="s">
        <v>583</v>
      </c>
    </row>
    <row r="533" spans="2:12" ht="24" x14ac:dyDescent="0.2">
      <c r="B533" s="55">
        <v>42079</v>
      </c>
      <c r="C533" s="56">
        <v>1</v>
      </c>
      <c r="D533" s="57" t="s">
        <v>66</v>
      </c>
      <c r="E533" s="57" t="str">
        <f>VLOOKUP(D533,tblProjekt[],2,FALSE)</f>
        <v>PHS Calculator</v>
      </c>
      <c r="F533" s="58">
        <v>70</v>
      </c>
      <c r="G533" s="58"/>
      <c r="H533" s="58"/>
      <c r="I533" s="58"/>
      <c r="J533" s="58"/>
      <c r="K533" s="58"/>
      <c r="L533" s="59" t="s">
        <v>584</v>
      </c>
    </row>
    <row r="534" spans="2:12" x14ac:dyDescent="0.2">
      <c r="B534" s="55">
        <v>42079</v>
      </c>
      <c r="C534" s="56">
        <v>0.75</v>
      </c>
      <c r="D534" s="57" t="s">
        <v>66</v>
      </c>
      <c r="E534" s="57" t="str">
        <f>VLOOKUP(D534,tblProjekt[],2,FALSE)</f>
        <v>PHS Calculator</v>
      </c>
      <c r="F534" s="58">
        <v>70</v>
      </c>
      <c r="G534" s="58"/>
      <c r="H534" s="58"/>
      <c r="I534" s="58"/>
      <c r="J534" s="58"/>
      <c r="K534" s="58"/>
      <c r="L534" s="59" t="s">
        <v>511</v>
      </c>
    </row>
    <row r="535" spans="2:12" ht="24" x14ac:dyDescent="0.2">
      <c r="B535" s="55">
        <v>42079</v>
      </c>
      <c r="C535" s="56">
        <v>1</v>
      </c>
      <c r="D535" s="57" t="s">
        <v>66</v>
      </c>
      <c r="E535" s="57" t="str">
        <f>VLOOKUP(D535,tblProjekt[],2,FALSE)</f>
        <v>PHS Calculator</v>
      </c>
      <c r="F535" s="58">
        <v>70</v>
      </c>
      <c r="G535" s="58"/>
      <c r="H535" s="58"/>
      <c r="I535" s="58"/>
      <c r="J535" s="58"/>
      <c r="K535" s="58"/>
      <c r="L535" s="59" t="s">
        <v>585</v>
      </c>
    </row>
    <row r="536" spans="2:12" ht="24" x14ac:dyDescent="0.2">
      <c r="B536" s="55">
        <v>42079</v>
      </c>
      <c r="C536" s="56">
        <v>2</v>
      </c>
      <c r="D536" s="57" t="s">
        <v>66</v>
      </c>
      <c r="E536" s="57" t="str">
        <f>VLOOKUP(D536,tblProjekt[],2,FALSE)</f>
        <v>PHS Calculator</v>
      </c>
      <c r="F536" s="58">
        <v>78</v>
      </c>
      <c r="G536" s="58"/>
      <c r="H536" s="58"/>
      <c r="I536" s="58"/>
      <c r="J536" s="58"/>
      <c r="K536" s="58"/>
      <c r="L536" s="59" t="s">
        <v>586</v>
      </c>
    </row>
    <row r="537" spans="2:12" ht="24" x14ac:dyDescent="0.2">
      <c r="B537" s="55">
        <v>42080</v>
      </c>
      <c r="C537" s="56">
        <v>0.25</v>
      </c>
      <c r="D537" s="57" t="s">
        <v>84</v>
      </c>
      <c r="E537" s="57" t="str">
        <f>VLOOKUP(D537,tblProjekt[],2,FALSE)</f>
        <v>Infrastruktur cognovo</v>
      </c>
      <c r="F537" s="58"/>
      <c r="G537" s="58"/>
      <c r="H537" s="58"/>
      <c r="I537" s="58"/>
      <c r="J537" s="58"/>
      <c r="K537" s="58"/>
      <c r="L537" s="59" t="s">
        <v>587</v>
      </c>
    </row>
    <row r="538" spans="2:12" ht="24" x14ac:dyDescent="0.2">
      <c r="B538" s="55">
        <v>42080</v>
      </c>
      <c r="C538" s="56">
        <v>0.75</v>
      </c>
      <c r="D538" s="57" t="s">
        <v>66</v>
      </c>
      <c r="E538" s="57" t="str">
        <f>VLOOKUP(D538,tblProjekt[],2,FALSE)</f>
        <v>PHS Calculator</v>
      </c>
      <c r="F538" s="58">
        <v>79</v>
      </c>
      <c r="G538" s="58"/>
      <c r="H538" s="58"/>
      <c r="I538" s="58"/>
      <c r="J538" s="58"/>
      <c r="K538" s="58"/>
      <c r="L538" s="59" t="s">
        <v>588</v>
      </c>
    </row>
    <row r="539" spans="2:12" ht="24" x14ac:dyDescent="0.2">
      <c r="B539" s="55">
        <v>42080</v>
      </c>
      <c r="C539" s="56">
        <v>0.25</v>
      </c>
      <c r="D539" s="57" t="s">
        <v>66</v>
      </c>
      <c r="E539" s="57" t="str">
        <f>VLOOKUP(D539,tblProjekt[],2,FALSE)</f>
        <v>PHS Calculator</v>
      </c>
      <c r="F539" s="58">
        <v>80</v>
      </c>
      <c r="G539" s="58"/>
      <c r="H539" s="58"/>
      <c r="I539" s="58"/>
      <c r="J539" s="58"/>
      <c r="K539" s="58"/>
      <c r="L539" s="59" t="s">
        <v>589</v>
      </c>
    </row>
    <row r="540" spans="2:12" ht="24" x14ac:dyDescent="0.2">
      <c r="B540" s="55">
        <v>42080</v>
      </c>
      <c r="C540" s="56">
        <v>0.25</v>
      </c>
      <c r="D540" s="57" t="s">
        <v>427</v>
      </c>
      <c r="E540" s="57" t="str">
        <f>VLOOKUP(D540,tblProjekt[],2,FALSE)</f>
        <v>Calculator übergreifend</v>
      </c>
      <c r="F540" s="58">
        <v>81</v>
      </c>
      <c r="G540" s="58"/>
      <c r="H540" s="58"/>
      <c r="I540" s="58"/>
      <c r="J540" s="58"/>
      <c r="K540" s="58"/>
      <c r="L540" s="59" t="s">
        <v>590</v>
      </c>
    </row>
    <row r="541" spans="2:12" ht="24" x14ac:dyDescent="0.2">
      <c r="B541" s="55">
        <v>42080</v>
      </c>
      <c r="C541" s="56">
        <v>0.75</v>
      </c>
      <c r="D541" s="57" t="s">
        <v>427</v>
      </c>
      <c r="E541" s="57" t="str">
        <f>VLOOKUP(D541,tblProjekt[],2,FALSE)</f>
        <v>Calculator übergreifend</v>
      </c>
      <c r="F541" s="58">
        <v>82</v>
      </c>
      <c r="G541" s="58"/>
      <c r="H541" s="58"/>
      <c r="I541" s="58"/>
      <c r="J541" s="58"/>
      <c r="K541" s="58"/>
      <c r="L541" s="59" t="s">
        <v>591</v>
      </c>
    </row>
    <row r="542" spans="2:12" ht="24" x14ac:dyDescent="0.2">
      <c r="B542" s="55">
        <v>42080</v>
      </c>
      <c r="C542" s="56">
        <v>0.25</v>
      </c>
      <c r="D542" s="57" t="s">
        <v>427</v>
      </c>
      <c r="E542" s="57" t="str">
        <f>VLOOKUP(D542,tblProjekt[],2,FALSE)</f>
        <v>Calculator übergreifend</v>
      </c>
      <c r="F542" s="58">
        <v>83</v>
      </c>
      <c r="G542" s="58"/>
      <c r="H542" s="58"/>
      <c r="I542" s="58"/>
      <c r="J542" s="58"/>
      <c r="K542" s="58"/>
      <c r="L542" s="59" t="s">
        <v>592</v>
      </c>
    </row>
    <row r="543" spans="2:12" ht="24" x14ac:dyDescent="0.2">
      <c r="B543" s="55">
        <v>42080</v>
      </c>
      <c r="C543" s="56">
        <v>0.5</v>
      </c>
      <c r="D543" s="57" t="s">
        <v>84</v>
      </c>
      <c r="E543" s="57" t="str">
        <f>VLOOKUP(D543,tblProjekt[],2,FALSE)</f>
        <v>Infrastruktur cognovo</v>
      </c>
      <c r="F543" s="58"/>
      <c r="G543" s="58"/>
      <c r="H543" s="58"/>
      <c r="I543" s="58"/>
      <c r="J543" s="58"/>
      <c r="K543" s="58"/>
      <c r="L543" s="59" t="s">
        <v>593</v>
      </c>
    </row>
    <row r="544" spans="2:12" ht="24" x14ac:dyDescent="0.2">
      <c r="B544" s="55">
        <v>42080</v>
      </c>
      <c r="C544" s="56">
        <v>0.25</v>
      </c>
      <c r="D544" s="57" t="s">
        <v>63</v>
      </c>
      <c r="E544" s="57" t="str">
        <f>VLOOKUP(D544,tblProjekt[],2,FALSE)</f>
        <v>Klosterfrau Mass Market</v>
      </c>
      <c r="F544" s="58">
        <v>59</v>
      </c>
      <c r="G544" s="58"/>
      <c r="H544" s="58"/>
      <c r="I544" s="58"/>
      <c r="J544" s="58"/>
      <c r="K544" s="58"/>
      <c r="L544" s="59" t="s">
        <v>594</v>
      </c>
    </row>
    <row r="545" spans="2:12" x14ac:dyDescent="0.2">
      <c r="B545" s="55">
        <v>42080</v>
      </c>
      <c r="C545" s="56">
        <v>1.5</v>
      </c>
      <c r="D545" s="57" t="s">
        <v>6</v>
      </c>
      <c r="E545" s="57" t="str">
        <f>VLOOKUP(D545,tblProjekt[],2,FALSE)</f>
        <v>Produktionsportal 2</v>
      </c>
      <c r="F545" s="58">
        <v>30</v>
      </c>
      <c r="G545" s="58"/>
      <c r="H545" s="58"/>
      <c r="I545" s="58"/>
      <c r="J545" s="58"/>
      <c r="K545" s="58"/>
      <c r="L545" s="59" t="s">
        <v>595</v>
      </c>
    </row>
    <row r="546" spans="2:12" ht="24" x14ac:dyDescent="0.2">
      <c r="B546" s="55">
        <v>42080</v>
      </c>
      <c r="C546" s="56">
        <v>1</v>
      </c>
      <c r="D546" s="57" t="s">
        <v>427</v>
      </c>
      <c r="E546" s="57" t="str">
        <f>VLOOKUP(D546,tblProjekt[],2,FALSE)</f>
        <v>Calculator übergreifend</v>
      </c>
      <c r="F546" s="58">
        <v>84</v>
      </c>
      <c r="G546" s="58"/>
      <c r="H546" s="58"/>
      <c r="I546" s="58"/>
      <c r="J546" s="58"/>
      <c r="K546" s="58"/>
      <c r="L546" s="59" t="s">
        <v>596</v>
      </c>
    </row>
    <row r="547" spans="2:12" x14ac:dyDescent="0.2">
      <c r="B547" s="55">
        <v>42080</v>
      </c>
      <c r="C547" s="56">
        <v>0.25</v>
      </c>
      <c r="D547" s="57" t="s">
        <v>66</v>
      </c>
      <c r="E547" s="57" t="str">
        <f>VLOOKUP(D547,tblProjekt[],2,FALSE)</f>
        <v>PHS Calculator</v>
      </c>
      <c r="F547" s="58">
        <v>78</v>
      </c>
      <c r="G547" s="58"/>
      <c r="H547" s="58"/>
      <c r="I547" s="58"/>
      <c r="J547" s="58"/>
      <c r="K547" s="58"/>
      <c r="L547" s="59" t="s">
        <v>597</v>
      </c>
    </row>
    <row r="548" spans="2:12" x14ac:dyDescent="0.2">
      <c r="B548" s="55">
        <v>42081</v>
      </c>
      <c r="C548" s="56">
        <v>1</v>
      </c>
      <c r="D548" s="57" t="s">
        <v>59</v>
      </c>
      <c r="E548" s="57" t="str">
        <f>VLOOKUP(D548,tblProjekt[],2,FALSE)</f>
        <v>Stada reports</v>
      </c>
      <c r="F548" s="58" t="s">
        <v>598</v>
      </c>
      <c r="G548" s="58"/>
      <c r="H548" s="58"/>
      <c r="I548" s="58"/>
      <c r="J548" s="58"/>
      <c r="K548" s="58"/>
      <c r="L548" s="59" t="s">
        <v>599</v>
      </c>
    </row>
    <row r="549" spans="2:12" x14ac:dyDescent="0.2">
      <c r="B549" s="55">
        <v>42081</v>
      </c>
      <c r="C549" s="56">
        <v>0.25</v>
      </c>
      <c r="D549" s="57" t="s">
        <v>60</v>
      </c>
      <c r="E549" s="57" t="str">
        <f>VLOOKUP(D549,tblProjekt[],2,FALSE)</f>
        <v>Nutricia reports</v>
      </c>
      <c r="F549" s="58">
        <v>49</v>
      </c>
      <c r="G549" s="58"/>
      <c r="H549" s="58"/>
      <c r="I549" s="58"/>
      <c r="J549" s="58"/>
      <c r="K549" s="58"/>
      <c r="L549" s="59" t="s">
        <v>600</v>
      </c>
    </row>
    <row r="550" spans="2:12" ht="36" x14ac:dyDescent="0.2">
      <c r="B550" s="55">
        <v>42081</v>
      </c>
      <c r="C550" s="56">
        <v>4.25</v>
      </c>
      <c r="D550" s="57" t="s">
        <v>6</v>
      </c>
      <c r="E550" s="57" t="str">
        <f>VLOOKUP(D550,tblProjekt[],2,FALSE)</f>
        <v>Produktionsportal 2</v>
      </c>
      <c r="F550" s="58">
        <v>30</v>
      </c>
      <c r="G550" s="58"/>
      <c r="H550" s="58"/>
      <c r="I550" s="58"/>
      <c r="J550" s="58"/>
      <c r="K550" s="58"/>
      <c r="L550" s="59" t="s">
        <v>601</v>
      </c>
    </row>
    <row r="551" spans="2:12" ht="24" x14ac:dyDescent="0.2">
      <c r="B551" s="55">
        <v>42081</v>
      </c>
      <c r="C551" s="56">
        <v>0.25</v>
      </c>
      <c r="D551" s="57" t="s">
        <v>17</v>
      </c>
      <c r="E551" s="57" t="str">
        <f>VLOOKUP(D551,tblProjekt[],2,FALSE)</f>
        <v>Powerspreadsheet Win7</v>
      </c>
      <c r="F551" s="58"/>
      <c r="G551" s="58"/>
      <c r="H551" s="58"/>
      <c r="I551" s="58"/>
      <c r="J551" s="58"/>
      <c r="K551" s="58"/>
      <c r="L551" s="59" t="s">
        <v>602</v>
      </c>
    </row>
    <row r="552" spans="2:12" ht="24" x14ac:dyDescent="0.2">
      <c r="B552" s="55">
        <v>42081</v>
      </c>
      <c r="C552" s="56">
        <v>0.5</v>
      </c>
      <c r="D552" s="57" t="s">
        <v>66</v>
      </c>
      <c r="E552" s="57" t="str">
        <f>VLOOKUP(D552,tblProjekt[],2,FALSE)</f>
        <v>PHS Calculator</v>
      </c>
      <c r="F552" s="58">
        <v>80</v>
      </c>
      <c r="G552" s="58"/>
      <c r="H552" s="58"/>
      <c r="I552" s="58"/>
      <c r="J552" s="58"/>
      <c r="K552" s="58"/>
      <c r="L552" s="59" t="s">
        <v>603</v>
      </c>
    </row>
    <row r="553" spans="2:12" ht="24" x14ac:dyDescent="0.2">
      <c r="B553" s="55">
        <v>42081</v>
      </c>
      <c r="C553" s="56">
        <v>0.25</v>
      </c>
      <c r="D553" s="57" t="s">
        <v>427</v>
      </c>
      <c r="E553" s="57" t="str">
        <f>VLOOKUP(D553,tblProjekt[],2,FALSE)</f>
        <v>Calculator übergreifend</v>
      </c>
      <c r="F553" s="58">
        <v>81</v>
      </c>
      <c r="G553" s="58"/>
      <c r="H553" s="58"/>
      <c r="I553" s="58"/>
      <c r="J553" s="58"/>
      <c r="K553" s="58"/>
      <c r="L553" s="59" t="s">
        <v>604</v>
      </c>
    </row>
    <row r="554" spans="2:12" ht="24" x14ac:dyDescent="0.2">
      <c r="B554" s="55">
        <v>42081</v>
      </c>
      <c r="C554" s="56">
        <v>0.25</v>
      </c>
      <c r="D554" s="57" t="s">
        <v>17</v>
      </c>
      <c r="E554" s="57" t="str">
        <f>VLOOKUP(D554,tblProjekt[],2,FALSE)</f>
        <v>Powerspreadsheet Win7</v>
      </c>
      <c r="F554" s="58">
        <v>52</v>
      </c>
      <c r="G554" s="58"/>
      <c r="H554" s="58"/>
      <c r="I554" s="58"/>
      <c r="J554" s="58"/>
      <c r="K554" s="58"/>
      <c r="L554" s="59" t="s">
        <v>605</v>
      </c>
    </row>
    <row r="555" spans="2:12" x14ac:dyDescent="0.2">
      <c r="B555" s="55">
        <v>42083</v>
      </c>
      <c r="C555" s="56">
        <v>0.25</v>
      </c>
      <c r="D555" s="57" t="s">
        <v>63</v>
      </c>
      <c r="E555" s="57" t="str">
        <f>VLOOKUP(D555,tblProjekt[],2,FALSE)</f>
        <v>Klosterfrau Mass Market</v>
      </c>
      <c r="F555" s="58">
        <v>59</v>
      </c>
      <c r="G555" s="58"/>
      <c r="H555" s="58"/>
      <c r="I555" s="58"/>
      <c r="J555" s="58"/>
      <c r="K555" s="58"/>
      <c r="L555" s="59" t="s">
        <v>606</v>
      </c>
    </row>
    <row r="556" spans="2:12" x14ac:dyDescent="0.2">
      <c r="B556" s="55">
        <v>42083</v>
      </c>
      <c r="C556" s="56">
        <v>0.25</v>
      </c>
      <c r="D556" s="57" t="s">
        <v>66</v>
      </c>
      <c r="E556" s="57" t="str">
        <f>VLOOKUP(D556,tblProjekt[],2,FALSE)</f>
        <v>PHS Calculator</v>
      </c>
      <c r="F556" s="58" t="s">
        <v>607</v>
      </c>
      <c r="G556" s="58"/>
      <c r="H556" s="58"/>
      <c r="I556" s="58"/>
      <c r="J556" s="58"/>
      <c r="K556" s="58"/>
      <c r="L556" s="59" t="s">
        <v>608</v>
      </c>
    </row>
    <row r="557" spans="2:12" ht="24" x14ac:dyDescent="0.2">
      <c r="B557" s="55">
        <v>42083</v>
      </c>
      <c r="C557" s="56">
        <v>0.5</v>
      </c>
      <c r="D557" s="57" t="s">
        <v>63</v>
      </c>
      <c r="E557" s="57" t="str">
        <f>VLOOKUP(D557,tblProjekt[],2,FALSE)</f>
        <v>Klosterfrau Mass Market</v>
      </c>
      <c r="F557" s="58">
        <v>59</v>
      </c>
      <c r="G557" s="58"/>
      <c r="H557" s="58"/>
      <c r="I557" s="58"/>
      <c r="J557" s="58"/>
      <c r="K557" s="58"/>
      <c r="L557" s="59" t="s">
        <v>609</v>
      </c>
    </row>
    <row r="558" spans="2:12" x14ac:dyDescent="0.2">
      <c r="B558" s="55">
        <v>42084</v>
      </c>
      <c r="C558" s="56">
        <v>0.5</v>
      </c>
      <c r="D558" s="57" t="s">
        <v>84</v>
      </c>
      <c r="E558" s="57" t="str">
        <f>VLOOKUP(D558,tblProjekt[],2,FALSE)</f>
        <v>Infrastruktur cognovo</v>
      </c>
      <c r="F558" s="58"/>
      <c r="G558" s="58"/>
      <c r="H558" s="58"/>
      <c r="I558" s="58"/>
      <c r="J558" s="58"/>
      <c r="K558" s="58"/>
      <c r="L558" s="59" t="s">
        <v>610</v>
      </c>
    </row>
    <row r="559" spans="2:12" ht="24" x14ac:dyDescent="0.2">
      <c r="B559" s="55">
        <v>42084</v>
      </c>
      <c r="C559" s="56">
        <v>0.5</v>
      </c>
      <c r="D559" s="57" t="s">
        <v>84</v>
      </c>
      <c r="E559" s="57" t="str">
        <f>VLOOKUP(D559,tblProjekt[],2,FALSE)</f>
        <v>Infrastruktur cognovo</v>
      </c>
      <c r="F559" s="58"/>
      <c r="G559" s="58"/>
      <c r="H559" s="58"/>
      <c r="I559" s="58"/>
      <c r="J559" s="58"/>
      <c r="K559" s="58"/>
      <c r="L559" s="59" t="s">
        <v>611</v>
      </c>
    </row>
    <row r="560" spans="2:12" ht="24" x14ac:dyDescent="0.2">
      <c r="B560" s="55">
        <v>42084</v>
      </c>
      <c r="C560" s="56">
        <v>0.25</v>
      </c>
      <c r="D560" s="57" t="s">
        <v>59</v>
      </c>
      <c r="E560" s="57" t="str">
        <f>VLOOKUP(D560,tblProjekt[],2,FALSE)</f>
        <v>Stada reports</v>
      </c>
      <c r="F560" s="58"/>
      <c r="G560" s="58"/>
      <c r="H560" s="58"/>
      <c r="I560" s="58"/>
      <c r="J560" s="58"/>
      <c r="K560" s="58"/>
      <c r="L560" s="59" t="s">
        <v>612</v>
      </c>
    </row>
    <row r="561" spans="2:12" ht="24" x14ac:dyDescent="0.2">
      <c r="B561" s="55">
        <v>42084</v>
      </c>
      <c r="C561" s="56">
        <v>1.75</v>
      </c>
      <c r="D561" s="57" t="s">
        <v>6</v>
      </c>
      <c r="E561" s="57" t="str">
        <f>VLOOKUP(D561,tblProjekt[],2,FALSE)</f>
        <v>Produktionsportal 2</v>
      </c>
      <c r="F561" s="58">
        <v>30</v>
      </c>
      <c r="G561" s="58"/>
      <c r="H561" s="58"/>
      <c r="I561" s="58"/>
      <c r="J561" s="58"/>
      <c r="K561" s="58"/>
      <c r="L561" s="59" t="s">
        <v>613</v>
      </c>
    </row>
    <row r="562" spans="2:12" x14ac:dyDescent="0.2">
      <c r="B562" s="55">
        <v>42084</v>
      </c>
      <c r="C562" s="56">
        <v>0.25</v>
      </c>
      <c r="D562" s="57" t="s">
        <v>66</v>
      </c>
      <c r="E562" s="57" t="str">
        <f>VLOOKUP(D562,tblProjekt[],2,FALSE)</f>
        <v>PHS Calculator</v>
      </c>
      <c r="F562" s="58">
        <v>79</v>
      </c>
      <c r="G562" s="58"/>
      <c r="H562" s="58"/>
      <c r="I562" s="58"/>
      <c r="J562" s="58"/>
      <c r="K562" s="58"/>
      <c r="L562" s="59" t="s">
        <v>614</v>
      </c>
    </row>
    <row r="563" spans="2:12" x14ac:dyDescent="0.2">
      <c r="B563" s="55">
        <v>42085</v>
      </c>
      <c r="C563" s="56">
        <v>0.75</v>
      </c>
      <c r="D563" s="57" t="s">
        <v>6</v>
      </c>
      <c r="E563" s="57" t="str">
        <f>VLOOKUP(D563,tblProjekt[],2,FALSE)</f>
        <v>Produktionsportal 2</v>
      </c>
      <c r="F563" s="58">
        <v>30</v>
      </c>
      <c r="G563" s="58"/>
      <c r="H563" s="58"/>
      <c r="I563" s="58"/>
      <c r="J563" s="58"/>
      <c r="K563" s="58"/>
      <c r="L563" s="59" t="s">
        <v>615</v>
      </c>
    </row>
    <row r="564" spans="2:12" ht="24" x14ac:dyDescent="0.2">
      <c r="B564" s="55">
        <v>42086</v>
      </c>
      <c r="C564" s="56">
        <v>0.5</v>
      </c>
      <c r="D564" s="57" t="s">
        <v>84</v>
      </c>
      <c r="E564" s="57" t="str">
        <f>VLOOKUP(D564,tblProjekt[],2,FALSE)</f>
        <v>Infrastruktur cognovo</v>
      </c>
      <c r="F564" s="58"/>
      <c r="G564" s="58"/>
      <c r="H564" s="58"/>
      <c r="I564" s="58"/>
      <c r="J564" s="58"/>
      <c r="K564" s="58"/>
      <c r="L564" s="59" t="s">
        <v>616</v>
      </c>
    </row>
    <row r="565" spans="2:12" ht="24" x14ac:dyDescent="0.2">
      <c r="B565" s="55">
        <v>42087</v>
      </c>
      <c r="C565" s="56">
        <v>1</v>
      </c>
      <c r="D565" s="57" t="s">
        <v>427</v>
      </c>
      <c r="E565" s="57" t="str">
        <f>VLOOKUP(D565,tblProjekt[],2,FALSE)</f>
        <v>Calculator übergreifend</v>
      </c>
      <c r="F565" s="58" t="s">
        <v>617</v>
      </c>
      <c r="G565" s="58"/>
      <c r="H565" s="58"/>
      <c r="I565" s="58"/>
      <c r="J565" s="58"/>
      <c r="K565" s="58"/>
      <c r="L565" s="59" t="s">
        <v>618</v>
      </c>
    </row>
    <row r="566" spans="2:12" ht="24" x14ac:dyDescent="0.2">
      <c r="B566" s="55">
        <v>42087</v>
      </c>
      <c r="C566" s="56">
        <v>0.25</v>
      </c>
      <c r="D566" s="57" t="s">
        <v>60</v>
      </c>
      <c r="E566" s="57" t="str">
        <f>VLOOKUP(D566,tblProjekt[],2,FALSE)</f>
        <v>Nutricia reports</v>
      </c>
      <c r="F566" s="58" t="s">
        <v>619</v>
      </c>
      <c r="G566" s="58"/>
      <c r="H566" s="58"/>
      <c r="I566" s="58"/>
      <c r="J566" s="58"/>
      <c r="K566" s="58"/>
      <c r="L566" s="59" t="s">
        <v>620</v>
      </c>
    </row>
    <row r="567" spans="2:12" x14ac:dyDescent="0.2">
      <c r="B567" s="55">
        <v>42089</v>
      </c>
      <c r="C567" s="56">
        <v>0.25</v>
      </c>
      <c r="D567" s="57" t="s">
        <v>84</v>
      </c>
      <c r="E567" s="57" t="str">
        <f>VLOOKUP(D567,tblProjekt[],2,FALSE)</f>
        <v>Infrastruktur cognovo</v>
      </c>
      <c r="F567" s="58"/>
      <c r="G567" s="58"/>
      <c r="H567" s="58"/>
      <c r="I567" s="58"/>
      <c r="J567" s="58"/>
      <c r="K567" s="58"/>
      <c r="L567" s="59" t="s">
        <v>223</v>
      </c>
    </row>
    <row r="568" spans="2:12" x14ac:dyDescent="0.2">
      <c r="B568" s="55">
        <v>42089</v>
      </c>
      <c r="C568" s="56">
        <v>0.25</v>
      </c>
      <c r="D568" s="57" t="s">
        <v>427</v>
      </c>
      <c r="E568" s="57" t="str">
        <f>VLOOKUP(D568,tblProjekt[],2,FALSE)</f>
        <v>Calculator übergreifend</v>
      </c>
      <c r="F568" s="58">
        <v>94</v>
      </c>
      <c r="G568" s="58"/>
      <c r="H568" s="58"/>
      <c r="I568" s="58"/>
      <c r="J568" s="58"/>
      <c r="K568" s="58"/>
      <c r="L568" s="59" t="s">
        <v>621</v>
      </c>
    </row>
    <row r="569" spans="2:12" x14ac:dyDescent="0.2">
      <c r="B569" s="55">
        <v>42089</v>
      </c>
      <c r="C569" s="56">
        <v>0.25</v>
      </c>
      <c r="D569" s="57" t="s">
        <v>84</v>
      </c>
      <c r="E569" s="57" t="str">
        <f>VLOOKUP(D569,tblProjekt[],2,FALSE)</f>
        <v>Infrastruktur cognovo</v>
      </c>
      <c r="F569" s="58"/>
      <c r="G569" s="58"/>
      <c r="H569" s="58"/>
      <c r="I569" s="58"/>
      <c r="J569" s="58"/>
      <c r="K569" s="58"/>
      <c r="L569" s="59" t="s">
        <v>622</v>
      </c>
    </row>
    <row r="570" spans="2:12" ht="24" x14ac:dyDescent="0.2">
      <c r="B570" s="55">
        <v>42089</v>
      </c>
      <c r="C570" s="56">
        <v>1</v>
      </c>
      <c r="D570" s="57" t="s">
        <v>337</v>
      </c>
      <c r="E570" s="57" t="str">
        <f>VLOOKUP(D570,tblProjekt[],2,FALSE)</f>
        <v>Klosterfrau National</v>
      </c>
      <c r="F570" s="58">
        <v>61</v>
      </c>
      <c r="G570" s="58"/>
      <c r="H570" s="58"/>
      <c r="I570" s="58"/>
      <c r="J570" s="58"/>
      <c r="K570" s="58"/>
      <c r="L570" s="59" t="s">
        <v>623</v>
      </c>
    </row>
    <row r="571" spans="2:12" x14ac:dyDescent="0.2">
      <c r="B571" s="55">
        <v>42089</v>
      </c>
      <c r="C571" s="56">
        <v>0.25</v>
      </c>
      <c r="D571" s="57" t="s">
        <v>339</v>
      </c>
      <c r="E571" s="57" t="str">
        <f>VLOOKUP(D571,tblProjekt[],2,FALSE)</f>
        <v>Klosterfrau Regio</v>
      </c>
      <c r="F571" s="58">
        <v>61</v>
      </c>
      <c r="G571" s="58"/>
      <c r="H571" s="58"/>
      <c r="I571" s="58"/>
      <c r="J571" s="58"/>
      <c r="K571" s="58"/>
      <c r="L571" s="59" t="s">
        <v>624</v>
      </c>
    </row>
    <row r="572" spans="2:12" x14ac:dyDescent="0.2">
      <c r="B572" s="55">
        <v>42089</v>
      </c>
      <c r="C572" s="56">
        <v>1</v>
      </c>
      <c r="D572" s="57" t="s">
        <v>6</v>
      </c>
      <c r="E572" s="57" t="str">
        <f>VLOOKUP(D572,tblProjekt[],2,FALSE)</f>
        <v>Produktionsportal 2</v>
      </c>
      <c r="F572" s="58">
        <v>30</v>
      </c>
      <c r="G572" s="58"/>
      <c r="H572" s="58"/>
      <c r="I572" s="58"/>
      <c r="J572" s="58"/>
      <c r="K572" s="58"/>
      <c r="L572" s="59" t="s">
        <v>625</v>
      </c>
    </row>
    <row r="573" spans="2:12" ht="24" x14ac:dyDescent="0.2">
      <c r="B573" s="55">
        <v>42089</v>
      </c>
      <c r="C573" s="56">
        <v>2.5</v>
      </c>
      <c r="D573" s="57" t="s">
        <v>43</v>
      </c>
      <c r="E573" s="57" t="str">
        <f>VLOOKUP(D573,tblProjekt[],2,FALSE)</f>
        <v>DPMPSN Calculator</v>
      </c>
      <c r="F573" s="58"/>
      <c r="G573" s="58"/>
      <c r="H573" s="58"/>
      <c r="I573" s="58"/>
      <c r="J573" s="58"/>
      <c r="K573" s="58"/>
      <c r="L573" s="59" t="s">
        <v>626</v>
      </c>
    </row>
    <row r="574" spans="2:12" x14ac:dyDescent="0.2">
      <c r="B574" s="55">
        <v>42089</v>
      </c>
      <c r="C574" s="56">
        <v>1</v>
      </c>
      <c r="D574" s="57" t="s">
        <v>43</v>
      </c>
      <c r="E574" s="57" t="str">
        <f>VLOOKUP(D574,tblProjekt[],2,FALSE)</f>
        <v>DPMPSN Calculator</v>
      </c>
      <c r="F574" s="58"/>
      <c r="G574" s="58"/>
      <c r="H574" s="58"/>
      <c r="I574" s="58"/>
      <c r="J574" s="58"/>
      <c r="K574" s="58"/>
      <c r="L574" s="59" t="s">
        <v>627</v>
      </c>
    </row>
    <row r="575" spans="2:12" ht="24" x14ac:dyDescent="0.2">
      <c r="B575" s="55">
        <v>42089</v>
      </c>
      <c r="C575" s="56">
        <v>1.25</v>
      </c>
      <c r="D575" s="57" t="s">
        <v>43</v>
      </c>
      <c r="E575" s="57" t="str">
        <f>VLOOKUP(D575,tblProjekt[],2,FALSE)</f>
        <v>DPMPSN Calculator</v>
      </c>
      <c r="F575" s="58"/>
      <c r="G575" s="58"/>
      <c r="H575" s="58"/>
      <c r="I575" s="58"/>
      <c r="J575" s="58"/>
      <c r="K575" s="58"/>
      <c r="L575" s="59" t="s">
        <v>628</v>
      </c>
    </row>
    <row r="576" spans="2:12" x14ac:dyDescent="0.2">
      <c r="B576" s="55">
        <v>42090</v>
      </c>
      <c r="C576" s="56">
        <v>1.25</v>
      </c>
      <c r="D576" s="57" t="s">
        <v>43</v>
      </c>
      <c r="E576" s="57" t="str">
        <f>VLOOKUP(D576,tblProjekt[],2,FALSE)</f>
        <v>DPMPSN Calculator</v>
      </c>
      <c r="F576" s="58" t="s">
        <v>629</v>
      </c>
      <c r="G576" s="58"/>
      <c r="H576" s="58"/>
      <c r="I576" s="58"/>
      <c r="J576" s="58"/>
      <c r="K576" s="58"/>
      <c r="L576" s="59" t="s">
        <v>538</v>
      </c>
    </row>
    <row r="577" spans="2:12" ht="24" x14ac:dyDescent="0.2">
      <c r="B577" s="55">
        <v>42090</v>
      </c>
      <c r="C577" s="56">
        <v>0.5</v>
      </c>
      <c r="D577" s="57" t="s">
        <v>60</v>
      </c>
      <c r="E577" s="57" t="str">
        <f>VLOOKUP(D577,tblProjekt[],2,FALSE)</f>
        <v>Nutricia reports</v>
      </c>
      <c r="F577" s="58">
        <v>49</v>
      </c>
      <c r="G577" s="58"/>
      <c r="H577" s="58"/>
      <c r="I577" s="58"/>
      <c r="J577" s="58"/>
      <c r="K577" s="58"/>
      <c r="L577" s="59" t="s">
        <v>630</v>
      </c>
    </row>
    <row r="578" spans="2:12" x14ac:dyDescent="0.2">
      <c r="B578" s="55">
        <v>42090</v>
      </c>
      <c r="C578" s="56">
        <v>1.25</v>
      </c>
      <c r="D578" s="57" t="s">
        <v>84</v>
      </c>
      <c r="E578" s="57" t="str">
        <f>VLOOKUP(D578,tblProjekt[],2,FALSE)</f>
        <v>Infrastruktur cognovo</v>
      </c>
      <c r="F578" s="58"/>
      <c r="G578" s="58"/>
      <c r="H578" s="58"/>
      <c r="I578" s="58"/>
      <c r="J578" s="58"/>
      <c r="K578" s="58"/>
      <c r="L578" s="59" t="s">
        <v>631</v>
      </c>
    </row>
    <row r="579" spans="2:12" ht="36" x14ac:dyDescent="0.2">
      <c r="B579" s="55">
        <v>42090</v>
      </c>
      <c r="C579" s="56">
        <v>1.5</v>
      </c>
      <c r="D579" s="57" t="s">
        <v>60</v>
      </c>
      <c r="E579" s="57" t="str">
        <f>VLOOKUP(D579,tblProjekt[],2,FALSE)</f>
        <v>Nutricia reports</v>
      </c>
      <c r="F579" s="58"/>
      <c r="G579" s="58"/>
      <c r="H579" s="58"/>
      <c r="I579" s="58"/>
      <c r="J579" s="58"/>
      <c r="K579" s="58"/>
      <c r="L579" s="59" t="s">
        <v>632</v>
      </c>
    </row>
    <row r="580" spans="2:12" x14ac:dyDescent="0.2">
      <c r="B580" s="55">
        <v>42090</v>
      </c>
      <c r="C580" s="56">
        <v>0.25</v>
      </c>
      <c r="D580" s="57" t="s">
        <v>84</v>
      </c>
      <c r="E580" s="57" t="str">
        <f>VLOOKUP(D580,tblProjekt[],2,FALSE)</f>
        <v>Infrastruktur cognovo</v>
      </c>
      <c r="F580" s="58"/>
      <c r="G580" s="58"/>
      <c r="H580" s="58"/>
      <c r="I580" s="58"/>
      <c r="J580" s="58"/>
      <c r="K580" s="58"/>
      <c r="L580" s="59" t="s">
        <v>223</v>
      </c>
    </row>
    <row r="581" spans="2:12" x14ac:dyDescent="0.2">
      <c r="B581" s="55">
        <v>42090</v>
      </c>
      <c r="C581" s="56">
        <v>1.25</v>
      </c>
      <c r="D581" s="57" t="s">
        <v>6</v>
      </c>
      <c r="E581" s="57" t="str">
        <f>VLOOKUP(D581,tblProjekt[],2,FALSE)</f>
        <v>Produktionsportal 2</v>
      </c>
      <c r="F581" s="58">
        <v>30</v>
      </c>
      <c r="G581" s="58"/>
      <c r="H581" s="58"/>
      <c r="I581" s="58"/>
      <c r="J581" s="58"/>
      <c r="K581" s="58"/>
      <c r="L581" s="59" t="s">
        <v>633</v>
      </c>
    </row>
    <row r="582" spans="2:12" ht="36" x14ac:dyDescent="0.2">
      <c r="B582" s="55">
        <v>42090</v>
      </c>
      <c r="C582" s="56">
        <v>2</v>
      </c>
      <c r="D582" s="57" t="s">
        <v>427</v>
      </c>
      <c r="E582" s="57" t="str">
        <f>VLOOKUP(D582,tblProjekt[],2,FALSE)</f>
        <v>Calculator übergreifend</v>
      </c>
      <c r="F582" s="58">
        <v>94</v>
      </c>
      <c r="G582" s="58"/>
      <c r="H582" s="58"/>
      <c r="I582" s="58"/>
      <c r="J582" s="58"/>
      <c r="K582" s="58"/>
      <c r="L582" s="59" t="s">
        <v>635</v>
      </c>
    </row>
    <row r="583" spans="2:12" ht="24" x14ac:dyDescent="0.2">
      <c r="B583" s="55">
        <v>42090</v>
      </c>
      <c r="C583" s="56">
        <v>0.5</v>
      </c>
      <c r="D583" s="57" t="s">
        <v>427</v>
      </c>
      <c r="E583" s="57" t="str">
        <f>VLOOKUP(D583,tblProjekt[],2,FALSE)</f>
        <v>Calculator übergreifend</v>
      </c>
      <c r="F583" s="58">
        <v>95</v>
      </c>
      <c r="G583" s="58"/>
      <c r="H583" s="58"/>
      <c r="I583" s="58"/>
      <c r="J583" s="58"/>
      <c r="K583" s="58"/>
      <c r="L583" s="59" t="s">
        <v>634</v>
      </c>
    </row>
    <row r="584" spans="2:12" ht="24" x14ac:dyDescent="0.2">
      <c r="B584" s="55">
        <v>42090</v>
      </c>
      <c r="C584" s="56">
        <v>2.5</v>
      </c>
      <c r="D584" s="57" t="s">
        <v>339</v>
      </c>
      <c r="E584" s="57" t="str">
        <f>VLOOKUP(D584,tblProjekt[],2,FALSE)</f>
        <v>Klosterfrau Regio</v>
      </c>
      <c r="F584" s="58">
        <v>63</v>
      </c>
      <c r="G584" s="58"/>
      <c r="H584" s="58"/>
      <c r="I584" s="58"/>
      <c r="J584" s="58"/>
      <c r="K584" s="58"/>
      <c r="L584" s="59" t="s">
        <v>636</v>
      </c>
    </row>
    <row r="585" spans="2:12" x14ac:dyDescent="0.2">
      <c r="B585" s="55">
        <v>42090</v>
      </c>
      <c r="C585" s="56">
        <v>0.25</v>
      </c>
      <c r="D585" s="57" t="s">
        <v>339</v>
      </c>
      <c r="E585" s="57" t="str">
        <f>VLOOKUP(D585,tblProjekt[],2,FALSE)</f>
        <v>Klosterfrau Regio</v>
      </c>
      <c r="F585" s="58">
        <v>61</v>
      </c>
      <c r="G585" s="58"/>
      <c r="H585" s="58"/>
      <c r="I585" s="58"/>
      <c r="J585" s="58"/>
      <c r="K585" s="58"/>
      <c r="L585" s="59" t="s">
        <v>637</v>
      </c>
    </row>
    <row r="586" spans="2:12" ht="24" x14ac:dyDescent="0.2">
      <c r="B586" s="55">
        <v>42103</v>
      </c>
      <c r="C586" s="56">
        <v>1</v>
      </c>
      <c r="D586" s="57" t="s">
        <v>84</v>
      </c>
      <c r="E586" s="57" t="str">
        <f>VLOOKUP(D586,tblProjekt[],2,FALSE)</f>
        <v>Infrastruktur cognovo</v>
      </c>
      <c r="F586" s="58"/>
      <c r="G586" s="58"/>
      <c r="H586" s="58"/>
      <c r="I586" s="58"/>
      <c r="J586" s="58"/>
      <c r="K586" s="58"/>
      <c r="L586" s="59" t="s">
        <v>649</v>
      </c>
    </row>
    <row r="587" spans="2:12" ht="24" x14ac:dyDescent="0.2">
      <c r="B587" s="55">
        <v>42103</v>
      </c>
      <c r="C587" s="56">
        <v>0.5</v>
      </c>
      <c r="D587" s="57" t="s">
        <v>17</v>
      </c>
      <c r="E587" s="57" t="str">
        <f>VLOOKUP(D587,tblProjekt[],2,FALSE)</f>
        <v>Powerspreadsheet Win7</v>
      </c>
      <c r="F587" s="58">
        <v>67</v>
      </c>
      <c r="G587" s="58"/>
      <c r="H587" s="58"/>
      <c r="I587" s="58"/>
      <c r="J587" s="58"/>
      <c r="K587" s="58"/>
      <c r="L587" s="59" t="s">
        <v>650</v>
      </c>
    </row>
    <row r="588" spans="2:12" x14ac:dyDescent="0.2">
      <c r="B588" s="55">
        <v>42103</v>
      </c>
      <c r="C588" s="56">
        <v>1</v>
      </c>
      <c r="D588" s="57" t="s">
        <v>84</v>
      </c>
      <c r="E588" s="57" t="str">
        <f>VLOOKUP(D588,tblProjekt[],2,FALSE)</f>
        <v>Infrastruktur cognovo</v>
      </c>
      <c r="F588" s="58"/>
      <c r="G588" s="58"/>
      <c r="H588" s="58"/>
      <c r="I588" s="58"/>
      <c r="J588" s="58"/>
      <c r="K588" s="58"/>
      <c r="L588" s="59" t="s">
        <v>223</v>
      </c>
    </row>
    <row r="589" spans="2:12" ht="24" x14ac:dyDescent="0.2">
      <c r="B589" s="55">
        <v>42103</v>
      </c>
      <c r="C589" s="56">
        <v>1.5</v>
      </c>
      <c r="D589" s="57" t="s">
        <v>51</v>
      </c>
      <c r="E589" s="57" t="str">
        <f>VLOOKUP(D589,tblProjekt[],2,FALSE)</f>
        <v>L'Oreal Micro report</v>
      </c>
      <c r="F589" s="58">
        <v>66</v>
      </c>
      <c r="G589" s="58"/>
      <c r="H589" s="58"/>
      <c r="I589" s="58"/>
      <c r="J589" s="58"/>
      <c r="K589" s="58"/>
      <c r="L589" s="59" t="s">
        <v>651</v>
      </c>
    </row>
    <row r="590" spans="2:12" ht="24" x14ac:dyDescent="0.2">
      <c r="B590" s="55">
        <v>42103</v>
      </c>
      <c r="C590" s="56">
        <v>0.75</v>
      </c>
      <c r="D590" s="57" t="s">
        <v>690</v>
      </c>
      <c r="E590" s="57" t="str">
        <f>VLOOKUP(D590,tblProjekt[],2,FALSE)</f>
        <v>PHS Issor Calculator</v>
      </c>
      <c r="F590" s="58">
        <v>109</v>
      </c>
      <c r="G590" s="58"/>
      <c r="H590" s="58"/>
      <c r="I590" s="58"/>
      <c r="J590" s="58"/>
      <c r="K590" s="58"/>
      <c r="L590" s="59" t="s">
        <v>652</v>
      </c>
    </row>
    <row r="591" spans="2:12" ht="24" x14ac:dyDescent="0.2">
      <c r="B591" s="55">
        <v>42103</v>
      </c>
      <c r="C591" s="56">
        <v>0.5</v>
      </c>
      <c r="D591" s="57" t="s">
        <v>641</v>
      </c>
      <c r="E591" s="57" t="str">
        <f>VLOOKUP(D591,tblProjekt[],2,FALSE)</f>
        <v>PHS Diagnostics Calculator</v>
      </c>
      <c r="F591" s="58" t="s">
        <v>653</v>
      </c>
      <c r="G591" s="58"/>
      <c r="H591" s="58"/>
      <c r="I591" s="58"/>
      <c r="J591" s="58"/>
      <c r="K591" s="58"/>
      <c r="L591" s="59" t="s">
        <v>654</v>
      </c>
    </row>
    <row r="592" spans="2:12" x14ac:dyDescent="0.2">
      <c r="B592" s="55">
        <v>42103</v>
      </c>
      <c r="C592" s="56">
        <v>0.75</v>
      </c>
      <c r="D592" s="57" t="s">
        <v>690</v>
      </c>
      <c r="E592" s="57" t="str">
        <f>VLOOKUP(D592,tblProjekt[],2,FALSE)</f>
        <v>PHS Issor Calculator</v>
      </c>
      <c r="F592" s="58">
        <v>109</v>
      </c>
      <c r="G592" s="58"/>
      <c r="H592" s="58"/>
      <c r="I592" s="58"/>
      <c r="J592" s="58"/>
      <c r="K592" s="58"/>
      <c r="L592" s="59" t="s">
        <v>655</v>
      </c>
    </row>
    <row r="593" spans="2:12" x14ac:dyDescent="0.2">
      <c r="B593" s="55">
        <v>42103</v>
      </c>
      <c r="C593" s="56">
        <v>0.25</v>
      </c>
      <c r="D593" s="57" t="s">
        <v>37</v>
      </c>
      <c r="E593" s="57" t="str">
        <f>VLOOKUP(D593,tblProjekt[],2,FALSE)</f>
        <v>Cesra report</v>
      </c>
      <c r="F593" s="58">
        <v>68</v>
      </c>
      <c r="G593" s="58"/>
      <c r="H593" s="58"/>
      <c r="I593" s="58"/>
      <c r="J593" s="58"/>
      <c r="K593" s="58"/>
      <c r="L593" s="59" t="s">
        <v>656</v>
      </c>
    </row>
    <row r="594" spans="2:12" x14ac:dyDescent="0.2">
      <c r="B594" s="55">
        <v>42103</v>
      </c>
      <c r="C594" s="56">
        <v>1</v>
      </c>
      <c r="D594" s="57" t="s">
        <v>6</v>
      </c>
      <c r="E594" s="57" t="str">
        <f>VLOOKUP(D594,tblProjekt[],2,FALSE)</f>
        <v>Produktionsportal 2</v>
      </c>
      <c r="F594" s="58">
        <v>30</v>
      </c>
      <c r="G594" s="58"/>
      <c r="H594" s="58"/>
      <c r="I594" s="58"/>
      <c r="J594" s="58"/>
      <c r="K594" s="58"/>
      <c r="L594" s="59" t="s">
        <v>659</v>
      </c>
    </row>
    <row r="595" spans="2:12" ht="24" x14ac:dyDescent="0.2">
      <c r="B595" s="55">
        <v>42104</v>
      </c>
      <c r="C595" s="56">
        <v>1.25</v>
      </c>
      <c r="D595" s="57" t="s">
        <v>6</v>
      </c>
      <c r="E595" s="57" t="str">
        <f>VLOOKUP(D595,tblProjekt[],2,FALSE)</f>
        <v>Produktionsportal 2</v>
      </c>
      <c r="F595" s="58">
        <v>30</v>
      </c>
      <c r="G595" s="58"/>
      <c r="H595" s="58"/>
      <c r="I595" s="58"/>
      <c r="J595" s="58"/>
      <c r="K595" s="58"/>
      <c r="L595" s="59" t="s">
        <v>658</v>
      </c>
    </row>
    <row r="596" spans="2:12" x14ac:dyDescent="0.2">
      <c r="B596" s="55">
        <v>42104</v>
      </c>
      <c r="C596" s="56">
        <v>3</v>
      </c>
      <c r="D596" s="57" t="s">
        <v>6</v>
      </c>
      <c r="E596" s="57" t="str">
        <f>VLOOKUP(D596,tblProjekt[],2,FALSE)</f>
        <v>Produktionsportal 2</v>
      </c>
      <c r="F596" s="58">
        <v>30</v>
      </c>
      <c r="G596" s="58"/>
      <c r="H596" s="58"/>
      <c r="I596" s="58"/>
      <c r="J596" s="58"/>
      <c r="K596" s="58"/>
      <c r="L596" s="59" t="s">
        <v>657</v>
      </c>
    </row>
    <row r="597" spans="2:12" x14ac:dyDescent="0.2">
      <c r="B597" s="55">
        <v>42104</v>
      </c>
      <c r="C597" s="56">
        <v>2.5</v>
      </c>
      <c r="D597" s="57" t="s">
        <v>17</v>
      </c>
      <c r="E597" s="57" t="str">
        <f>VLOOKUP(D597,tblProjekt[],2,FALSE)</f>
        <v>Powerspreadsheet Win7</v>
      </c>
      <c r="F597" s="58">
        <v>67</v>
      </c>
      <c r="G597" s="58"/>
      <c r="H597" s="58"/>
      <c r="I597" s="58"/>
      <c r="J597" s="58"/>
      <c r="K597" s="58"/>
      <c r="L597" s="59" t="s">
        <v>660</v>
      </c>
    </row>
    <row r="598" spans="2:12" x14ac:dyDescent="0.2">
      <c r="B598" s="55">
        <v>42107</v>
      </c>
      <c r="C598" s="56">
        <v>2</v>
      </c>
      <c r="D598" s="57" t="s">
        <v>6</v>
      </c>
      <c r="E598" s="57" t="str">
        <f>VLOOKUP(D598,tblProjekt[],2,FALSE)</f>
        <v>Produktionsportal 2</v>
      </c>
      <c r="F598" s="58" t="s">
        <v>661</v>
      </c>
      <c r="G598" s="58"/>
      <c r="H598" s="58"/>
      <c r="I598" s="58"/>
      <c r="J598" s="58"/>
      <c r="K598" s="58"/>
      <c r="L598" s="59" t="s">
        <v>662</v>
      </c>
    </row>
    <row r="599" spans="2:12" ht="24" x14ac:dyDescent="0.2">
      <c r="B599" s="55">
        <v>42109</v>
      </c>
      <c r="C599" s="56">
        <v>1.75</v>
      </c>
      <c r="D599" s="57" t="s">
        <v>84</v>
      </c>
      <c r="E599" s="57" t="str">
        <f>VLOOKUP(D599,tblProjekt[],2,FALSE)</f>
        <v>Infrastruktur cognovo</v>
      </c>
      <c r="F599" s="58"/>
      <c r="G599" s="58"/>
      <c r="H599" s="58"/>
      <c r="I599" s="58"/>
      <c r="J599" s="58"/>
      <c r="K599" s="58"/>
      <c r="L599" s="59" t="s">
        <v>663</v>
      </c>
    </row>
    <row r="600" spans="2:12" ht="24" x14ac:dyDescent="0.2">
      <c r="B600" s="55">
        <v>42109</v>
      </c>
      <c r="C600" s="56">
        <v>0.25</v>
      </c>
      <c r="D600" s="57" t="s">
        <v>60</v>
      </c>
      <c r="E600" s="57" t="str">
        <f>VLOOKUP(D600,tblProjekt[],2,FALSE)</f>
        <v>Nutricia reports</v>
      </c>
      <c r="F600" s="58">
        <v>69</v>
      </c>
      <c r="G600" s="58"/>
      <c r="H600" s="58"/>
      <c r="I600" s="58"/>
      <c r="J600" s="58"/>
      <c r="K600" s="58"/>
      <c r="L600" s="59" t="s">
        <v>664</v>
      </c>
    </row>
    <row r="601" spans="2:12" x14ac:dyDescent="0.2">
      <c r="B601" s="55">
        <v>42109</v>
      </c>
      <c r="C601" s="56">
        <v>2.5</v>
      </c>
      <c r="D601" s="57" t="s">
        <v>690</v>
      </c>
      <c r="E601" s="57" t="str">
        <f>VLOOKUP(D601,tblProjekt[],2,FALSE)</f>
        <v>PHS Issor Calculator</v>
      </c>
      <c r="F601" s="58">
        <v>109</v>
      </c>
      <c r="G601" s="58"/>
      <c r="H601" s="58"/>
      <c r="I601" s="58"/>
      <c r="J601" s="58"/>
      <c r="K601" s="58"/>
      <c r="L601" s="59" t="s">
        <v>665</v>
      </c>
    </row>
    <row r="602" spans="2:12" x14ac:dyDescent="0.2">
      <c r="B602" s="55">
        <v>42109</v>
      </c>
      <c r="C602" s="56">
        <v>0.75</v>
      </c>
      <c r="D602" s="57" t="s">
        <v>84</v>
      </c>
      <c r="E602" s="57" t="str">
        <f>VLOOKUP(D602,tblProjekt[],2,FALSE)</f>
        <v>Infrastruktur cognovo</v>
      </c>
      <c r="F602" s="58"/>
      <c r="G602" s="58"/>
      <c r="H602" s="58"/>
      <c r="I602" s="58"/>
      <c r="J602" s="58"/>
      <c r="K602" s="58"/>
      <c r="L602" s="59" t="s">
        <v>223</v>
      </c>
    </row>
    <row r="603" spans="2:12" x14ac:dyDescent="0.2">
      <c r="B603" s="55">
        <v>42110</v>
      </c>
      <c r="C603" s="56">
        <v>2.75</v>
      </c>
      <c r="D603" s="57" t="s">
        <v>17</v>
      </c>
      <c r="E603" s="57" t="str">
        <f>VLOOKUP(D603,tblProjekt[],2,FALSE)</f>
        <v>Powerspreadsheet Win7</v>
      </c>
      <c r="F603" s="58">
        <v>67</v>
      </c>
      <c r="G603" s="58"/>
      <c r="H603" s="58"/>
      <c r="I603" s="58"/>
      <c r="J603" s="58"/>
      <c r="K603" s="58"/>
      <c r="L603" s="59" t="s">
        <v>666</v>
      </c>
    </row>
    <row r="604" spans="2:12" x14ac:dyDescent="0.2">
      <c r="B604" s="55">
        <v>42110</v>
      </c>
      <c r="C604" s="56">
        <v>4.25</v>
      </c>
      <c r="D604" s="57" t="s">
        <v>17</v>
      </c>
      <c r="E604" s="57" t="str">
        <f>VLOOKUP(D604,tblProjekt[],2,FALSE)</f>
        <v>Powerspreadsheet Win7</v>
      </c>
      <c r="F604" s="58">
        <v>67</v>
      </c>
      <c r="G604" s="58"/>
      <c r="H604" s="58"/>
      <c r="I604" s="58"/>
      <c r="J604" s="58"/>
      <c r="K604" s="58"/>
      <c r="L604" s="59" t="s">
        <v>667</v>
      </c>
    </row>
    <row r="605" spans="2:12" ht="24" x14ac:dyDescent="0.2">
      <c r="B605" s="55">
        <v>42111</v>
      </c>
      <c r="C605" s="56">
        <v>1.5</v>
      </c>
      <c r="D605" s="57" t="s">
        <v>427</v>
      </c>
      <c r="E605" s="57" t="str">
        <f>VLOOKUP(D605,tblProjekt[],2,FALSE)</f>
        <v>Calculator übergreifend</v>
      </c>
      <c r="F605" s="58">
        <v>84</v>
      </c>
      <c r="G605" s="58"/>
      <c r="H605" s="58"/>
      <c r="I605" s="58"/>
      <c r="J605" s="58"/>
      <c r="K605" s="58"/>
      <c r="L605" s="59" t="s">
        <v>668</v>
      </c>
    </row>
    <row r="606" spans="2:12" ht="24" x14ac:dyDescent="0.2">
      <c r="B606" s="55">
        <v>42111</v>
      </c>
      <c r="C606" s="56">
        <v>0.25</v>
      </c>
      <c r="D606" s="57" t="s">
        <v>51</v>
      </c>
      <c r="E606" s="57" t="str">
        <f>VLOOKUP(D606,tblProjekt[],2,FALSE)</f>
        <v>L'Oreal Micro report</v>
      </c>
      <c r="F606" s="58">
        <v>66</v>
      </c>
      <c r="G606" s="58"/>
      <c r="H606" s="58"/>
      <c r="I606" s="58"/>
      <c r="J606" s="58"/>
      <c r="K606" s="58"/>
      <c r="L606" s="59" t="s">
        <v>669</v>
      </c>
    </row>
    <row r="607" spans="2:12" x14ac:dyDescent="0.2">
      <c r="B607" s="55">
        <v>42111</v>
      </c>
      <c r="C607" s="56">
        <v>0.75</v>
      </c>
      <c r="D607" s="57" t="s">
        <v>17</v>
      </c>
      <c r="E607" s="57" t="str">
        <f>VLOOKUP(D607,tblProjekt[],2,FALSE)</f>
        <v>Powerspreadsheet Win7</v>
      </c>
      <c r="F607" s="58">
        <v>67</v>
      </c>
      <c r="G607" s="58"/>
      <c r="H607" s="58"/>
      <c r="I607" s="58"/>
      <c r="J607" s="58"/>
      <c r="K607" s="58"/>
      <c r="L607" s="59" t="s">
        <v>667</v>
      </c>
    </row>
    <row r="608" spans="2:12" ht="24" x14ac:dyDescent="0.2">
      <c r="B608" s="55">
        <v>42111</v>
      </c>
      <c r="C608" s="56">
        <v>3.25</v>
      </c>
      <c r="D608" s="57" t="s">
        <v>41</v>
      </c>
      <c r="E608" s="57" t="str">
        <f>VLOOKUP(D608,tblProjekt[],2,FALSE)</f>
        <v>L'Oreal Distributionsreport</v>
      </c>
      <c r="F608" s="58">
        <v>66</v>
      </c>
      <c r="G608" s="58"/>
      <c r="H608" s="58"/>
      <c r="I608" s="58"/>
      <c r="J608" s="58"/>
      <c r="K608" s="58"/>
      <c r="L608" s="59" t="s">
        <v>671</v>
      </c>
    </row>
    <row r="609" spans="2:12" ht="24" x14ac:dyDescent="0.2">
      <c r="B609" s="55">
        <v>42111</v>
      </c>
      <c r="C609" s="56">
        <v>1.75</v>
      </c>
      <c r="D609" s="57" t="s">
        <v>51</v>
      </c>
      <c r="E609" s="57" t="str">
        <f>VLOOKUP(D609,tblProjekt[],2,FALSE)</f>
        <v>L'Oreal Micro report</v>
      </c>
      <c r="F609" s="58">
        <v>66</v>
      </c>
      <c r="G609" s="58"/>
      <c r="H609" s="58"/>
      <c r="I609" s="58"/>
      <c r="J609" s="58"/>
      <c r="K609" s="58"/>
      <c r="L609" s="59" t="s">
        <v>672</v>
      </c>
    </row>
    <row r="610" spans="2:12" ht="24" x14ac:dyDescent="0.2">
      <c r="B610" s="55">
        <v>42112</v>
      </c>
      <c r="C610" s="56">
        <v>1.5</v>
      </c>
      <c r="D610" s="57" t="s">
        <v>41</v>
      </c>
      <c r="E610" s="57" t="str">
        <f>VLOOKUP(D610,tblProjekt[],2,FALSE)</f>
        <v>L'Oreal Distributionsreport</v>
      </c>
      <c r="F610" s="58">
        <v>66</v>
      </c>
      <c r="G610" s="58"/>
      <c r="H610" s="58"/>
      <c r="I610" s="58"/>
      <c r="J610" s="58"/>
      <c r="K610" s="58"/>
      <c r="L610" s="59" t="s">
        <v>671</v>
      </c>
    </row>
    <row r="611" spans="2:12" x14ac:dyDescent="0.2">
      <c r="B611" s="55">
        <v>42112</v>
      </c>
      <c r="C611" s="56">
        <v>0.25</v>
      </c>
      <c r="D611" s="57" t="s">
        <v>17</v>
      </c>
      <c r="E611" s="57" t="str">
        <f>VLOOKUP(D611,tblProjekt[],2,FALSE)</f>
        <v>Powerspreadsheet Win7</v>
      </c>
      <c r="F611" s="58">
        <v>67</v>
      </c>
      <c r="G611" s="58"/>
      <c r="H611" s="58"/>
      <c r="I611" s="58"/>
      <c r="J611" s="58"/>
      <c r="K611" s="58"/>
      <c r="L611" s="59" t="s">
        <v>677</v>
      </c>
    </row>
    <row r="612" spans="2:12" ht="24" x14ac:dyDescent="0.2">
      <c r="B612" s="55">
        <v>42113</v>
      </c>
      <c r="C612" s="56">
        <v>1</v>
      </c>
      <c r="D612" s="57" t="s">
        <v>337</v>
      </c>
      <c r="E612" s="57" t="str">
        <f>VLOOKUP(D612,tblProjekt[],2,FALSE)</f>
        <v>Klosterfrau National</v>
      </c>
      <c r="F612" s="58">
        <v>70</v>
      </c>
      <c r="G612" s="58"/>
      <c r="H612" s="58"/>
      <c r="I612" s="58"/>
      <c r="J612" s="58"/>
      <c r="K612" s="58"/>
      <c r="L612" s="59" t="s">
        <v>674</v>
      </c>
    </row>
    <row r="613" spans="2:12" x14ac:dyDescent="0.2">
      <c r="B613" s="55">
        <v>42113</v>
      </c>
      <c r="C613" s="56">
        <v>0.25</v>
      </c>
      <c r="D613" s="57" t="s">
        <v>339</v>
      </c>
      <c r="E613" s="57" t="str">
        <f>VLOOKUP(D613,tblProjekt[],2,FALSE)</f>
        <v>Klosterfrau Regio</v>
      </c>
      <c r="F613" s="58">
        <v>70</v>
      </c>
      <c r="G613" s="58"/>
      <c r="H613" s="58"/>
      <c r="I613" s="58"/>
      <c r="J613" s="58"/>
      <c r="K613" s="58"/>
      <c r="L613" s="59" t="s">
        <v>673</v>
      </c>
    </row>
    <row r="614" spans="2:12" ht="24" x14ac:dyDescent="0.2">
      <c r="B614" s="55">
        <v>42113</v>
      </c>
      <c r="C614" s="56">
        <v>1.25</v>
      </c>
      <c r="D614" s="57" t="s">
        <v>41</v>
      </c>
      <c r="E614" s="57" t="str">
        <f>VLOOKUP(D614,tblProjekt[],2,FALSE)</f>
        <v>L'Oreal Distributionsreport</v>
      </c>
      <c r="F614" s="58">
        <v>66</v>
      </c>
      <c r="G614" s="58"/>
      <c r="H614" s="58"/>
      <c r="I614" s="58"/>
      <c r="J614" s="58"/>
      <c r="K614" s="58"/>
      <c r="L614" s="59" t="s">
        <v>675</v>
      </c>
    </row>
    <row r="615" spans="2:12" x14ac:dyDescent="0.2">
      <c r="B615" s="55">
        <v>42113</v>
      </c>
      <c r="C615" s="56">
        <v>0.5</v>
      </c>
      <c r="D615" s="57" t="s">
        <v>29</v>
      </c>
      <c r="E615" s="57" t="str">
        <f>VLOOKUP(D615,tblProjekt[],2,FALSE)</f>
        <v>CM Calculator</v>
      </c>
      <c r="F615" s="58">
        <v>53</v>
      </c>
      <c r="G615" s="58"/>
      <c r="H615" s="58"/>
      <c r="I615" s="58"/>
      <c r="J615" s="58"/>
      <c r="K615" s="58"/>
      <c r="L615" s="59" t="s">
        <v>676</v>
      </c>
    </row>
    <row r="616" spans="2:12" x14ac:dyDescent="0.2">
      <c r="B616" s="55">
        <v>42113</v>
      </c>
      <c r="C616" s="56">
        <v>1</v>
      </c>
      <c r="D616" s="57" t="s">
        <v>17</v>
      </c>
      <c r="E616" s="57" t="str">
        <f>VLOOKUP(D616,tblProjekt[],2,FALSE)</f>
        <v>Powerspreadsheet Win7</v>
      </c>
      <c r="F616" s="58">
        <v>67</v>
      </c>
      <c r="G616" s="58"/>
      <c r="H616" s="58"/>
      <c r="I616" s="58"/>
      <c r="J616" s="58"/>
      <c r="K616" s="58"/>
      <c r="L616" s="59" t="s">
        <v>667</v>
      </c>
    </row>
    <row r="617" spans="2:12" x14ac:dyDescent="0.2">
      <c r="B617" s="55">
        <v>42114</v>
      </c>
      <c r="C617" s="56">
        <v>0.25</v>
      </c>
      <c r="D617" s="57" t="s">
        <v>41</v>
      </c>
      <c r="E617" s="57" t="str">
        <f>VLOOKUP(D617,tblProjekt[],2,FALSE)</f>
        <v>L'Oreal Distributionsreport</v>
      </c>
      <c r="F617" s="58">
        <v>66</v>
      </c>
      <c r="G617" s="58"/>
      <c r="H617" s="58"/>
      <c r="I617" s="58"/>
      <c r="J617" s="58"/>
      <c r="K617" s="58"/>
      <c r="L617" s="59" t="s">
        <v>678</v>
      </c>
    </row>
    <row r="618" spans="2:12" ht="24" x14ac:dyDescent="0.2">
      <c r="B618" s="55">
        <v>42114</v>
      </c>
      <c r="C618" s="56">
        <v>0.25</v>
      </c>
      <c r="D618" s="57" t="s">
        <v>84</v>
      </c>
      <c r="E618" s="57" t="str">
        <f>VLOOKUP(D618,tblProjekt[],2,FALSE)</f>
        <v>Infrastruktur cognovo</v>
      </c>
      <c r="F618" s="58"/>
      <c r="G618" s="58"/>
      <c r="H618" s="58"/>
      <c r="I618" s="58"/>
      <c r="J618" s="58"/>
      <c r="K618" s="58"/>
      <c r="L618" s="59" t="s">
        <v>679</v>
      </c>
    </row>
    <row r="619" spans="2:12" ht="24" x14ac:dyDescent="0.2">
      <c r="B619" s="55">
        <v>42114</v>
      </c>
      <c r="C619" s="56">
        <v>0.75</v>
      </c>
      <c r="D619" s="57" t="s">
        <v>60</v>
      </c>
      <c r="E619" s="57" t="str">
        <f>VLOOKUP(D619,tblProjekt[],2,FALSE)</f>
        <v>Nutricia reports</v>
      </c>
      <c r="F619" s="58">
        <v>71</v>
      </c>
      <c r="G619" s="58"/>
      <c r="H619" s="58"/>
      <c r="I619" s="58"/>
      <c r="J619" s="58"/>
      <c r="K619" s="58"/>
      <c r="L619" s="59" t="s">
        <v>680</v>
      </c>
    </row>
    <row r="620" spans="2:12" x14ac:dyDescent="0.2">
      <c r="B620" s="55">
        <v>42114</v>
      </c>
      <c r="C620" s="56">
        <v>0.25</v>
      </c>
      <c r="D620" s="57" t="s">
        <v>690</v>
      </c>
      <c r="E620" s="57" t="str">
        <f>VLOOKUP(D620,tblProjekt[],2,FALSE)</f>
        <v>PHS Issor Calculator</v>
      </c>
      <c r="F620" s="58">
        <v>109</v>
      </c>
      <c r="G620" s="58"/>
      <c r="H620" s="58"/>
      <c r="I620" s="58"/>
      <c r="J620" s="58"/>
      <c r="K620" s="58"/>
      <c r="L620" s="59" t="s">
        <v>422</v>
      </c>
    </row>
    <row r="621" spans="2:12" ht="24" x14ac:dyDescent="0.2">
      <c r="B621" s="55">
        <v>42114</v>
      </c>
      <c r="C621" s="56">
        <v>0.5</v>
      </c>
      <c r="D621" s="57" t="s">
        <v>41</v>
      </c>
      <c r="E621" s="57" t="str">
        <f>VLOOKUP(D621,tblProjekt[],2,FALSE)</f>
        <v>L'Oreal Distributionsreport</v>
      </c>
      <c r="F621" s="58">
        <v>66</v>
      </c>
      <c r="G621" s="58"/>
      <c r="H621" s="58"/>
      <c r="I621" s="58"/>
      <c r="J621" s="58"/>
      <c r="K621" s="58"/>
      <c r="L621" s="59" t="s">
        <v>681</v>
      </c>
    </row>
    <row r="622" spans="2:12" x14ac:dyDescent="0.2">
      <c r="B622" s="55">
        <v>42114</v>
      </c>
      <c r="C622" s="56">
        <v>0.5</v>
      </c>
      <c r="D622" s="57" t="s">
        <v>17</v>
      </c>
      <c r="E622" s="57" t="str">
        <f>VLOOKUP(D622,tblProjekt[],2,FALSE)</f>
        <v>Powerspreadsheet Win7</v>
      </c>
      <c r="F622" s="58">
        <v>67</v>
      </c>
      <c r="G622" s="58"/>
      <c r="H622" s="58"/>
      <c r="I622" s="58"/>
      <c r="J622" s="58"/>
      <c r="K622" s="58"/>
      <c r="L622" s="59" t="s">
        <v>670</v>
      </c>
    </row>
    <row r="623" spans="2:12" ht="24" x14ac:dyDescent="0.2">
      <c r="B623" s="55">
        <v>42114</v>
      </c>
      <c r="C623" s="56">
        <v>1</v>
      </c>
      <c r="D623" s="57" t="s">
        <v>17</v>
      </c>
      <c r="E623" s="57" t="str">
        <f>VLOOKUP(D623,tblProjekt[],2,FALSE)</f>
        <v>Powerspreadsheet Win7</v>
      </c>
      <c r="F623" s="58">
        <v>67</v>
      </c>
      <c r="G623" s="58"/>
      <c r="H623" s="58"/>
      <c r="I623" s="58"/>
      <c r="J623" s="58"/>
      <c r="K623" s="58"/>
      <c r="L623" s="59" t="s">
        <v>682</v>
      </c>
    </row>
    <row r="624" spans="2:12" x14ac:dyDescent="0.2">
      <c r="B624" s="55">
        <v>42114</v>
      </c>
      <c r="C624" s="56">
        <v>0.5</v>
      </c>
      <c r="D624" s="57" t="s">
        <v>84</v>
      </c>
      <c r="E624" s="57" t="str">
        <f>VLOOKUP(D624,tblProjekt[],2,FALSE)</f>
        <v>Infrastruktur cognovo</v>
      </c>
      <c r="F624" s="58"/>
      <c r="G624" s="58"/>
      <c r="H624" s="58"/>
      <c r="I624" s="58"/>
      <c r="J624" s="58"/>
      <c r="K624" s="58"/>
      <c r="L624" s="59" t="s">
        <v>223</v>
      </c>
    </row>
    <row r="625" spans="2:12" ht="36" x14ac:dyDescent="0.2">
      <c r="B625" s="55">
        <v>42114</v>
      </c>
      <c r="C625" s="56">
        <v>2</v>
      </c>
      <c r="D625" s="57" t="s">
        <v>427</v>
      </c>
      <c r="E625" s="57" t="str">
        <f>VLOOKUP(D625,tblProjekt[],2,FALSE)</f>
        <v>Calculator übergreifend</v>
      </c>
      <c r="F625" s="58"/>
      <c r="G625" s="58"/>
      <c r="H625" s="58"/>
      <c r="I625" s="58"/>
      <c r="J625" s="58"/>
      <c r="K625" s="58"/>
      <c r="L625" s="59" t="s">
        <v>683</v>
      </c>
    </row>
    <row r="626" spans="2:12" x14ac:dyDescent="0.2">
      <c r="B626" s="55">
        <v>42114</v>
      </c>
      <c r="C626" s="56">
        <v>3.5</v>
      </c>
      <c r="D626" s="57" t="s">
        <v>84</v>
      </c>
      <c r="E626" s="57" t="str">
        <f>VLOOKUP(D626,tblProjekt[],2,FALSE)</f>
        <v>Infrastruktur cognovo</v>
      </c>
      <c r="F626" s="58"/>
      <c r="G626" s="58"/>
      <c r="H626" s="58"/>
      <c r="I626" s="58"/>
      <c r="J626" s="58"/>
      <c r="K626" s="58"/>
      <c r="L626" s="59" t="s">
        <v>684</v>
      </c>
    </row>
    <row r="627" spans="2:12" ht="36" x14ac:dyDescent="0.2">
      <c r="B627" s="55">
        <v>42115</v>
      </c>
      <c r="C627" s="56">
        <v>3</v>
      </c>
      <c r="D627" s="57" t="s">
        <v>6</v>
      </c>
      <c r="E627" s="57" t="str">
        <f>VLOOKUP(D627,tblProjekt[],2,FALSE)</f>
        <v>Produktionsportal 2</v>
      </c>
      <c r="F627" s="58"/>
      <c r="G627" s="58"/>
      <c r="H627" s="58"/>
      <c r="I627" s="58"/>
      <c r="J627" s="58"/>
      <c r="K627" s="58"/>
      <c r="L627" s="59" t="s">
        <v>685</v>
      </c>
    </row>
    <row r="628" spans="2:12" x14ac:dyDescent="0.2">
      <c r="B628" s="55">
        <v>42115</v>
      </c>
      <c r="C628" s="56">
        <v>2</v>
      </c>
      <c r="D628" s="57" t="s">
        <v>17</v>
      </c>
      <c r="E628" s="57" t="str">
        <f>VLOOKUP(D628,tblProjekt[],2,FALSE)</f>
        <v>Powerspreadsheet Win7</v>
      </c>
      <c r="F628" s="58"/>
      <c r="G628" s="58"/>
      <c r="H628" s="58"/>
      <c r="I628" s="58"/>
      <c r="J628" s="58"/>
      <c r="K628" s="58"/>
      <c r="L628" s="59" t="s">
        <v>686</v>
      </c>
    </row>
    <row r="629" spans="2:12" x14ac:dyDescent="0.2">
      <c r="B629" s="55">
        <v>42115</v>
      </c>
      <c r="C629" s="56">
        <v>2</v>
      </c>
      <c r="D629" s="57" t="s">
        <v>17</v>
      </c>
      <c r="E629" s="57" t="str">
        <f>VLOOKUP(D629,tblProjekt[],2,FALSE)</f>
        <v>Powerspreadsheet Win7</v>
      </c>
      <c r="F629" s="58"/>
      <c r="G629" s="58"/>
      <c r="H629" s="58"/>
      <c r="I629" s="58"/>
      <c r="J629" s="58"/>
      <c r="K629" s="58"/>
      <c r="L629" s="59" t="s">
        <v>687</v>
      </c>
    </row>
    <row r="630" spans="2:12" ht="24" x14ac:dyDescent="0.2">
      <c r="B630" s="55">
        <v>42115</v>
      </c>
      <c r="C630" s="56">
        <v>1.5</v>
      </c>
      <c r="D630" s="57" t="s">
        <v>427</v>
      </c>
      <c r="E630" s="57" t="str">
        <f>VLOOKUP(D630,tblProjekt[],2,FALSE)</f>
        <v>Calculator übergreifend</v>
      </c>
      <c r="F630" s="58"/>
      <c r="G630" s="58"/>
      <c r="H630" s="58"/>
      <c r="I630" s="58"/>
      <c r="J630" s="58"/>
      <c r="K630" s="58"/>
      <c r="L630" s="59" t="s">
        <v>688</v>
      </c>
    </row>
    <row r="631" spans="2:12" x14ac:dyDescent="0.2">
      <c r="B631" s="55">
        <v>42122</v>
      </c>
      <c r="C631" s="56">
        <v>0.75</v>
      </c>
      <c r="D631" s="57" t="s">
        <v>84</v>
      </c>
      <c r="E631" s="57" t="str">
        <f>VLOOKUP(D631,tblProjekt[],2,FALSE)</f>
        <v>Infrastruktur cognovo</v>
      </c>
      <c r="F631" s="58"/>
      <c r="G631" s="58"/>
      <c r="H631" s="58"/>
      <c r="I631" s="58"/>
      <c r="J631" s="58"/>
      <c r="K631" s="58"/>
      <c r="L631" s="59" t="s">
        <v>689</v>
      </c>
    </row>
    <row r="632" spans="2:12" x14ac:dyDescent="0.2">
      <c r="B632" s="55">
        <v>42123</v>
      </c>
      <c r="C632" s="56">
        <v>0.75</v>
      </c>
      <c r="D632" s="57" t="s">
        <v>690</v>
      </c>
      <c r="E632" s="57" t="str">
        <f>VLOOKUP(D632,tblProjekt[],2,FALSE)</f>
        <v>PHS Issor Calculator</v>
      </c>
      <c r="F632" s="58">
        <v>109</v>
      </c>
      <c r="G632" s="58"/>
      <c r="H632" s="58"/>
      <c r="I632" s="58"/>
      <c r="J632" s="58"/>
      <c r="K632" s="58"/>
      <c r="L632" s="59" t="s">
        <v>227</v>
      </c>
    </row>
    <row r="633" spans="2:12" ht="24" x14ac:dyDescent="0.2">
      <c r="B633" s="55">
        <v>42123</v>
      </c>
      <c r="C633" s="56">
        <v>1.25</v>
      </c>
      <c r="D633" s="57" t="s">
        <v>17</v>
      </c>
      <c r="E633" s="57" t="str">
        <f>VLOOKUP(D633,tblProjekt[],2,FALSE)</f>
        <v>Powerspreadsheet Win7</v>
      </c>
      <c r="F633" s="58">
        <v>42</v>
      </c>
      <c r="G633" s="58"/>
      <c r="H633" s="58"/>
      <c r="I633" s="58"/>
      <c r="J633" s="58"/>
      <c r="K633" s="58"/>
      <c r="L633" s="59" t="s">
        <v>691</v>
      </c>
    </row>
    <row r="634" spans="2:12" ht="24" x14ac:dyDescent="0.2">
      <c r="B634" s="55">
        <v>42123</v>
      </c>
      <c r="C634" s="56">
        <v>1</v>
      </c>
      <c r="D634" s="57" t="s">
        <v>427</v>
      </c>
      <c r="E634" s="57" t="str">
        <f>VLOOKUP(D634,tblProjekt[],2,FALSE)</f>
        <v>Calculator übergreifend</v>
      </c>
      <c r="F634" s="58"/>
      <c r="G634" s="58"/>
      <c r="H634" s="58"/>
      <c r="I634" s="58"/>
      <c r="J634" s="58"/>
      <c r="K634" s="58"/>
      <c r="L634" s="59" t="s">
        <v>692</v>
      </c>
    </row>
    <row r="635" spans="2:12" ht="24" x14ac:dyDescent="0.2">
      <c r="B635" s="55">
        <v>42123</v>
      </c>
      <c r="C635" s="56">
        <v>6.25</v>
      </c>
      <c r="D635" s="57" t="s">
        <v>17</v>
      </c>
      <c r="E635" s="57" t="str">
        <f>VLOOKUP(D635,tblProjekt[],2,FALSE)</f>
        <v>Powerspreadsheet Win7</v>
      </c>
      <c r="F635" s="58">
        <v>42</v>
      </c>
      <c r="G635" s="58"/>
      <c r="H635" s="58"/>
      <c r="I635" s="58"/>
      <c r="J635" s="58"/>
      <c r="K635" s="58"/>
      <c r="L635" s="59" t="s">
        <v>693</v>
      </c>
    </row>
    <row r="636" spans="2:12" x14ac:dyDescent="0.2">
      <c r="B636" s="55">
        <v>42124</v>
      </c>
      <c r="C636" s="56">
        <v>1</v>
      </c>
      <c r="D636" s="57" t="s">
        <v>17</v>
      </c>
      <c r="E636" s="57" t="str">
        <f>VLOOKUP(D636,tblProjekt[],2,FALSE)</f>
        <v>Powerspreadsheet Win7</v>
      </c>
      <c r="F636" s="58"/>
      <c r="G636" s="58"/>
      <c r="H636" s="58"/>
      <c r="I636" s="58"/>
      <c r="J636" s="58"/>
      <c r="K636" s="58"/>
      <c r="L636" s="59" t="s">
        <v>694</v>
      </c>
    </row>
    <row r="637" spans="2:12" x14ac:dyDescent="0.2">
      <c r="B637" s="55">
        <v>42124</v>
      </c>
      <c r="C637" s="56">
        <v>1.5</v>
      </c>
      <c r="D637" s="57" t="s">
        <v>427</v>
      </c>
      <c r="E637" s="57" t="str">
        <f>VLOOKUP(D637,tblProjekt[],2,FALSE)</f>
        <v>Calculator übergreifend</v>
      </c>
      <c r="F637" s="58"/>
      <c r="G637" s="58"/>
      <c r="H637" s="58"/>
      <c r="I637" s="58"/>
      <c r="J637" s="58"/>
      <c r="K637" s="58"/>
      <c r="L637" s="59" t="s">
        <v>694</v>
      </c>
    </row>
    <row r="638" spans="2:12" ht="24" x14ac:dyDescent="0.2">
      <c r="B638" s="55">
        <v>42124</v>
      </c>
      <c r="C638" s="56">
        <v>0.5</v>
      </c>
      <c r="D638" s="57" t="s">
        <v>63</v>
      </c>
      <c r="E638" s="57" t="str">
        <f>VLOOKUP(D638,tblProjekt[],2,FALSE)</f>
        <v>Klosterfrau Mass Market</v>
      </c>
      <c r="F638" s="58">
        <v>76</v>
      </c>
      <c r="G638" s="58"/>
      <c r="H638" s="58"/>
      <c r="I638" s="58"/>
      <c r="J638" s="58"/>
      <c r="K638" s="58"/>
      <c r="L638" s="59" t="s">
        <v>695</v>
      </c>
    </row>
    <row r="639" spans="2:12" x14ac:dyDescent="0.2">
      <c r="B639" s="55">
        <v>42124</v>
      </c>
      <c r="C639" s="56">
        <v>0.25</v>
      </c>
      <c r="D639" s="57" t="s">
        <v>6</v>
      </c>
      <c r="E639" s="57" t="str">
        <f>VLOOKUP(D639,tblProjekt[],2,FALSE)</f>
        <v>Produktionsportal 2</v>
      </c>
      <c r="F639" s="58"/>
      <c r="G639" s="58"/>
      <c r="H639" s="58"/>
      <c r="I639" s="58"/>
      <c r="J639" s="58"/>
      <c r="K639" s="58"/>
      <c r="L639" s="59" t="s">
        <v>694</v>
      </c>
    </row>
    <row r="640" spans="2:12" x14ac:dyDescent="0.2">
      <c r="B640" s="55">
        <v>42124</v>
      </c>
      <c r="C640" s="56">
        <v>0.5</v>
      </c>
      <c r="D640" s="57" t="s">
        <v>84</v>
      </c>
      <c r="E640" s="57" t="str">
        <f>VLOOKUP(D640,tblProjekt[],2,FALSE)</f>
        <v>Infrastruktur cognovo</v>
      </c>
      <c r="F640" s="58"/>
      <c r="G640" s="58"/>
      <c r="H640" s="58"/>
      <c r="I640" s="58"/>
      <c r="J640" s="58"/>
      <c r="K640" s="58"/>
      <c r="L640" s="59" t="s">
        <v>694</v>
      </c>
    </row>
    <row r="641" spans="2:12" ht="24" x14ac:dyDescent="0.2">
      <c r="B641" s="55">
        <v>42124</v>
      </c>
      <c r="C641" s="56">
        <v>1</v>
      </c>
      <c r="D641" s="57" t="s">
        <v>63</v>
      </c>
      <c r="E641" s="57" t="str">
        <f>VLOOKUP(D641,tblProjekt[],2,FALSE)</f>
        <v>Klosterfrau Mass Market</v>
      </c>
      <c r="F641" s="58">
        <v>76</v>
      </c>
      <c r="G641" s="58"/>
      <c r="H641" s="58"/>
      <c r="I641" s="58"/>
      <c r="J641" s="58"/>
      <c r="K641" s="58"/>
      <c r="L641" s="59" t="s">
        <v>696</v>
      </c>
    </row>
    <row r="642" spans="2:12" ht="24" x14ac:dyDescent="0.2">
      <c r="B642" s="55">
        <v>42124</v>
      </c>
      <c r="C642" s="56">
        <v>0.25</v>
      </c>
      <c r="D642" s="57" t="s">
        <v>690</v>
      </c>
      <c r="E642" s="57" t="str">
        <f>VLOOKUP(D642,tblProjekt[],2,FALSE)</f>
        <v>PHS Issor Calculator</v>
      </c>
      <c r="F642" s="58">
        <v>109</v>
      </c>
      <c r="G642" s="58"/>
      <c r="H642" s="58"/>
      <c r="I642" s="58"/>
      <c r="J642" s="58"/>
      <c r="K642" s="58"/>
      <c r="L642" s="59" t="s">
        <v>697</v>
      </c>
    </row>
    <row r="643" spans="2:12" ht="48" x14ac:dyDescent="0.2">
      <c r="B643" s="55">
        <v>42124</v>
      </c>
      <c r="C643" s="56">
        <v>2.75</v>
      </c>
      <c r="D643" s="57" t="s">
        <v>427</v>
      </c>
      <c r="E643" s="57" t="str">
        <f>VLOOKUP(D643,tblProjekt[],2,FALSE)</f>
        <v>Calculator übergreifend</v>
      </c>
      <c r="F643" s="58">
        <v>132</v>
      </c>
      <c r="G643" s="58"/>
      <c r="H643" s="58"/>
      <c r="I643" s="58"/>
      <c r="J643" s="58"/>
      <c r="K643" s="58"/>
      <c r="L643" s="59" t="s">
        <v>698</v>
      </c>
    </row>
    <row r="644" spans="2:12" ht="24" x14ac:dyDescent="0.2">
      <c r="B644" s="55">
        <v>42124</v>
      </c>
      <c r="C644" s="56">
        <v>0.5</v>
      </c>
      <c r="D644" s="57" t="s">
        <v>17</v>
      </c>
      <c r="E644" s="57" t="str">
        <f>VLOOKUP(D644,tblProjekt[],2,FALSE)</f>
        <v>Powerspreadsheet Win7</v>
      </c>
      <c r="F644" s="58">
        <v>42</v>
      </c>
      <c r="G644" s="58"/>
      <c r="H644" s="58"/>
      <c r="I644" s="58"/>
      <c r="J644" s="58"/>
      <c r="K644" s="58"/>
      <c r="L644" s="59" t="s">
        <v>699</v>
      </c>
    </row>
    <row r="645" spans="2:12" x14ac:dyDescent="0.2">
      <c r="B645" s="55">
        <v>42127</v>
      </c>
      <c r="C645" s="56">
        <v>0.5</v>
      </c>
      <c r="D645" s="57" t="s">
        <v>84</v>
      </c>
      <c r="E645" s="57" t="str">
        <f>VLOOKUP(D645,tblProjekt[],2,FALSE)</f>
        <v>Infrastruktur cognovo</v>
      </c>
      <c r="F645" s="58"/>
      <c r="G645" s="58"/>
      <c r="H645" s="58"/>
      <c r="I645" s="58"/>
      <c r="J645" s="58"/>
      <c r="K645" s="58"/>
      <c r="L645" s="59" t="s">
        <v>223</v>
      </c>
    </row>
    <row r="646" spans="2:12" ht="24" x14ac:dyDescent="0.2">
      <c r="B646" s="55">
        <v>42131</v>
      </c>
      <c r="C646" s="56">
        <v>0.5</v>
      </c>
      <c r="D646" s="57" t="s">
        <v>17</v>
      </c>
      <c r="E646" s="57" t="str">
        <f>VLOOKUP(D646,tblProjekt[],2,FALSE)</f>
        <v>Powerspreadsheet Win7</v>
      </c>
      <c r="F646" s="58"/>
      <c r="G646" s="58"/>
      <c r="H646" s="58"/>
      <c r="I646" s="58"/>
      <c r="J646" s="58"/>
      <c r="K646" s="58"/>
      <c r="L646" s="59" t="s">
        <v>707</v>
      </c>
    </row>
    <row r="647" spans="2:12" ht="24" x14ac:dyDescent="0.2">
      <c r="B647" s="55">
        <v>42131</v>
      </c>
      <c r="C647" s="56">
        <v>0.75</v>
      </c>
      <c r="D647" s="57" t="s">
        <v>427</v>
      </c>
      <c r="E647" s="57" t="str">
        <f>VLOOKUP(D647,tblProjekt[],2,FALSE)</f>
        <v>Calculator übergreifend</v>
      </c>
      <c r="F647" s="58"/>
      <c r="G647" s="58"/>
      <c r="H647" s="58"/>
      <c r="I647" s="58"/>
      <c r="J647" s="58"/>
      <c r="K647" s="58"/>
      <c r="L647" s="59" t="s">
        <v>708</v>
      </c>
    </row>
    <row r="648" spans="2:12" ht="24" x14ac:dyDescent="0.2">
      <c r="B648" s="55">
        <v>42131</v>
      </c>
      <c r="C648" s="56">
        <v>0.25</v>
      </c>
      <c r="D648" s="57" t="s">
        <v>705</v>
      </c>
      <c r="E648" s="57" t="str">
        <f>VLOOKUP(D648,tblProjekt[],2,FALSE)</f>
        <v>XMM Calculator</v>
      </c>
      <c r="F648" s="58">
        <v>136</v>
      </c>
      <c r="G648" s="58"/>
      <c r="H648" s="58"/>
      <c r="I648" s="58"/>
      <c r="J648" s="58"/>
      <c r="K648" s="58"/>
      <c r="L648" s="59" t="s">
        <v>709</v>
      </c>
    </row>
    <row r="649" spans="2:12" ht="24" x14ac:dyDescent="0.2">
      <c r="B649" s="55">
        <v>42131</v>
      </c>
      <c r="C649" s="56">
        <v>0.25</v>
      </c>
      <c r="D649" s="57" t="s">
        <v>29</v>
      </c>
      <c r="E649" s="57" t="str">
        <f>VLOOKUP(D649,tblProjekt[],2,FALSE)</f>
        <v>CM Calculator</v>
      </c>
      <c r="F649" s="58">
        <v>136</v>
      </c>
      <c r="G649" s="58"/>
      <c r="H649" s="58"/>
      <c r="I649" s="58"/>
      <c r="J649" s="58"/>
      <c r="K649" s="58"/>
      <c r="L649" s="59" t="s">
        <v>709</v>
      </c>
    </row>
    <row r="650" spans="2:12" x14ac:dyDescent="0.2">
      <c r="B650" s="55">
        <v>42131</v>
      </c>
      <c r="C650" s="56">
        <v>0.25</v>
      </c>
      <c r="D650" s="57" t="s">
        <v>84</v>
      </c>
      <c r="E650" s="57" t="str">
        <f>VLOOKUP(D650,tblProjekt[],2,FALSE)</f>
        <v>Infrastruktur cognovo</v>
      </c>
      <c r="F650" s="58"/>
      <c r="G650" s="58"/>
      <c r="H650" s="58"/>
      <c r="I650" s="58"/>
      <c r="J650" s="58"/>
      <c r="K650" s="58"/>
      <c r="L650" s="59" t="s">
        <v>710</v>
      </c>
    </row>
    <row r="651" spans="2:12" x14ac:dyDescent="0.2">
      <c r="B651" s="55">
        <v>42131</v>
      </c>
      <c r="C651" s="56">
        <v>0.5</v>
      </c>
      <c r="D651" s="57" t="s">
        <v>84</v>
      </c>
      <c r="E651" s="57" t="str">
        <f>VLOOKUP(D651,tblProjekt[],2,FALSE)</f>
        <v>Infrastruktur cognovo</v>
      </c>
      <c r="F651" s="58">
        <v>5</v>
      </c>
      <c r="G651" s="58"/>
      <c r="H651" s="58"/>
      <c r="I651" s="58"/>
      <c r="J651" s="58"/>
      <c r="K651" s="58"/>
      <c r="L651" s="59" t="s">
        <v>711</v>
      </c>
    </row>
    <row r="652" spans="2:12" ht="36" x14ac:dyDescent="0.2">
      <c r="B652" s="55">
        <v>42131</v>
      </c>
      <c r="C652" s="56">
        <v>2.75</v>
      </c>
      <c r="D652" s="57" t="s">
        <v>17</v>
      </c>
      <c r="E652" s="57" t="str">
        <f>VLOOKUP(D652,tblProjekt[],2,FALSE)</f>
        <v>Powerspreadsheet Win7</v>
      </c>
      <c r="F652" s="58">
        <v>75</v>
      </c>
      <c r="G652" s="58"/>
      <c r="H652" s="58"/>
      <c r="I652" s="58"/>
      <c r="J652" s="58"/>
      <c r="K652" s="58"/>
      <c r="L652" s="59" t="s">
        <v>713</v>
      </c>
    </row>
    <row r="653" spans="2:12" x14ac:dyDescent="0.2">
      <c r="B653" s="55">
        <v>42131</v>
      </c>
      <c r="C653" s="56">
        <v>1</v>
      </c>
      <c r="D653" s="57" t="s">
        <v>17</v>
      </c>
      <c r="E653" s="57" t="str">
        <f>VLOOKUP(D653,tblProjekt[],2,FALSE)</f>
        <v>Powerspreadsheet Win7</v>
      </c>
      <c r="F653" s="58">
        <v>75</v>
      </c>
      <c r="G653" s="58"/>
      <c r="H653" s="58"/>
      <c r="I653" s="58"/>
      <c r="J653" s="58"/>
      <c r="K653" s="58"/>
      <c r="L653" s="59" t="s">
        <v>231</v>
      </c>
    </row>
    <row r="654" spans="2:12" ht="24" x14ac:dyDescent="0.2">
      <c r="B654" s="55">
        <v>42131</v>
      </c>
      <c r="C654" s="56">
        <v>1.5</v>
      </c>
      <c r="D654" s="57" t="s">
        <v>84</v>
      </c>
      <c r="E654" s="57" t="str">
        <f>VLOOKUP(D654,tblProjekt[],2,FALSE)</f>
        <v>Infrastruktur cognovo</v>
      </c>
      <c r="F654" s="58"/>
      <c r="G654" s="58"/>
      <c r="H654" s="58"/>
      <c r="I654" s="58"/>
      <c r="J654" s="58"/>
      <c r="K654" s="58"/>
      <c r="L654" s="59" t="s">
        <v>712</v>
      </c>
    </row>
    <row r="655" spans="2:12" x14ac:dyDescent="0.2">
      <c r="B655" s="55">
        <v>42131</v>
      </c>
      <c r="C655" s="56">
        <v>0.5</v>
      </c>
      <c r="D655" s="57" t="s">
        <v>703</v>
      </c>
      <c r="E655" s="57" t="str">
        <f>VLOOKUP(D655,tblProjekt[],2,FALSE)</f>
        <v>RVM Calculator</v>
      </c>
      <c r="F655" s="58">
        <v>135</v>
      </c>
      <c r="G655" s="58"/>
      <c r="H655" s="58"/>
      <c r="I655" s="58"/>
      <c r="J655" s="58"/>
      <c r="K655" s="58"/>
      <c r="L655" s="59" t="s">
        <v>416</v>
      </c>
    </row>
    <row r="656" spans="2:12" ht="24" x14ac:dyDescent="0.2">
      <c r="B656" s="55">
        <v>42132</v>
      </c>
      <c r="C656" s="56">
        <v>0.25</v>
      </c>
      <c r="D656" s="57" t="s">
        <v>63</v>
      </c>
      <c r="E656" s="57" t="str">
        <f>VLOOKUP(D656,tblProjekt[],2,FALSE)</f>
        <v>Klosterfrau Mass Market</v>
      </c>
      <c r="F656" s="58"/>
      <c r="G656" s="58"/>
      <c r="H656" s="58"/>
      <c r="I656" s="58"/>
      <c r="J656" s="58"/>
      <c r="K656" s="58"/>
      <c r="L656" s="59" t="s">
        <v>714</v>
      </c>
    </row>
    <row r="657" spans="2:12" ht="24" x14ac:dyDescent="0.2">
      <c r="B657" s="55">
        <v>42132</v>
      </c>
      <c r="C657" s="56">
        <v>0.5</v>
      </c>
      <c r="D657" s="57" t="s">
        <v>705</v>
      </c>
      <c r="E657" s="57" t="str">
        <f>VLOOKUP(D657,tblProjekt[],2,FALSE)</f>
        <v>XMM Calculator</v>
      </c>
      <c r="F657" s="58"/>
      <c r="G657" s="58"/>
      <c r="H657" s="58"/>
      <c r="I657" s="58"/>
      <c r="J657" s="58"/>
      <c r="K657" s="58"/>
      <c r="L657" s="59" t="s">
        <v>715</v>
      </c>
    </row>
    <row r="658" spans="2:12" ht="24" x14ac:dyDescent="0.2">
      <c r="B658" s="55">
        <v>42132</v>
      </c>
      <c r="C658" s="56">
        <v>0.5</v>
      </c>
      <c r="D658" s="57" t="s">
        <v>703</v>
      </c>
      <c r="E658" s="57" t="str">
        <f>VLOOKUP(D658,tblProjekt[],2,FALSE)</f>
        <v>RVM Calculator</v>
      </c>
      <c r="F658" s="58"/>
      <c r="G658" s="58"/>
      <c r="H658" s="58"/>
      <c r="I658" s="58"/>
      <c r="J658" s="58"/>
      <c r="K658" s="58"/>
      <c r="L658" s="59" t="s">
        <v>715</v>
      </c>
    </row>
    <row r="659" spans="2:12" ht="24" x14ac:dyDescent="0.2">
      <c r="B659" s="55">
        <v>42132</v>
      </c>
      <c r="C659" s="56">
        <v>0.25</v>
      </c>
      <c r="D659" s="57" t="s">
        <v>29</v>
      </c>
      <c r="E659" s="57" t="str">
        <f>VLOOKUP(D659,tblProjekt[],2,FALSE)</f>
        <v>CM Calculator</v>
      </c>
      <c r="F659" s="58"/>
      <c r="G659" s="58"/>
      <c r="H659" s="58"/>
      <c r="I659" s="58"/>
      <c r="J659" s="58"/>
      <c r="K659" s="58"/>
      <c r="L659" s="59" t="s">
        <v>715</v>
      </c>
    </row>
    <row r="660" spans="2:12" ht="24" x14ac:dyDescent="0.2">
      <c r="B660" s="55">
        <v>42133</v>
      </c>
      <c r="C660" s="56">
        <v>3.25</v>
      </c>
      <c r="D660" s="57" t="s">
        <v>17</v>
      </c>
      <c r="E660" s="57" t="str">
        <f>VLOOKUP(D660,tblProjekt[],2,FALSE)</f>
        <v>Powerspreadsheet Win7</v>
      </c>
      <c r="F660" s="58">
        <v>75</v>
      </c>
      <c r="G660" s="58"/>
      <c r="H660" s="58"/>
      <c r="I660" s="58"/>
      <c r="J660" s="58"/>
      <c r="K660" s="58"/>
      <c r="L660" s="59" t="s">
        <v>716</v>
      </c>
    </row>
    <row r="661" spans="2:12" x14ac:dyDescent="0.2">
      <c r="B661" s="55">
        <v>42136</v>
      </c>
      <c r="C661" s="56">
        <v>3</v>
      </c>
      <c r="D661" s="57" t="s">
        <v>705</v>
      </c>
      <c r="E661" s="57" t="str">
        <f>VLOOKUP(D661,tblProjekt[],2,FALSE)</f>
        <v>XMM Calculator</v>
      </c>
      <c r="F661" s="58">
        <v>138</v>
      </c>
      <c r="G661" s="58"/>
      <c r="H661" s="58"/>
      <c r="I661" s="58"/>
      <c r="J661" s="58"/>
      <c r="K661" s="58"/>
      <c r="L661" s="59" t="s">
        <v>232</v>
      </c>
    </row>
    <row r="662" spans="2:12" ht="24" x14ac:dyDescent="0.2">
      <c r="B662" s="55">
        <v>42136</v>
      </c>
      <c r="C662" s="56">
        <v>0.75</v>
      </c>
      <c r="D662" s="57" t="s">
        <v>705</v>
      </c>
      <c r="E662" s="57" t="str">
        <f>VLOOKUP(D662,tblProjekt[],2,FALSE)</f>
        <v>XMM Calculator</v>
      </c>
      <c r="F662" s="58"/>
      <c r="G662" s="58"/>
      <c r="H662" s="58"/>
      <c r="I662" s="58"/>
      <c r="J662" s="58"/>
      <c r="K662" s="58"/>
      <c r="L662" s="59" t="s">
        <v>717</v>
      </c>
    </row>
    <row r="663" spans="2:12" x14ac:dyDescent="0.2">
      <c r="B663" s="55">
        <v>42136</v>
      </c>
      <c r="C663" s="56">
        <v>0.75</v>
      </c>
      <c r="D663" s="57" t="s">
        <v>29</v>
      </c>
      <c r="E663" s="57" t="str">
        <f>VLOOKUP(D663,tblProjekt[],2,FALSE)</f>
        <v>CM Calculator</v>
      </c>
      <c r="F663" s="58">
        <v>139</v>
      </c>
      <c r="G663" s="58"/>
      <c r="H663" s="58"/>
      <c r="I663" s="58"/>
      <c r="J663" s="58"/>
      <c r="K663" s="58"/>
      <c r="L663" s="59" t="s">
        <v>232</v>
      </c>
    </row>
    <row r="664" spans="2:12" ht="24" x14ac:dyDescent="0.2">
      <c r="B664" s="55">
        <v>42139</v>
      </c>
      <c r="C664" s="56">
        <v>2</v>
      </c>
      <c r="D664" s="57" t="s">
        <v>17</v>
      </c>
      <c r="E664" s="57" t="str">
        <f>VLOOKUP(D664,tblProjekt[],2,FALSE)</f>
        <v>Powerspreadsheet Win7</v>
      </c>
      <c r="F664" s="58">
        <v>76</v>
      </c>
      <c r="G664" s="58"/>
      <c r="H664" s="58"/>
      <c r="I664" s="58"/>
      <c r="J664" s="58"/>
      <c r="K664" s="58"/>
      <c r="L664" s="59" t="s">
        <v>718</v>
      </c>
    </row>
    <row r="665" spans="2:12" x14ac:dyDescent="0.2">
      <c r="B665" s="55">
        <v>42141</v>
      </c>
      <c r="C665" s="56">
        <v>1.5</v>
      </c>
      <c r="D665" s="57" t="s">
        <v>60</v>
      </c>
      <c r="E665" s="57" t="str">
        <f>VLOOKUP(D665,tblProjekt[],2,FALSE)</f>
        <v>Nutricia reports</v>
      </c>
      <c r="F665" s="58">
        <v>69</v>
      </c>
      <c r="G665" s="58"/>
      <c r="H665" s="58"/>
      <c r="I665" s="58"/>
      <c r="J665" s="58"/>
      <c r="K665" s="58"/>
      <c r="L665" s="59" t="s">
        <v>719</v>
      </c>
    </row>
    <row r="666" spans="2:12" ht="24" x14ac:dyDescent="0.2">
      <c r="B666" s="55">
        <v>42141</v>
      </c>
      <c r="C666" s="56">
        <v>3</v>
      </c>
      <c r="D666" s="57" t="s">
        <v>17</v>
      </c>
      <c r="E666" s="57" t="str">
        <f>VLOOKUP(D666,tblProjekt[],2,FALSE)</f>
        <v>Powerspreadsheet Win7</v>
      </c>
      <c r="F666" s="58">
        <v>75</v>
      </c>
      <c r="G666" s="58"/>
      <c r="H666" s="58"/>
      <c r="I666" s="58"/>
      <c r="J666" s="58"/>
      <c r="K666" s="58"/>
      <c r="L666" s="59" t="s">
        <v>720</v>
      </c>
    </row>
    <row r="667" spans="2:12" ht="24" x14ac:dyDescent="0.2">
      <c r="B667" s="55">
        <v>42142</v>
      </c>
      <c r="C667" s="56">
        <v>1</v>
      </c>
      <c r="D667" s="57" t="s">
        <v>703</v>
      </c>
      <c r="E667" s="57" t="str">
        <f>VLOOKUP(D667,tblProjekt[],2,FALSE)</f>
        <v>RVM Calculator</v>
      </c>
      <c r="F667" s="58">
        <v>140</v>
      </c>
      <c r="G667" s="58"/>
      <c r="H667" s="58"/>
      <c r="I667" s="58"/>
      <c r="J667" s="58"/>
      <c r="K667" s="58"/>
      <c r="L667" s="59" t="s">
        <v>654</v>
      </c>
    </row>
    <row r="668" spans="2:12" x14ac:dyDescent="0.2">
      <c r="B668" s="55">
        <v>42142</v>
      </c>
      <c r="C668" s="56">
        <v>0.25</v>
      </c>
      <c r="D668" s="57" t="s">
        <v>337</v>
      </c>
      <c r="E668" s="57" t="str">
        <f>VLOOKUP(D668,tblProjekt[],2,FALSE)</f>
        <v>Klosterfrau National</v>
      </c>
      <c r="F668" s="58">
        <v>78</v>
      </c>
      <c r="G668" s="58"/>
      <c r="H668" s="58"/>
      <c r="I668" s="58"/>
      <c r="J668" s="58"/>
      <c r="K668" s="58"/>
      <c r="L668" s="59" t="s">
        <v>721</v>
      </c>
    </row>
    <row r="669" spans="2:12" ht="24" x14ac:dyDescent="0.2">
      <c r="B669" s="55">
        <v>42142</v>
      </c>
      <c r="C669" s="56">
        <v>3.25</v>
      </c>
      <c r="D669" s="57" t="s">
        <v>60</v>
      </c>
      <c r="E669" s="57" t="str">
        <f>VLOOKUP(D669,tblProjekt[],2,FALSE)</f>
        <v>Nutricia reports</v>
      </c>
      <c r="F669" s="58">
        <v>69</v>
      </c>
      <c r="G669" s="58"/>
      <c r="H669" s="58"/>
      <c r="I669" s="58"/>
      <c r="J669" s="58"/>
      <c r="K669" s="58"/>
      <c r="L669" s="59" t="s">
        <v>722</v>
      </c>
    </row>
    <row r="670" spans="2:12" ht="24" x14ac:dyDescent="0.2">
      <c r="B670" s="55">
        <v>42143</v>
      </c>
      <c r="C670" s="56">
        <v>0.5</v>
      </c>
      <c r="D670" s="57" t="s">
        <v>339</v>
      </c>
      <c r="E670" s="57" t="str">
        <f>VLOOKUP(D670,tblProjekt[],2,FALSE)</f>
        <v>Klosterfrau Regio</v>
      </c>
      <c r="F670" s="58">
        <v>78</v>
      </c>
      <c r="G670" s="58"/>
      <c r="H670" s="58"/>
      <c r="I670" s="58"/>
      <c r="J670" s="58"/>
      <c r="K670" s="58"/>
      <c r="L670" s="59" t="s">
        <v>723</v>
      </c>
    </row>
    <row r="671" spans="2:12" ht="24" x14ac:dyDescent="0.2">
      <c r="B671" s="55">
        <v>42144</v>
      </c>
      <c r="C671" s="56">
        <v>0.75</v>
      </c>
      <c r="D671" s="57" t="s">
        <v>337</v>
      </c>
      <c r="E671" s="57" t="str">
        <f>VLOOKUP(D671,tblProjekt[],2,FALSE)</f>
        <v>Klosterfrau National</v>
      </c>
      <c r="F671" s="58">
        <v>78</v>
      </c>
      <c r="G671" s="58"/>
      <c r="H671" s="58"/>
      <c r="I671" s="58"/>
      <c r="J671" s="58"/>
      <c r="K671" s="58"/>
      <c r="L671" s="59" t="s">
        <v>724</v>
      </c>
    </row>
    <row r="672" spans="2:12" x14ac:dyDescent="0.2">
      <c r="B672" s="55">
        <v>42145</v>
      </c>
      <c r="C672" s="56">
        <v>6.75</v>
      </c>
      <c r="D672" s="57" t="s">
        <v>60</v>
      </c>
      <c r="E672" s="57" t="str">
        <f>VLOOKUP(D672,tblProjekt[],2,FALSE)</f>
        <v>Nutricia reports</v>
      </c>
      <c r="F672" s="58">
        <v>69</v>
      </c>
      <c r="G672" s="58"/>
      <c r="H672" s="58"/>
      <c r="I672" s="58"/>
      <c r="J672" s="58"/>
      <c r="K672" s="58"/>
      <c r="L672" s="59" t="s">
        <v>725</v>
      </c>
    </row>
    <row r="673" spans="2:12" x14ac:dyDescent="0.2">
      <c r="B673" s="55">
        <v>42146</v>
      </c>
      <c r="C673" s="56">
        <v>6.75</v>
      </c>
      <c r="D673" s="57" t="s">
        <v>60</v>
      </c>
      <c r="E673" s="57" t="str">
        <f>VLOOKUP(D673,tblProjekt[],2,FALSE)</f>
        <v>Nutricia reports</v>
      </c>
      <c r="F673" s="58">
        <v>69</v>
      </c>
      <c r="G673" s="58"/>
      <c r="H673" s="58"/>
      <c r="I673" s="58"/>
      <c r="J673" s="58"/>
      <c r="K673" s="58"/>
      <c r="L673" s="59" t="s">
        <v>725</v>
      </c>
    </row>
    <row r="674" spans="2:12" x14ac:dyDescent="0.2">
      <c r="B674" s="55">
        <v>42146</v>
      </c>
      <c r="C674" s="56">
        <v>0.25</v>
      </c>
      <c r="D674" s="57" t="s">
        <v>29</v>
      </c>
      <c r="E674" s="57" t="str">
        <f>VLOOKUP(D674,tblProjekt[],2,FALSE)</f>
        <v>CM Calculator</v>
      </c>
      <c r="F674" s="58">
        <v>53</v>
      </c>
      <c r="G674" s="58"/>
      <c r="H674" s="58"/>
      <c r="I674" s="58"/>
      <c r="J674" s="58"/>
      <c r="K674" s="58"/>
      <c r="L674" s="59" t="s">
        <v>726</v>
      </c>
    </row>
    <row r="675" spans="2:12" ht="24" x14ac:dyDescent="0.2">
      <c r="B675" s="55">
        <v>42146</v>
      </c>
      <c r="C675" s="56">
        <v>2.5</v>
      </c>
      <c r="D675" s="57" t="s">
        <v>17</v>
      </c>
      <c r="E675" s="57" t="str">
        <f>VLOOKUP(D675,tblProjekt[],2,FALSE)</f>
        <v>Powerspreadsheet Win7</v>
      </c>
      <c r="F675" s="58">
        <v>75</v>
      </c>
      <c r="G675" s="58"/>
      <c r="H675" s="58"/>
      <c r="I675" s="58"/>
      <c r="J675" s="58"/>
      <c r="K675" s="58"/>
      <c r="L675" s="59" t="s">
        <v>727</v>
      </c>
    </row>
    <row r="676" spans="2:12" ht="24" x14ac:dyDescent="0.2">
      <c r="B676" s="55">
        <v>42150</v>
      </c>
      <c r="C676" s="56">
        <v>1</v>
      </c>
      <c r="D676" s="57" t="s">
        <v>60</v>
      </c>
      <c r="E676" s="57" t="str">
        <f>VLOOKUP(D676,tblProjekt[],2,FALSE)</f>
        <v>Nutricia reports</v>
      </c>
      <c r="F676" s="58">
        <v>69</v>
      </c>
      <c r="G676" s="58"/>
      <c r="H676" s="58"/>
      <c r="I676" s="58"/>
      <c r="J676" s="58"/>
      <c r="K676" s="58"/>
      <c r="L676" s="59" t="s">
        <v>728</v>
      </c>
    </row>
    <row r="677" spans="2:12" ht="24" x14ac:dyDescent="0.2">
      <c r="B677" s="55">
        <v>42156</v>
      </c>
      <c r="C677" s="56">
        <v>0.5</v>
      </c>
      <c r="D677" s="57" t="s">
        <v>84</v>
      </c>
      <c r="E677" s="57" t="str">
        <f>VLOOKUP(D677,tblProjekt[],2,FALSE)</f>
        <v>Infrastruktur cognovo</v>
      </c>
      <c r="F677" s="58"/>
      <c r="G677" s="58"/>
      <c r="H677" s="58"/>
      <c r="I677" s="58"/>
      <c r="J677" s="58"/>
      <c r="K677" s="58"/>
      <c r="L677" s="59" t="s">
        <v>730</v>
      </c>
    </row>
    <row r="678" spans="2:12" x14ac:dyDescent="0.2">
      <c r="B678" s="55">
        <v>42156</v>
      </c>
      <c r="C678" s="56">
        <v>0.75</v>
      </c>
      <c r="D678" s="57" t="s">
        <v>427</v>
      </c>
      <c r="E678" s="57" t="str">
        <f>VLOOKUP(D678,tblProjekt[],2,FALSE)</f>
        <v>Calculator übergreifend</v>
      </c>
      <c r="F678" s="58"/>
      <c r="G678" s="58"/>
      <c r="H678" s="58"/>
      <c r="I678" s="58"/>
      <c r="J678" s="58"/>
      <c r="K678" s="58"/>
      <c r="L678" s="59" t="s">
        <v>729</v>
      </c>
    </row>
    <row r="679" spans="2:12" x14ac:dyDescent="0.2">
      <c r="B679" s="55">
        <v>42156</v>
      </c>
      <c r="C679" s="56">
        <v>0.5</v>
      </c>
      <c r="D679" s="57" t="s">
        <v>17</v>
      </c>
      <c r="E679" s="57" t="str">
        <f>VLOOKUP(D679,tblProjekt[],2,FALSE)</f>
        <v>Powerspreadsheet Win7</v>
      </c>
      <c r="F679" s="58"/>
      <c r="G679" s="58"/>
      <c r="H679" s="58"/>
      <c r="I679" s="58"/>
      <c r="J679" s="58"/>
      <c r="K679" s="58"/>
      <c r="L679" s="59" t="s">
        <v>729</v>
      </c>
    </row>
    <row r="680" spans="2:12" x14ac:dyDescent="0.2">
      <c r="B680" s="55">
        <v>42156</v>
      </c>
      <c r="C680" s="56">
        <v>0.25</v>
      </c>
      <c r="D680" s="57" t="s">
        <v>6</v>
      </c>
      <c r="E680" s="57" t="str">
        <f>VLOOKUP(D680,tblProjekt[],2,FALSE)</f>
        <v>Produktionsportal 2</v>
      </c>
      <c r="F680" s="58"/>
      <c r="G680" s="58"/>
      <c r="H680" s="58"/>
      <c r="I680" s="58"/>
      <c r="J680" s="58"/>
      <c r="K680" s="58"/>
      <c r="L680" s="59" t="s">
        <v>729</v>
      </c>
    </row>
    <row r="681" spans="2:12" x14ac:dyDescent="0.2">
      <c r="B681" s="55">
        <v>42156</v>
      </c>
      <c r="C681" s="56">
        <v>0.75</v>
      </c>
      <c r="D681" s="57" t="s">
        <v>427</v>
      </c>
      <c r="E681" s="57" t="str">
        <f>VLOOKUP(D681,tblProjekt[],2,FALSE)</f>
        <v>Calculator übergreifend</v>
      </c>
      <c r="F681" s="58"/>
      <c r="G681" s="58"/>
      <c r="H681" s="58"/>
      <c r="I681" s="58"/>
      <c r="J681" s="58"/>
      <c r="K681" s="58"/>
      <c r="L681" s="59" t="s">
        <v>731</v>
      </c>
    </row>
    <row r="682" spans="2:12" x14ac:dyDescent="0.2">
      <c r="B682" s="55">
        <v>42156</v>
      </c>
      <c r="C682" s="56">
        <v>0.75</v>
      </c>
      <c r="D682" s="57" t="s">
        <v>703</v>
      </c>
      <c r="E682" s="57" t="str">
        <f>VLOOKUP(D682,tblProjekt[],2,FALSE)</f>
        <v>RVM Calculator</v>
      </c>
      <c r="F682" s="58"/>
      <c r="G682" s="58"/>
      <c r="H682" s="58"/>
      <c r="I682" s="58"/>
      <c r="J682" s="58"/>
      <c r="K682" s="58"/>
      <c r="L682" s="59" t="s">
        <v>732</v>
      </c>
    </row>
    <row r="683" spans="2:12" ht="24" x14ac:dyDescent="0.2">
      <c r="B683" s="55">
        <v>42156</v>
      </c>
      <c r="C683" s="56">
        <v>1.75</v>
      </c>
      <c r="D683" s="57" t="s">
        <v>60</v>
      </c>
      <c r="E683" s="57" t="str">
        <f>VLOOKUP(D683,tblProjekt[],2,FALSE)</f>
        <v>Nutricia reports</v>
      </c>
      <c r="F683" s="58">
        <v>69</v>
      </c>
      <c r="G683" s="58"/>
      <c r="H683" s="58"/>
      <c r="I683" s="58"/>
      <c r="J683" s="58"/>
      <c r="K683" s="58"/>
      <c r="L683" s="59" t="s">
        <v>733</v>
      </c>
    </row>
    <row r="684" spans="2:12" x14ac:dyDescent="0.2">
      <c r="B684" s="55">
        <v>42156</v>
      </c>
      <c r="C684" s="56">
        <v>0.5</v>
      </c>
      <c r="D684" s="57" t="s">
        <v>84</v>
      </c>
      <c r="E684" s="57" t="str">
        <f>VLOOKUP(D684,tblProjekt[],2,FALSE)</f>
        <v>Infrastruktur cognovo</v>
      </c>
      <c r="F684" s="58"/>
      <c r="G684" s="58"/>
      <c r="H684" s="58"/>
      <c r="I684" s="58"/>
      <c r="J684" s="58"/>
      <c r="K684" s="58"/>
      <c r="L684" s="59" t="s">
        <v>223</v>
      </c>
    </row>
    <row r="685" spans="2:12" ht="24" x14ac:dyDescent="0.2">
      <c r="B685" s="55">
        <v>42156</v>
      </c>
      <c r="C685" s="56">
        <v>0.75</v>
      </c>
      <c r="D685" s="57" t="s">
        <v>705</v>
      </c>
      <c r="E685" s="57" t="str">
        <f>VLOOKUP(D685,tblProjekt[],2,FALSE)</f>
        <v>XMM Calculator</v>
      </c>
      <c r="F685" s="58">
        <v>149</v>
      </c>
      <c r="G685" s="58"/>
      <c r="H685" s="58"/>
      <c r="I685" s="58"/>
      <c r="J685" s="58"/>
      <c r="K685" s="58"/>
      <c r="L685" s="59" t="s">
        <v>734</v>
      </c>
    </row>
    <row r="686" spans="2:12" ht="24" x14ac:dyDescent="0.2">
      <c r="B686" s="55">
        <v>42156</v>
      </c>
      <c r="C686" s="56">
        <v>0.5</v>
      </c>
      <c r="D686" s="57" t="s">
        <v>68</v>
      </c>
      <c r="E686" s="57" t="str">
        <f>VLOOKUP(D686,tblProjekt[],2,FALSE)</f>
        <v>L'Oreal Synthese, Flash + UGK</v>
      </c>
      <c r="F686" s="58" t="s">
        <v>735</v>
      </c>
      <c r="G686" s="58"/>
      <c r="H686" s="58"/>
      <c r="I686" s="58"/>
      <c r="J686" s="58"/>
      <c r="K686" s="58"/>
      <c r="L686" s="59" t="s">
        <v>736</v>
      </c>
    </row>
    <row r="687" spans="2:12" ht="36" x14ac:dyDescent="0.2">
      <c r="B687" s="55">
        <v>42156</v>
      </c>
      <c r="C687" s="56">
        <v>0.75</v>
      </c>
      <c r="D687" s="57" t="s">
        <v>17</v>
      </c>
      <c r="E687" s="57" t="str">
        <f>VLOOKUP(D687,tblProjekt[],2,FALSE)</f>
        <v>Powerspreadsheet Win7</v>
      </c>
      <c r="F687" s="58">
        <v>75</v>
      </c>
      <c r="G687" s="58"/>
      <c r="H687" s="58"/>
      <c r="I687" s="58"/>
      <c r="J687" s="58"/>
      <c r="K687" s="58"/>
      <c r="L687" s="59" t="s">
        <v>737</v>
      </c>
    </row>
    <row r="688" spans="2:12" x14ac:dyDescent="0.2">
      <c r="B688" s="55">
        <v>42157</v>
      </c>
      <c r="C688" s="56">
        <v>0.5</v>
      </c>
      <c r="D688" s="57" t="s">
        <v>84</v>
      </c>
      <c r="E688" s="57" t="str">
        <f>VLOOKUP(D688,tblProjekt[],2,FALSE)</f>
        <v>Infrastruktur cognovo</v>
      </c>
      <c r="F688" s="58"/>
      <c r="G688" s="58"/>
      <c r="H688" s="58"/>
      <c r="I688" s="58"/>
      <c r="J688" s="58"/>
      <c r="K688" s="58"/>
      <c r="L688" s="59" t="s">
        <v>223</v>
      </c>
    </row>
    <row r="689" spans="2:12" ht="24" x14ac:dyDescent="0.2">
      <c r="B689" s="55">
        <v>42157</v>
      </c>
      <c r="C689" s="56">
        <v>0.25</v>
      </c>
      <c r="D689" s="57" t="s">
        <v>68</v>
      </c>
      <c r="E689" s="57" t="str">
        <f>VLOOKUP(D689,tblProjekt[],2,FALSE)</f>
        <v>L'Oreal Synthese, Flash + UGK</v>
      </c>
      <c r="F689" s="58" t="s">
        <v>735</v>
      </c>
      <c r="G689" s="58"/>
      <c r="H689" s="58"/>
      <c r="I689" s="58"/>
      <c r="J689" s="58"/>
      <c r="K689" s="58"/>
      <c r="L689" s="59" t="s">
        <v>738</v>
      </c>
    </row>
    <row r="690" spans="2:12" ht="24" x14ac:dyDescent="0.2">
      <c r="B690" s="55">
        <v>42157</v>
      </c>
      <c r="C690" s="56">
        <v>0.25</v>
      </c>
      <c r="D690" s="57" t="s">
        <v>17</v>
      </c>
      <c r="E690" s="57" t="str">
        <f>VLOOKUP(D690,tblProjekt[],2,FALSE)</f>
        <v>Powerspreadsheet Win7</v>
      </c>
      <c r="F690" s="58">
        <v>81</v>
      </c>
      <c r="G690" s="58"/>
      <c r="H690" s="58"/>
      <c r="I690" s="58"/>
      <c r="J690" s="58"/>
      <c r="K690" s="58"/>
      <c r="L690" s="59" t="s">
        <v>740</v>
      </c>
    </row>
    <row r="691" spans="2:12" ht="24" x14ac:dyDescent="0.2">
      <c r="B691" s="55">
        <v>42157</v>
      </c>
      <c r="C691" s="56">
        <v>0.25</v>
      </c>
      <c r="D691" s="57" t="s">
        <v>17</v>
      </c>
      <c r="E691" s="57" t="str">
        <f>VLOOKUP(D691,tblProjekt[],2,FALSE)</f>
        <v>Powerspreadsheet Win7</v>
      </c>
      <c r="F691" s="58">
        <v>82</v>
      </c>
      <c r="G691" s="58"/>
      <c r="H691" s="58"/>
      <c r="I691" s="58"/>
      <c r="J691" s="58"/>
      <c r="K691" s="58"/>
      <c r="L691" s="59" t="s">
        <v>741</v>
      </c>
    </row>
    <row r="692" spans="2:12" ht="24" x14ac:dyDescent="0.2">
      <c r="B692" s="55">
        <v>42157</v>
      </c>
      <c r="C692" s="56">
        <v>0.25</v>
      </c>
      <c r="D692" s="57" t="s">
        <v>41</v>
      </c>
      <c r="E692" s="57" t="str">
        <f>VLOOKUP(D692,tblProjekt[],2,FALSE)</f>
        <v>L'Oreal Distributionsreport</v>
      </c>
      <c r="F692" s="58">
        <v>83</v>
      </c>
      <c r="G692" s="58"/>
      <c r="H692" s="58"/>
      <c r="I692" s="58"/>
      <c r="J692" s="58"/>
      <c r="K692" s="58"/>
      <c r="L692" s="59" t="s">
        <v>739</v>
      </c>
    </row>
    <row r="693" spans="2:12" ht="24" x14ac:dyDescent="0.2">
      <c r="B693" s="55">
        <v>42157</v>
      </c>
      <c r="C693" s="56">
        <v>0.5</v>
      </c>
      <c r="D693" s="57" t="s">
        <v>780</v>
      </c>
      <c r="E693" s="57" t="str">
        <f>VLOOKUP(D693,tblProjekt[],2,FALSE)</f>
        <v>Disease Analyzer</v>
      </c>
      <c r="F693" s="58"/>
      <c r="G693" s="58"/>
      <c r="H693" s="58"/>
      <c r="I693" s="58"/>
      <c r="J693" s="58"/>
      <c r="K693" s="58"/>
      <c r="L693" s="59" t="s">
        <v>742</v>
      </c>
    </row>
    <row r="694" spans="2:12" ht="24" x14ac:dyDescent="0.2">
      <c r="B694" s="55">
        <v>42157</v>
      </c>
      <c r="C694" s="56">
        <v>0.5</v>
      </c>
      <c r="D694" s="57" t="s">
        <v>41</v>
      </c>
      <c r="E694" s="57" t="str">
        <f>VLOOKUP(D694,tblProjekt[],2,FALSE)</f>
        <v>L'Oreal Distributionsreport</v>
      </c>
      <c r="F694" s="58">
        <v>83</v>
      </c>
      <c r="G694" s="58"/>
      <c r="H694" s="58"/>
      <c r="I694" s="58"/>
      <c r="J694" s="58"/>
      <c r="K694" s="58"/>
      <c r="L694" s="59" t="s">
        <v>743</v>
      </c>
    </row>
    <row r="695" spans="2:12" ht="24" x14ac:dyDescent="0.2">
      <c r="B695" s="55">
        <v>42157</v>
      </c>
      <c r="C695" s="56">
        <v>0.25</v>
      </c>
      <c r="D695" s="57" t="s">
        <v>55</v>
      </c>
      <c r="E695" s="57" t="str">
        <f>VLOOKUP(D695,tblProjekt[],2,FALSE)</f>
        <v>Biomedica report</v>
      </c>
      <c r="F695" s="58"/>
      <c r="G695" s="58"/>
      <c r="H695" s="58"/>
      <c r="I695" s="58"/>
      <c r="J695" s="58"/>
      <c r="K695" s="58"/>
      <c r="L695" s="59" t="s">
        <v>744</v>
      </c>
    </row>
    <row r="696" spans="2:12" x14ac:dyDescent="0.2">
      <c r="B696" s="55">
        <v>42157</v>
      </c>
      <c r="C696" s="56">
        <v>0.5</v>
      </c>
      <c r="D696" s="57" t="s">
        <v>63</v>
      </c>
      <c r="E696" s="57" t="str">
        <f>VLOOKUP(D696,tblProjekt[],2,FALSE)</f>
        <v>Klosterfrau Mass Market</v>
      </c>
      <c r="F696" s="58">
        <v>75</v>
      </c>
      <c r="G696" s="58"/>
      <c r="H696" s="58"/>
      <c r="I696" s="58"/>
      <c r="J696" s="58"/>
      <c r="K696" s="58"/>
      <c r="L696" s="59" t="s">
        <v>745</v>
      </c>
    </row>
    <row r="697" spans="2:12" x14ac:dyDescent="0.2">
      <c r="B697" s="55">
        <v>42157</v>
      </c>
      <c r="C697" s="56">
        <v>0.5</v>
      </c>
      <c r="D697" s="57" t="s">
        <v>63</v>
      </c>
      <c r="E697" s="57" t="str">
        <f>VLOOKUP(D697,tblProjekt[],2,FALSE)</f>
        <v>Klosterfrau Mass Market</v>
      </c>
      <c r="F697" s="58">
        <v>79</v>
      </c>
      <c r="G697" s="58"/>
      <c r="H697" s="58"/>
      <c r="I697" s="58"/>
      <c r="J697" s="58"/>
      <c r="K697" s="58"/>
      <c r="L697" s="59" t="s">
        <v>746</v>
      </c>
    </row>
    <row r="698" spans="2:12" ht="24" x14ac:dyDescent="0.2">
      <c r="B698" s="55">
        <v>42158</v>
      </c>
      <c r="C698" s="56">
        <v>0.25</v>
      </c>
      <c r="D698" s="57" t="s">
        <v>63</v>
      </c>
      <c r="E698" s="57" t="str">
        <f>VLOOKUP(D698,tblProjekt[],2,FALSE)</f>
        <v>Klosterfrau Mass Market</v>
      </c>
      <c r="F698" s="58">
        <v>79</v>
      </c>
      <c r="G698" s="58"/>
      <c r="H698" s="58"/>
      <c r="I698" s="58"/>
      <c r="J698" s="58"/>
      <c r="K698" s="58"/>
      <c r="L698" s="59" t="s">
        <v>747</v>
      </c>
    </row>
    <row r="699" spans="2:12" ht="24" x14ac:dyDescent="0.2">
      <c r="B699" s="55">
        <v>42158</v>
      </c>
      <c r="C699" s="56">
        <v>1</v>
      </c>
      <c r="D699" s="57" t="s">
        <v>17</v>
      </c>
      <c r="E699" s="57" t="str">
        <f>VLOOKUP(D699,tblProjekt[],2,FALSE)</f>
        <v>Powerspreadsheet Win7</v>
      </c>
      <c r="F699" s="58" t="s">
        <v>748</v>
      </c>
      <c r="G699" s="58"/>
      <c r="H699" s="58"/>
      <c r="I699" s="58"/>
      <c r="J699" s="58"/>
      <c r="K699" s="58"/>
      <c r="L699" s="59" t="s">
        <v>749</v>
      </c>
    </row>
    <row r="700" spans="2:12" x14ac:dyDescent="0.2">
      <c r="B700" s="55">
        <v>42158</v>
      </c>
      <c r="C700" s="56">
        <v>0.25</v>
      </c>
      <c r="D700" s="57" t="s">
        <v>84</v>
      </c>
      <c r="E700" s="57" t="str">
        <f>VLOOKUP(D700,tblProjekt[],2,FALSE)</f>
        <v>Infrastruktur cognovo</v>
      </c>
      <c r="F700" s="58">
        <v>11</v>
      </c>
      <c r="G700" s="58"/>
      <c r="H700" s="58"/>
      <c r="I700" s="58"/>
      <c r="J700" s="58"/>
      <c r="K700" s="58"/>
      <c r="L700" s="59" t="s">
        <v>750</v>
      </c>
    </row>
    <row r="701" spans="2:12" ht="24" x14ac:dyDescent="0.2">
      <c r="B701" s="55">
        <v>42158</v>
      </c>
      <c r="C701" s="56">
        <v>0.25</v>
      </c>
      <c r="D701" s="57" t="s">
        <v>41</v>
      </c>
      <c r="E701" s="57" t="str">
        <f>VLOOKUP(D701,tblProjekt[],2,FALSE)</f>
        <v>L'Oreal Distributionsreport</v>
      </c>
      <c r="F701" s="58">
        <v>83</v>
      </c>
      <c r="G701" s="58"/>
      <c r="H701" s="58"/>
      <c r="I701" s="58"/>
      <c r="J701" s="58"/>
      <c r="K701" s="58"/>
      <c r="L701" s="59" t="s">
        <v>751</v>
      </c>
    </row>
    <row r="702" spans="2:12" ht="24" x14ac:dyDescent="0.2">
      <c r="B702" s="55">
        <v>42158</v>
      </c>
      <c r="C702" s="56">
        <v>1.75</v>
      </c>
      <c r="D702" s="57" t="s">
        <v>780</v>
      </c>
      <c r="E702" s="57" t="str">
        <f>VLOOKUP(D702,tblProjekt[],2,FALSE)</f>
        <v>Disease Analyzer</v>
      </c>
      <c r="F702" s="58">
        <v>148</v>
      </c>
      <c r="G702" s="58"/>
      <c r="H702" s="58"/>
      <c r="I702" s="58"/>
      <c r="J702" s="58"/>
      <c r="K702" s="58"/>
      <c r="L702" s="59" t="s">
        <v>752</v>
      </c>
    </row>
    <row r="703" spans="2:12" ht="24" x14ac:dyDescent="0.2">
      <c r="B703" s="55">
        <v>42159</v>
      </c>
      <c r="C703" s="56">
        <v>2.5</v>
      </c>
      <c r="D703" s="57" t="s">
        <v>780</v>
      </c>
      <c r="E703" s="57" t="str">
        <f>VLOOKUP(D703,tblProjekt[],2,FALSE)</f>
        <v>Disease Analyzer</v>
      </c>
      <c r="F703" s="58">
        <v>148</v>
      </c>
      <c r="G703" s="58"/>
      <c r="H703" s="58"/>
      <c r="I703" s="58"/>
      <c r="J703" s="58"/>
      <c r="K703" s="58"/>
      <c r="L703" s="59" t="s">
        <v>753</v>
      </c>
    </row>
    <row r="704" spans="2:12" x14ac:dyDescent="0.2">
      <c r="B704" s="55">
        <v>42160</v>
      </c>
      <c r="C704" s="56">
        <v>0.25</v>
      </c>
      <c r="D704" s="57" t="s">
        <v>427</v>
      </c>
      <c r="E704" s="57" t="str">
        <f>VLOOKUP(D704,tblProjekt[],2,FALSE)</f>
        <v>Calculator übergreifend</v>
      </c>
      <c r="F704" s="58">
        <v>143</v>
      </c>
      <c r="G704" s="58"/>
      <c r="H704" s="58"/>
      <c r="I704" s="58"/>
      <c r="J704" s="58"/>
      <c r="K704" s="58"/>
      <c r="L704" s="59" t="s">
        <v>754</v>
      </c>
    </row>
    <row r="705" spans="2:12" ht="24" x14ac:dyDescent="0.2">
      <c r="B705" s="55">
        <v>42160</v>
      </c>
      <c r="C705" s="56">
        <v>2.5</v>
      </c>
      <c r="D705" s="57" t="s">
        <v>6</v>
      </c>
      <c r="E705" s="57" t="str">
        <f>VLOOKUP(D705,tblProjekt[],2,FALSE)</f>
        <v>Produktionsportal 2</v>
      </c>
      <c r="F705" s="58">
        <v>45</v>
      </c>
      <c r="G705" s="58"/>
      <c r="H705" s="58"/>
      <c r="I705" s="58"/>
      <c r="J705" s="58"/>
      <c r="K705" s="58"/>
      <c r="L705" s="59" t="s">
        <v>755</v>
      </c>
    </row>
    <row r="706" spans="2:12" x14ac:dyDescent="0.2">
      <c r="B706" s="55">
        <v>42160</v>
      </c>
      <c r="C706" s="56">
        <v>0.25</v>
      </c>
      <c r="D706" s="57" t="s">
        <v>17</v>
      </c>
      <c r="E706" s="57" t="str">
        <f>VLOOKUP(D706,tblProjekt[],2,FALSE)</f>
        <v>Powerspreadsheet Win7</v>
      </c>
      <c r="F706" s="58">
        <v>75</v>
      </c>
      <c r="G706" s="58"/>
      <c r="H706" s="58"/>
      <c r="I706" s="58"/>
      <c r="J706" s="58"/>
      <c r="K706" s="58"/>
      <c r="L706" s="59" t="s">
        <v>756</v>
      </c>
    </row>
    <row r="707" spans="2:12" ht="24" x14ac:dyDescent="0.2">
      <c r="B707" s="55">
        <v>42160</v>
      </c>
      <c r="C707" s="56">
        <v>2.5</v>
      </c>
      <c r="D707" s="57" t="s">
        <v>6</v>
      </c>
      <c r="E707" s="57" t="str">
        <f>VLOOKUP(D707,tblProjekt[],2,FALSE)</f>
        <v>Produktionsportal 2</v>
      </c>
      <c r="F707" s="58">
        <v>43</v>
      </c>
      <c r="G707" s="58"/>
      <c r="H707" s="58"/>
      <c r="I707" s="58"/>
      <c r="J707" s="58"/>
      <c r="K707" s="58"/>
      <c r="L707" s="59" t="s">
        <v>757</v>
      </c>
    </row>
    <row r="708" spans="2:12" ht="24" x14ac:dyDescent="0.2">
      <c r="B708" s="55">
        <v>42165</v>
      </c>
      <c r="C708" s="56">
        <v>1.5</v>
      </c>
      <c r="D708" s="57" t="s">
        <v>84</v>
      </c>
      <c r="E708" s="57" t="str">
        <f>VLOOKUP(D708,tblProjekt[],2,FALSE)</f>
        <v>Infrastruktur cognovo</v>
      </c>
      <c r="F708" s="58"/>
      <c r="G708" s="58"/>
      <c r="H708" s="58"/>
      <c r="I708" s="58"/>
      <c r="J708" s="58"/>
      <c r="K708" s="58"/>
      <c r="L708" s="59" t="s">
        <v>758</v>
      </c>
    </row>
    <row r="709" spans="2:12" ht="24" x14ac:dyDescent="0.2">
      <c r="B709" s="55">
        <v>42165</v>
      </c>
      <c r="C709" s="56">
        <v>0.25</v>
      </c>
      <c r="D709" s="57" t="s">
        <v>63</v>
      </c>
      <c r="E709" s="57" t="str">
        <f>VLOOKUP(D709,tblProjekt[],2,FALSE)</f>
        <v>Klosterfrau Mass Market</v>
      </c>
      <c r="F709" s="58"/>
      <c r="G709" s="58"/>
      <c r="H709" s="58"/>
      <c r="I709" s="58"/>
      <c r="J709" s="58"/>
      <c r="K709" s="58"/>
      <c r="L709" s="59" t="s">
        <v>759</v>
      </c>
    </row>
    <row r="710" spans="2:12" x14ac:dyDescent="0.2">
      <c r="B710" s="55">
        <v>42165</v>
      </c>
      <c r="C710" s="56">
        <v>0.5</v>
      </c>
      <c r="D710" s="57" t="s">
        <v>84</v>
      </c>
      <c r="E710" s="57" t="str">
        <f>VLOOKUP(D710,tblProjekt[],2,FALSE)</f>
        <v>Infrastruktur cognovo</v>
      </c>
      <c r="F710" s="58"/>
      <c r="G710" s="58"/>
      <c r="H710" s="58"/>
      <c r="I710" s="58"/>
      <c r="J710" s="58"/>
      <c r="K710" s="58"/>
      <c r="L710" s="59" t="s">
        <v>223</v>
      </c>
    </row>
    <row r="711" spans="2:12" ht="24" x14ac:dyDescent="0.2">
      <c r="B711" s="55">
        <v>42165</v>
      </c>
      <c r="C711" s="56">
        <v>0.75</v>
      </c>
      <c r="D711" s="57" t="s">
        <v>780</v>
      </c>
      <c r="E711" s="57" t="str">
        <f>VLOOKUP(D711,tblProjekt[],2,FALSE)</f>
        <v>Disease Analyzer</v>
      </c>
      <c r="F711" s="58">
        <v>154</v>
      </c>
      <c r="G711" s="58"/>
      <c r="H711" s="58"/>
      <c r="I711" s="58"/>
      <c r="J711" s="58"/>
      <c r="K711" s="58"/>
      <c r="L711" s="59" t="s">
        <v>760</v>
      </c>
    </row>
    <row r="712" spans="2:12" x14ac:dyDescent="0.2">
      <c r="B712" s="55">
        <v>42165</v>
      </c>
      <c r="C712" s="56">
        <v>0.25</v>
      </c>
      <c r="D712" s="57" t="s">
        <v>84</v>
      </c>
      <c r="E712" s="57" t="str">
        <f>VLOOKUP(D712,tblProjekt[],2,FALSE)</f>
        <v>Infrastruktur cognovo</v>
      </c>
      <c r="F712" s="58"/>
      <c r="G712" s="58"/>
      <c r="H712" s="58"/>
      <c r="I712" s="58"/>
      <c r="J712" s="58"/>
      <c r="K712" s="58"/>
      <c r="L712" s="59" t="s">
        <v>761</v>
      </c>
    </row>
    <row r="713" spans="2:12" ht="36" x14ac:dyDescent="0.2">
      <c r="B713" s="55">
        <v>42165</v>
      </c>
      <c r="C713" s="56">
        <v>1.25</v>
      </c>
      <c r="D713" s="57" t="s">
        <v>14</v>
      </c>
      <c r="E713" s="57" t="str">
        <f>VLOOKUP(D713,tblProjekt[],2,FALSE)</f>
        <v>CHA Calculator</v>
      </c>
      <c r="F713" s="58"/>
      <c r="G713" s="58"/>
      <c r="H713" s="58"/>
      <c r="I713" s="58"/>
      <c r="J713" s="58"/>
      <c r="K713" s="58"/>
      <c r="L713" s="59" t="s">
        <v>762</v>
      </c>
    </row>
    <row r="714" spans="2:12" ht="24" x14ac:dyDescent="0.2">
      <c r="B714" s="55">
        <v>42165</v>
      </c>
      <c r="C714" s="56">
        <v>0.5</v>
      </c>
      <c r="D714" s="57" t="s">
        <v>6</v>
      </c>
      <c r="E714" s="57" t="str">
        <f>VLOOKUP(D714,tblProjekt[],2,FALSE)</f>
        <v>Produktionsportal 2</v>
      </c>
      <c r="F714" s="58">
        <v>45</v>
      </c>
      <c r="G714" s="58"/>
      <c r="H714" s="58"/>
      <c r="I714" s="58"/>
      <c r="J714" s="58"/>
      <c r="K714" s="58"/>
      <c r="L714" s="59" t="s">
        <v>763</v>
      </c>
    </row>
    <row r="715" spans="2:12" ht="24" x14ac:dyDescent="0.2">
      <c r="B715" s="55">
        <v>42166</v>
      </c>
      <c r="C715" s="56">
        <v>0.25</v>
      </c>
      <c r="D715" s="57" t="s">
        <v>427</v>
      </c>
      <c r="E715" s="57" t="str">
        <f>VLOOKUP(D715,tblProjekt[],2,FALSE)</f>
        <v>Calculator übergreifend</v>
      </c>
      <c r="F715" s="58">
        <v>128</v>
      </c>
      <c r="G715" s="58"/>
      <c r="H715" s="58"/>
      <c r="I715" s="58"/>
      <c r="J715" s="58"/>
      <c r="K715" s="58"/>
      <c r="L715" s="59" t="s">
        <v>764</v>
      </c>
    </row>
    <row r="716" spans="2:12" x14ac:dyDescent="0.2">
      <c r="B716" s="55">
        <v>42166</v>
      </c>
      <c r="C716" s="56">
        <v>2.5</v>
      </c>
      <c r="D716" s="57" t="s">
        <v>6</v>
      </c>
      <c r="E716" s="57" t="str">
        <f>VLOOKUP(D716,tblProjekt[],2,FALSE)</f>
        <v>Produktionsportal 2</v>
      </c>
      <c r="F716" s="58">
        <v>43</v>
      </c>
      <c r="G716" s="58"/>
      <c r="H716" s="58"/>
      <c r="I716" s="58"/>
      <c r="J716" s="58"/>
      <c r="K716" s="58"/>
      <c r="L716" s="59" t="s">
        <v>765</v>
      </c>
    </row>
    <row r="717" spans="2:12" ht="24" x14ac:dyDescent="0.2">
      <c r="B717" s="55">
        <v>42166</v>
      </c>
      <c r="C717" s="56">
        <v>0.5</v>
      </c>
      <c r="D717" s="57" t="s">
        <v>14</v>
      </c>
      <c r="E717" s="57" t="str">
        <f>VLOOKUP(D717,tblProjekt[],2,FALSE)</f>
        <v>CHA Calculator</v>
      </c>
      <c r="F717" s="58"/>
      <c r="G717" s="58"/>
      <c r="H717" s="58"/>
      <c r="I717" s="58"/>
      <c r="J717" s="58"/>
      <c r="K717" s="58"/>
      <c r="L717" s="59" t="s">
        <v>766</v>
      </c>
    </row>
    <row r="718" spans="2:12" x14ac:dyDescent="0.2">
      <c r="B718" s="55">
        <v>42166</v>
      </c>
      <c r="C718" s="56">
        <v>2.5</v>
      </c>
      <c r="D718" s="57" t="s">
        <v>17</v>
      </c>
      <c r="E718" s="57" t="str">
        <f>VLOOKUP(D718,tblProjekt[],2,FALSE)</f>
        <v>Powerspreadsheet Win7</v>
      </c>
      <c r="F718" s="58">
        <v>75</v>
      </c>
      <c r="G718" s="58"/>
      <c r="H718" s="58"/>
      <c r="I718" s="58"/>
      <c r="J718" s="58"/>
      <c r="K718" s="58"/>
      <c r="L718" s="59" t="s">
        <v>756</v>
      </c>
    </row>
    <row r="719" spans="2:12" x14ac:dyDescent="0.2">
      <c r="B719" s="55">
        <v>42166</v>
      </c>
      <c r="C719" s="56">
        <v>1.5</v>
      </c>
      <c r="D719" s="57" t="s">
        <v>14</v>
      </c>
      <c r="E719" s="57" t="str">
        <f>VLOOKUP(D719,tblProjekt[],2,FALSE)</f>
        <v>CHA Calculator</v>
      </c>
      <c r="F719" s="58"/>
      <c r="G719" s="58"/>
      <c r="H719" s="58"/>
      <c r="I719" s="58"/>
      <c r="J719" s="58"/>
      <c r="K719" s="58"/>
      <c r="L719" s="59" t="s">
        <v>767</v>
      </c>
    </row>
    <row r="720" spans="2:12" x14ac:dyDescent="0.2">
      <c r="B720" s="55">
        <v>42166</v>
      </c>
      <c r="C720" s="56">
        <v>0.25</v>
      </c>
      <c r="D720" s="57" t="s">
        <v>84</v>
      </c>
      <c r="E720" s="57" t="str">
        <f>VLOOKUP(D720,tblProjekt[],2,FALSE)</f>
        <v>Infrastruktur cognovo</v>
      </c>
      <c r="F720" s="58"/>
      <c r="G720" s="58"/>
      <c r="H720" s="58"/>
      <c r="I720" s="58"/>
      <c r="J720" s="58"/>
      <c r="K720" s="58"/>
      <c r="L720" s="59" t="s">
        <v>768</v>
      </c>
    </row>
    <row r="721" spans="2:12" x14ac:dyDescent="0.2">
      <c r="B721" s="55">
        <v>42166</v>
      </c>
      <c r="C721" s="56">
        <v>0.25</v>
      </c>
      <c r="D721" s="57" t="s">
        <v>780</v>
      </c>
      <c r="E721" s="57" t="str">
        <f>VLOOKUP(D721,tblProjekt[],2,FALSE)</f>
        <v>Disease Analyzer</v>
      </c>
      <c r="F721" s="58">
        <v>148</v>
      </c>
      <c r="G721" s="58"/>
      <c r="H721" s="58"/>
      <c r="I721" s="58"/>
      <c r="J721" s="58"/>
      <c r="K721" s="58"/>
      <c r="L721" s="59" t="s">
        <v>769</v>
      </c>
    </row>
    <row r="722" spans="2:12" x14ac:dyDescent="0.2">
      <c r="B722" s="55">
        <v>42166</v>
      </c>
      <c r="C722" s="56">
        <v>1</v>
      </c>
      <c r="D722" s="57" t="s">
        <v>14</v>
      </c>
      <c r="E722" s="57" t="str">
        <f>VLOOKUP(D722,tblProjekt[],2,FALSE)</f>
        <v>CHA Calculator</v>
      </c>
      <c r="F722" s="58"/>
      <c r="G722" s="58"/>
      <c r="H722" s="58"/>
      <c r="I722" s="58"/>
      <c r="J722" s="58"/>
      <c r="K722" s="58"/>
      <c r="L722" s="59" t="s">
        <v>770</v>
      </c>
    </row>
    <row r="723" spans="2:12" ht="36" x14ac:dyDescent="0.2">
      <c r="B723" s="55">
        <v>42167</v>
      </c>
      <c r="C723" s="56">
        <v>1.75</v>
      </c>
      <c r="D723" s="57" t="s">
        <v>63</v>
      </c>
      <c r="E723" s="57" t="str">
        <f>VLOOKUP(D723,tblProjekt[],2,FALSE)</f>
        <v>Klosterfrau Mass Market</v>
      </c>
      <c r="F723" s="58"/>
      <c r="G723" s="58"/>
      <c r="H723" s="58"/>
      <c r="I723" s="58"/>
      <c r="J723" s="58"/>
      <c r="K723" s="58"/>
      <c r="L723" s="59" t="s">
        <v>771</v>
      </c>
    </row>
    <row r="724" spans="2:12" x14ac:dyDescent="0.2">
      <c r="B724" s="55">
        <v>42167</v>
      </c>
      <c r="C724" s="56">
        <v>0.25</v>
      </c>
      <c r="D724" s="57" t="s">
        <v>780</v>
      </c>
      <c r="E724" s="57" t="str">
        <f>VLOOKUP(D724,tblProjekt[],2,FALSE)</f>
        <v>Disease Analyzer</v>
      </c>
      <c r="F724" s="58"/>
      <c r="G724" s="58"/>
      <c r="H724" s="58"/>
      <c r="I724" s="58"/>
      <c r="J724" s="58"/>
      <c r="K724" s="58"/>
      <c r="L724" s="59" t="s">
        <v>772</v>
      </c>
    </row>
    <row r="725" spans="2:12" x14ac:dyDescent="0.2">
      <c r="B725" s="55">
        <v>42167</v>
      </c>
      <c r="C725" s="56">
        <v>3</v>
      </c>
      <c r="D725" s="57" t="s">
        <v>14</v>
      </c>
      <c r="E725" s="57" t="str">
        <f>VLOOKUP(D725,tblProjekt[],2,FALSE)</f>
        <v>CHA Calculator</v>
      </c>
      <c r="F725" s="58" t="s">
        <v>773</v>
      </c>
      <c r="G725" s="58"/>
      <c r="H725" s="58"/>
      <c r="I725" s="58"/>
      <c r="J725" s="58"/>
      <c r="K725" s="58"/>
      <c r="L725" s="59" t="s">
        <v>538</v>
      </c>
    </row>
    <row r="726" spans="2:12" x14ac:dyDescent="0.2">
      <c r="B726" s="55">
        <v>42167</v>
      </c>
      <c r="C726" s="56">
        <v>1.25</v>
      </c>
      <c r="D726" s="57" t="s">
        <v>17</v>
      </c>
      <c r="E726" s="57" t="str">
        <f>VLOOKUP(D726,tblProjekt[],2,FALSE)</f>
        <v>Powerspreadsheet Win7</v>
      </c>
      <c r="F726" s="58">
        <v>85</v>
      </c>
      <c r="G726" s="58"/>
      <c r="H726" s="58"/>
      <c r="I726" s="58"/>
      <c r="J726" s="58"/>
      <c r="K726" s="58"/>
      <c r="L726" s="59" t="s">
        <v>774</v>
      </c>
    </row>
    <row r="727" spans="2:12" ht="24" x14ac:dyDescent="0.2">
      <c r="B727" s="55">
        <v>42167</v>
      </c>
      <c r="C727" s="56">
        <v>0.25</v>
      </c>
      <c r="D727" s="57" t="s">
        <v>84</v>
      </c>
      <c r="E727" s="57" t="str">
        <f>VLOOKUP(D727,tblProjekt[],2,FALSE)</f>
        <v>Infrastruktur cognovo</v>
      </c>
      <c r="F727" s="58"/>
      <c r="G727" s="58"/>
      <c r="H727" s="58"/>
      <c r="I727" s="58"/>
      <c r="J727" s="58"/>
      <c r="K727" s="58"/>
      <c r="L727" s="59" t="s">
        <v>775</v>
      </c>
    </row>
    <row r="728" spans="2:12" ht="24" x14ac:dyDescent="0.2">
      <c r="B728" s="67">
        <v>42173</v>
      </c>
      <c r="C728" s="68">
        <v>1</v>
      </c>
      <c r="D728" s="69" t="s">
        <v>84</v>
      </c>
      <c r="E728" s="57" t="str">
        <f>VLOOKUP(D728,tblProjekt[],2,FALSE)</f>
        <v>Infrastruktur cognovo</v>
      </c>
      <c r="F728" s="70"/>
      <c r="G728" s="70"/>
      <c r="H728" s="70"/>
      <c r="I728" s="70"/>
      <c r="J728" s="70"/>
      <c r="K728" s="70"/>
      <c r="L728" s="71" t="s">
        <v>776</v>
      </c>
    </row>
    <row r="729" spans="2:12" ht="24" x14ac:dyDescent="0.2">
      <c r="B729" s="62">
        <v>42173</v>
      </c>
      <c r="C729" s="63">
        <v>0.5</v>
      </c>
      <c r="D729" s="64" t="s">
        <v>780</v>
      </c>
      <c r="E729" s="57" t="str">
        <f>VLOOKUP(D729,tblProjekt[],2,FALSE)</f>
        <v>Disease Analyzer</v>
      </c>
      <c r="F729" s="65">
        <v>148</v>
      </c>
      <c r="G729" s="65"/>
      <c r="H729" s="65"/>
      <c r="I729" s="65"/>
      <c r="J729" s="65"/>
      <c r="K729" s="65"/>
      <c r="L729" s="66" t="s">
        <v>777</v>
      </c>
    </row>
    <row r="730" spans="2:12" ht="24" x14ac:dyDescent="0.2">
      <c r="B730" s="67">
        <v>42173</v>
      </c>
      <c r="C730" s="68">
        <v>0.5</v>
      </c>
      <c r="D730" s="69" t="s">
        <v>337</v>
      </c>
      <c r="E730" s="57" t="str">
        <f>VLOOKUP(D730,tblProjekt[],2,FALSE)</f>
        <v>Klosterfrau National</v>
      </c>
      <c r="F730" s="70">
        <v>87</v>
      </c>
      <c r="G730" s="70"/>
      <c r="H730" s="70"/>
      <c r="I730" s="70"/>
      <c r="J730" s="70"/>
      <c r="K730" s="70"/>
      <c r="L730" s="71" t="s">
        <v>778</v>
      </c>
    </row>
    <row r="731" spans="2:12" x14ac:dyDescent="0.2">
      <c r="B731" s="62">
        <v>42173</v>
      </c>
      <c r="C731" s="63">
        <v>2.5</v>
      </c>
      <c r="D731" s="64" t="s">
        <v>6</v>
      </c>
      <c r="E731" s="57" t="str">
        <f>VLOOKUP(D731,tblProjekt[],2,FALSE)</f>
        <v>Produktionsportal 2</v>
      </c>
      <c r="F731" s="65">
        <v>43</v>
      </c>
      <c r="G731" s="65"/>
      <c r="H731" s="65"/>
      <c r="I731" s="65"/>
      <c r="J731" s="65"/>
      <c r="K731" s="65"/>
      <c r="L731" s="66" t="s">
        <v>779</v>
      </c>
    </row>
    <row r="732" spans="2:12" ht="36" x14ac:dyDescent="0.2">
      <c r="B732" s="55">
        <v>42173</v>
      </c>
      <c r="C732" s="56">
        <v>1.75</v>
      </c>
      <c r="D732" s="57" t="s">
        <v>780</v>
      </c>
      <c r="E732" s="57" t="str">
        <f>VLOOKUP(D732,tblProjekt[],2,FALSE)</f>
        <v>Disease Analyzer</v>
      </c>
      <c r="F732" s="58">
        <v>148</v>
      </c>
      <c r="G732" s="58"/>
      <c r="H732" s="58"/>
      <c r="I732" s="58"/>
      <c r="J732" s="58"/>
      <c r="K732" s="58"/>
      <c r="L732" s="59" t="s">
        <v>786</v>
      </c>
    </row>
    <row r="733" spans="2:12" ht="24" x14ac:dyDescent="0.2">
      <c r="B733" s="55">
        <v>42173</v>
      </c>
      <c r="C733" s="56">
        <v>0.25</v>
      </c>
      <c r="D733" s="57" t="s">
        <v>84</v>
      </c>
      <c r="E733" s="57" t="str">
        <f>VLOOKUP(D733,tblProjekt[],2,FALSE)</f>
        <v>Infrastruktur cognovo</v>
      </c>
      <c r="F733" s="58"/>
      <c r="G733" s="58"/>
      <c r="H733" s="58"/>
      <c r="I733" s="58"/>
      <c r="J733" s="58"/>
      <c r="K733" s="58"/>
      <c r="L733" s="59" t="s">
        <v>787</v>
      </c>
    </row>
    <row r="734" spans="2:12" ht="24" x14ac:dyDescent="0.2">
      <c r="B734" s="55">
        <v>42173</v>
      </c>
      <c r="C734" s="56">
        <v>0.75</v>
      </c>
      <c r="D734" s="57" t="s">
        <v>14</v>
      </c>
      <c r="E734" s="57" t="str">
        <f>VLOOKUP(D734,tblProjekt[],2,FALSE)</f>
        <v>CHA Calculator</v>
      </c>
      <c r="F734" s="58" t="s">
        <v>788</v>
      </c>
      <c r="G734" s="58"/>
      <c r="H734" s="58"/>
      <c r="I734" s="58"/>
      <c r="J734" s="58"/>
      <c r="K734" s="58"/>
      <c r="L734" s="59" t="s">
        <v>789</v>
      </c>
    </row>
    <row r="735" spans="2:12" ht="24" x14ac:dyDescent="0.2">
      <c r="B735" s="55">
        <v>42173</v>
      </c>
      <c r="C735" s="56">
        <v>1.5</v>
      </c>
      <c r="D735" s="57" t="s">
        <v>59</v>
      </c>
      <c r="E735" s="57" t="str">
        <f>VLOOKUP(D735,tblProjekt[],2,FALSE)</f>
        <v>Stada reports</v>
      </c>
      <c r="F735" s="58">
        <v>86</v>
      </c>
      <c r="G735" s="58"/>
      <c r="H735" s="58"/>
      <c r="I735" s="58"/>
      <c r="J735" s="58"/>
      <c r="K735" s="58"/>
      <c r="L735" s="59" t="s">
        <v>790</v>
      </c>
    </row>
    <row r="736" spans="2:12" ht="24" x14ac:dyDescent="0.2">
      <c r="B736" s="55">
        <v>42174</v>
      </c>
      <c r="C736" s="56">
        <v>0.5</v>
      </c>
      <c r="D736" s="57" t="s">
        <v>339</v>
      </c>
      <c r="E736" s="57" t="str">
        <f>VLOOKUP(D736,tblProjekt[],2,FALSE)</f>
        <v>Klosterfrau Regio</v>
      </c>
      <c r="F736" s="58">
        <v>87</v>
      </c>
      <c r="G736" s="58"/>
      <c r="H736" s="58"/>
      <c r="I736" s="58"/>
      <c r="J736" s="58"/>
      <c r="K736" s="58"/>
      <c r="L736" s="59" t="s">
        <v>791</v>
      </c>
    </row>
    <row r="737" spans="2:12" ht="24" x14ac:dyDescent="0.2">
      <c r="B737" s="55">
        <v>42174</v>
      </c>
      <c r="C737" s="56">
        <v>0.5</v>
      </c>
      <c r="D737" s="57" t="s">
        <v>84</v>
      </c>
      <c r="E737" s="57" t="str">
        <f>VLOOKUP(D737,tblProjekt[],2,FALSE)</f>
        <v>Infrastruktur cognovo</v>
      </c>
      <c r="F737" s="58"/>
      <c r="G737" s="58"/>
      <c r="H737" s="58"/>
      <c r="I737" s="58"/>
      <c r="J737" s="58"/>
      <c r="K737" s="58"/>
      <c r="L737" s="59" t="s">
        <v>792</v>
      </c>
    </row>
    <row r="738" spans="2:12" ht="24" x14ac:dyDescent="0.2">
      <c r="B738" s="55">
        <v>42174</v>
      </c>
      <c r="C738" s="56">
        <v>0.75</v>
      </c>
      <c r="D738" s="57" t="s">
        <v>337</v>
      </c>
      <c r="E738" s="57" t="str">
        <f>VLOOKUP(D738,tblProjekt[],2,FALSE)</f>
        <v>Klosterfrau National</v>
      </c>
      <c r="F738" s="58">
        <v>87</v>
      </c>
      <c r="G738" s="58"/>
      <c r="H738" s="58"/>
      <c r="I738" s="58"/>
      <c r="J738" s="58"/>
      <c r="K738" s="58"/>
      <c r="L738" s="59" t="s">
        <v>192</v>
      </c>
    </row>
    <row r="739" spans="2:12" ht="36" x14ac:dyDescent="0.2">
      <c r="B739" s="55">
        <v>42174</v>
      </c>
      <c r="C739" s="56">
        <v>0.25</v>
      </c>
      <c r="D739" s="57" t="s">
        <v>705</v>
      </c>
      <c r="E739" s="57" t="str">
        <f>VLOOKUP(D739,tblProjekt[],2,FALSE)</f>
        <v>XMM Calculator</v>
      </c>
      <c r="F739" s="58"/>
      <c r="G739" s="58"/>
      <c r="H739" s="58"/>
      <c r="I739" s="58"/>
      <c r="J739" s="58"/>
      <c r="K739" s="58"/>
      <c r="L739" s="59" t="s">
        <v>793</v>
      </c>
    </row>
    <row r="740" spans="2:12" ht="24" x14ac:dyDescent="0.2">
      <c r="B740" s="55">
        <v>42174</v>
      </c>
      <c r="C740" s="56">
        <v>1.5</v>
      </c>
      <c r="D740" s="57" t="s">
        <v>55</v>
      </c>
      <c r="E740" s="57" t="str">
        <f>VLOOKUP(D740,tblProjekt[],2,FALSE)</f>
        <v>Biomedica report</v>
      </c>
      <c r="F740" s="58">
        <v>88</v>
      </c>
      <c r="G740" s="58"/>
      <c r="H740" s="58"/>
      <c r="I740" s="58"/>
      <c r="J740" s="58"/>
      <c r="K740" s="58"/>
      <c r="L740" s="59" t="s">
        <v>794</v>
      </c>
    </row>
    <row r="741" spans="2:12" x14ac:dyDescent="0.2">
      <c r="B741" s="55">
        <v>42174</v>
      </c>
      <c r="C741" s="56">
        <v>0.25</v>
      </c>
      <c r="D741" s="57" t="s">
        <v>60</v>
      </c>
      <c r="E741" s="57" t="str">
        <f>VLOOKUP(D741,tblProjekt[],2,FALSE)</f>
        <v>Nutricia reports</v>
      </c>
      <c r="F741" s="58">
        <v>89</v>
      </c>
      <c r="G741" s="58"/>
      <c r="H741" s="58"/>
      <c r="I741" s="58"/>
      <c r="J741" s="58"/>
      <c r="K741" s="58"/>
      <c r="L741" s="59" t="s">
        <v>795</v>
      </c>
    </row>
    <row r="742" spans="2:12" x14ac:dyDescent="0.2">
      <c r="B742" s="55">
        <v>42174</v>
      </c>
      <c r="C742" s="56">
        <v>0.75</v>
      </c>
      <c r="D742" s="57" t="s">
        <v>14</v>
      </c>
      <c r="E742" s="57" t="str">
        <f>VLOOKUP(D742,tblProjekt[],2,FALSE)</f>
        <v>CHA Calculator</v>
      </c>
      <c r="F742" s="58">
        <v>14</v>
      </c>
      <c r="G742" s="58"/>
      <c r="H742" s="58"/>
      <c r="I742" s="58"/>
      <c r="J742" s="58"/>
      <c r="K742" s="58"/>
      <c r="L742" s="59" t="s">
        <v>796</v>
      </c>
    </row>
    <row r="743" spans="2:12" ht="24" x14ac:dyDescent="0.2">
      <c r="B743" s="55">
        <v>42176</v>
      </c>
      <c r="C743" s="56">
        <v>4.25</v>
      </c>
      <c r="D743" s="57" t="s">
        <v>780</v>
      </c>
      <c r="E743" s="57" t="str">
        <f>VLOOKUP(D743,tblProjekt[],2,FALSE)</f>
        <v>Disease Analyzer</v>
      </c>
      <c r="F743" s="58">
        <v>148</v>
      </c>
      <c r="G743" s="58"/>
      <c r="H743" s="58"/>
      <c r="I743" s="58"/>
      <c r="J743" s="58"/>
      <c r="K743" s="58"/>
      <c r="L743" s="59" t="s">
        <v>797</v>
      </c>
    </row>
    <row r="744" spans="2:12" ht="36" x14ac:dyDescent="0.2">
      <c r="B744" s="55">
        <v>42177</v>
      </c>
      <c r="C744" s="56">
        <v>2.5</v>
      </c>
      <c r="D744" s="57" t="s">
        <v>60</v>
      </c>
      <c r="E744" s="57" t="str">
        <f>VLOOKUP(D744,tblProjekt[],2,FALSE)</f>
        <v>Nutricia reports</v>
      </c>
      <c r="F744" s="58">
        <v>89</v>
      </c>
      <c r="G744" s="58"/>
      <c r="H744" s="58"/>
      <c r="I744" s="58"/>
      <c r="J744" s="58"/>
      <c r="K744" s="58"/>
      <c r="L744" s="59" t="s">
        <v>798</v>
      </c>
    </row>
    <row r="745" spans="2:12" ht="24" x14ac:dyDescent="0.2">
      <c r="B745" s="55">
        <v>42177</v>
      </c>
      <c r="C745" s="56">
        <v>0.25</v>
      </c>
      <c r="D745" s="57" t="s">
        <v>59</v>
      </c>
      <c r="E745" s="57" t="str">
        <f>VLOOKUP(D745,tblProjekt[],2,FALSE)</f>
        <v>Stada reports</v>
      </c>
      <c r="F745" s="58"/>
      <c r="G745" s="58"/>
      <c r="H745" s="58"/>
      <c r="I745" s="58"/>
      <c r="J745" s="58"/>
      <c r="K745" s="58"/>
      <c r="L745" s="59" t="s">
        <v>799</v>
      </c>
    </row>
    <row r="746" spans="2:12" x14ac:dyDescent="0.2">
      <c r="B746" s="55">
        <v>42177</v>
      </c>
      <c r="C746" s="56">
        <v>1.25</v>
      </c>
      <c r="D746" s="57" t="s">
        <v>780</v>
      </c>
      <c r="E746" s="57" t="str">
        <f>VLOOKUP(D746,tblProjekt[],2,FALSE)</f>
        <v>Disease Analyzer</v>
      </c>
      <c r="F746" s="58">
        <v>148</v>
      </c>
      <c r="G746" s="58"/>
      <c r="H746" s="58"/>
      <c r="I746" s="58"/>
      <c r="J746" s="58"/>
      <c r="K746" s="58"/>
      <c r="L746" s="59" t="s">
        <v>800</v>
      </c>
    </row>
    <row r="747" spans="2:12" x14ac:dyDescent="0.2">
      <c r="B747" s="55">
        <v>42177</v>
      </c>
      <c r="C747" s="56">
        <v>0.75</v>
      </c>
      <c r="D747" s="57" t="s">
        <v>84</v>
      </c>
      <c r="E747" s="57" t="str">
        <f>VLOOKUP(D747,tblProjekt[],2,FALSE)</f>
        <v>Infrastruktur cognovo</v>
      </c>
      <c r="F747" s="58"/>
      <c r="G747" s="58"/>
      <c r="H747" s="58"/>
      <c r="I747" s="58"/>
      <c r="J747" s="58"/>
      <c r="K747" s="58"/>
      <c r="L747" s="59" t="s">
        <v>801</v>
      </c>
    </row>
    <row r="748" spans="2:12" x14ac:dyDescent="0.2">
      <c r="B748" s="55">
        <v>42177</v>
      </c>
      <c r="C748" s="56">
        <v>0.25</v>
      </c>
      <c r="D748" s="57" t="s">
        <v>37</v>
      </c>
      <c r="E748" s="57" t="str">
        <f>VLOOKUP(D748,tblProjekt[],2,FALSE)</f>
        <v>Cesra report</v>
      </c>
      <c r="F748" s="58">
        <v>68</v>
      </c>
      <c r="G748" s="58"/>
      <c r="H748" s="58"/>
      <c r="I748" s="58"/>
      <c r="J748" s="58"/>
      <c r="K748" s="58"/>
      <c r="L748" s="59" t="s">
        <v>802</v>
      </c>
    </row>
    <row r="749" spans="2:12" x14ac:dyDescent="0.2">
      <c r="B749" s="55">
        <v>42177</v>
      </c>
      <c r="C749" s="56">
        <v>1</v>
      </c>
      <c r="D749" s="57" t="s">
        <v>427</v>
      </c>
      <c r="E749" s="57" t="str">
        <f>VLOOKUP(D749,tblProjekt[],2,FALSE)</f>
        <v>Calculator übergreifend</v>
      </c>
      <c r="F749" s="58">
        <v>153</v>
      </c>
      <c r="G749" s="58"/>
      <c r="H749" s="58"/>
      <c r="I749" s="58"/>
      <c r="J749" s="58"/>
      <c r="K749" s="58"/>
      <c r="L749" s="59" t="s">
        <v>803</v>
      </c>
    </row>
    <row r="750" spans="2:12" x14ac:dyDescent="0.2">
      <c r="B750" s="55">
        <v>42177</v>
      </c>
      <c r="C750" s="56">
        <v>0.5</v>
      </c>
      <c r="D750" s="57" t="s">
        <v>427</v>
      </c>
      <c r="E750" s="57" t="str">
        <f>VLOOKUP(D750,tblProjekt[],2,FALSE)</f>
        <v>Calculator übergreifend</v>
      </c>
      <c r="F750" s="58">
        <v>153</v>
      </c>
      <c r="G750" s="58"/>
      <c r="H750" s="58"/>
      <c r="I750" s="58"/>
      <c r="J750" s="58"/>
      <c r="K750" s="58"/>
      <c r="L750" s="59" t="s">
        <v>804</v>
      </c>
    </row>
    <row r="751" spans="2:12" x14ac:dyDescent="0.2">
      <c r="B751" s="55">
        <v>42177</v>
      </c>
      <c r="C751" s="56">
        <v>0.5</v>
      </c>
      <c r="D751" s="57" t="s">
        <v>780</v>
      </c>
      <c r="E751" s="57" t="str">
        <f>VLOOKUP(D751,tblProjekt[],2,FALSE)</f>
        <v>Disease Analyzer</v>
      </c>
      <c r="F751" s="58">
        <v>148</v>
      </c>
      <c r="G751" s="58"/>
      <c r="H751" s="58"/>
      <c r="I751" s="58"/>
      <c r="J751" s="58"/>
      <c r="K751" s="58"/>
      <c r="L751" s="59" t="s">
        <v>805</v>
      </c>
    </row>
    <row r="752" spans="2:12" x14ac:dyDescent="0.2">
      <c r="B752" s="55">
        <v>42180</v>
      </c>
      <c r="C752" s="56">
        <v>0.25</v>
      </c>
      <c r="D752" s="57" t="s">
        <v>84</v>
      </c>
      <c r="E752" s="57" t="str">
        <f>VLOOKUP(D752,tblProjekt[],2,FALSE)</f>
        <v>Infrastruktur cognovo</v>
      </c>
      <c r="F752" s="58"/>
      <c r="G752" s="58"/>
      <c r="H752" s="58"/>
      <c r="I752" s="58"/>
      <c r="J752" s="58"/>
      <c r="K752" s="58"/>
      <c r="L752" s="59" t="s">
        <v>806</v>
      </c>
    </row>
    <row r="753" spans="2:12" ht="24" x14ac:dyDescent="0.2">
      <c r="B753" s="55">
        <v>42180</v>
      </c>
      <c r="C753" s="56">
        <v>1.75</v>
      </c>
      <c r="D753" s="57" t="s">
        <v>14</v>
      </c>
      <c r="E753" s="57" t="str">
        <f>VLOOKUP(D753,tblProjekt[],2,FALSE)</f>
        <v>CHA Calculator</v>
      </c>
      <c r="F753" s="58">
        <v>13</v>
      </c>
      <c r="G753" s="58"/>
      <c r="H753" s="58"/>
      <c r="I753" s="58"/>
      <c r="J753" s="58"/>
      <c r="K753" s="58"/>
      <c r="L753" s="59" t="s">
        <v>807</v>
      </c>
    </row>
    <row r="754" spans="2:12" ht="24" x14ac:dyDescent="0.2">
      <c r="B754" s="55">
        <v>42180</v>
      </c>
      <c r="C754" s="56">
        <v>0.5</v>
      </c>
      <c r="D754" s="57" t="s">
        <v>14</v>
      </c>
      <c r="E754" s="57" t="str">
        <f>VLOOKUP(D754,tblProjekt[],2,FALSE)</f>
        <v>CHA Calculator</v>
      </c>
      <c r="F754" s="58" t="s">
        <v>808</v>
      </c>
      <c r="G754" s="58"/>
      <c r="H754" s="58"/>
      <c r="I754" s="58"/>
      <c r="J754" s="58"/>
      <c r="K754" s="58"/>
      <c r="L754" s="59" t="s">
        <v>809</v>
      </c>
    </row>
    <row r="755" spans="2:12" ht="24" x14ac:dyDescent="0.2">
      <c r="B755" s="55">
        <v>42180</v>
      </c>
      <c r="C755" s="56">
        <v>1.25</v>
      </c>
      <c r="D755" s="57" t="s">
        <v>14</v>
      </c>
      <c r="E755" s="57" t="str">
        <f>VLOOKUP(D755,tblProjekt[],2,FALSE)</f>
        <v>CHA Calculator</v>
      </c>
      <c r="F755" s="58">
        <v>13</v>
      </c>
      <c r="G755" s="58"/>
      <c r="H755" s="58"/>
      <c r="I755" s="58"/>
      <c r="J755" s="58"/>
      <c r="K755" s="58"/>
      <c r="L755" s="59" t="s">
        <v>810</v>
      </c>
    </row>
    <row r="756" spans="2:12" ht="24" x14ac:dyDescent="0.2">
      <c r="B756" s="55">
        <v>42180</v>
      </c>
      <c r="C756" s="56">
        <v>1.5</v>
      </c>
      <c r="D756" s="57" t="s">
        <v>14</v>
      </c>
      <c r="E756" s="57" t="str">
        <f>VLOOKUP(D756,tblProjekt[],2,FALSE)</f>
        <v>CHA Calculator</v>
      </c>
      <c r="F756" s="58" t="s">
        <v>811</v>
      </c>
      <c r="G756" s="58"/>
      <c r="H756" s="58"/>
      <c r="I756" s="58"/>
      <c r="J756" s="58"/>
      <c r="K756" s="58"/>
      <c r="L756" s="59" t="s">
        <v>812</v>
      </c>
    </row>
    <row r="757" spans="2:12" ht="24" x14ac:dyDescent="0.2">
      <c r="B757" s="55">
        <v>42180</v>
      </c>
      <c r="C757" s="56">
        <v>1.25</v>
      </c>
      <c r="D757" s="57" t="s">
        <v>14</v>
      </c>
      <c r="E757" s="57" t="str">
        <f>VLOOKUP(D757,tblProjekt[],2,FALSE)</f>
        <v>CHA Calculator</v>
      </c>
      <c r="F757" s="58">
        <v>8</v>
      </c>
      <c r="G757" s="58"/>
      <c r="H757" s="58"/>
      <c r="I757" s="58"/>
      <c r="J757" s="58"/>
      <c r="K757" s="58"/>
      <c r="L757" s="59" t="s">
        <v>813</v>
      </c>
    </row>
    <row r="758" spans="2:12" x14ac:dyDescent="0.2">
      <c r="B758" s="55">
        <v>42180</v>
      </c>
      <c r="C758" s="56">
        <v>0.5</v>
      </c>
      <c r="D758" s="57" t="s">
        <v>37</v>
      </c>
      <c r="E758" s="57" t="str">
        <f>VLOOKUP(D758,tblProjekt[],2,FALSE)</f>
        <v>Cesra report</v>
      </c>
      <c r="F758" s="58">
        <v>75</v>
      </c>
      <c r="G758" s="58"/>
      <c r="H758" s="58"/>
      <c r="I758" s="58"/>
      <c r="J758" s="58"/>
      <c r="K758" s="58"/>
      <c r="L758" s="59" t="s">
        <v>814</v>
      </c>
    </row>
    <row r="759" spans="2:12" x14ac:dyDescent="0.2">
      <c r="B759" s="55">
        <v>42180</v>
      </c>
      <c r="C759" s="56">
        <v>0.5</v>
      </c>
      <c r="D759" s="57" t="s">
        <v>84</v>
      </c>
      <c r="E759" s="57" t="str">
        <f>VLOOKUP(D759,tblProjekt[],2,FALSE)</f>
        <v>Infrastruktur cognovo</v>
      </c>
      <c r="F759" s="58"/>
      <c r="G759" s="58"/>
      <c r="H759" s="58"/>
      <c r="I759" s="58"/>
      <c r="J759" s="58"/>
      <c r="K759" s="58"/>
      <c r="L759" s="59" t="s">
        <v>610</v>
      </c>
    </row>
    <row r="760" spans="2:12" ht="24" x14ac:dyDescent="0.2">
      <c r="B760" s="55">
        <v>42180</v>
      </c>
      <c r="C760" s="56">
        <v>0.25</v>
      </c>
      <c r="D760" s="57" t="s">
        <v>63</v>
      </c>
      <c r="E760" s="57" t="str">
        <f>VLOOKUP(D760,tblProjekt[],2,FALSE)</f>
        <v>Klosterfrau Mass Market</v>
      </c>
      <c r="F760" s="58"/>
      <c r="G760" s="58"/>
      <c r="H760" s="58"/>
      <c r="I760" s="58"/>
      <c r="J760" s="58"/>
      <c r="K760" s="58"/>
      <c r="L760" s="59" t="s">
        <v>759</v>
      </c>
    </row>
    <row r="761" spans="2:12" ht="24" x14ac:dyDescent="0.2">
      <c r="B761" s="55">
        <v>42180</v>
      </c>
      <c r="C761" s="56">
        <v>0.25</v>
      </c>
      <c r="D761" s="57" t="s">
        <v>17</v>
      </c>
      <c r="E761" s="57" t="str">
        <f>VLOOKUP(D761,tblProjekt[],2,FALSE)</f>
        <v>Powerspreadsheet Win7</v>
      </c>
      <c r="F761" s="58"/>
      <c r="G761" s="58"/>
      <c r="H761" s="58"/>
      <c r="I761" s="58"/>
      <c r="J761" s="58"/>
      <c r="K761" s="58"/>
      <c r="L761" s="59" t="s">
        <v>815</v>
      </c>
    </row>
    <row r="762" spans="2:12" ht="24" x14ac:dyDescent="0.2">
      <c r="B762" s="55">
        <v>42181</v>
      </c>
      <c r="C762" s="56">
        <v>0.75</v>
      </c>
      <c r="D762" s="57" t="s">
        <v>63</v>
      </c>
      <c r="E762" s="57" t="str">
        <f>VLOOKUP(D762,tblProjekt[],2,FALSE)</f>
        <v>Klosterfrau Mass Market</v>
      </c>
      <c r="F762" s="58"/>
      <c r="G762" s="58"/>
      <c r="H762" s="58"/>
      <c r="I762" s="58"/>
      <c r="J762" s="58"/>
      <c r="K762" s="58"/>
      <c r="L762" s="59" t="s">
        <v>816</v>
      </c>
    </row>
    <row r="763" spans="2:12" ht="24" x14ac:dyDescent="0.2">
      <c r="B763" s="55">
        <v>42181</v>
      </c>
      <c r="C763" s="56">
        <v>1</v>
      </c>
      <c r="D763" s="57" t="s">
        <v>427</v>
      </c>
      <c r="E763" s="57" t="str">
        <f>VLOOKUP(D763,tblProjekt[],2,FALSE)</f>
        <v>Calculator übergreifend</v>
      </c>
      <c r="F763" s="58">
        <v>128</v>
      </c>
      <c r="G763" s="58"/>
      <c r="H763" s="58"/>
      <c r="I763" s="58"/>
      <c r="J763" s="58"/>
      <c r="K763" s="58"/>
      <c r="L763" s="59" t="s">
        <v>817</v>
      </c>
    </row>
    <row r="764" spans="2:12" ht="24" x14ac:dyDescent="0.2">
      <c r="B764" s="55">
        <v>42181</v>
      </c>
      <c r="C764" s="56">
        <v>1</v>
      </c>
      <c r="D764" s="57" t="s">
        <v>427</v>
      </c>
      <c r="E764" s="57" t="str">
        <f>VLOOKUP(D764,tblProjekt[],2,FALSE)</f>
        <v>Calculator übergreifend</v>
      </c>
      <c r="F764" s="58">
        <v>147</v>
      </c>
      <c r="G764" s="58"/>
      <c r="H764" s="58"/>
      <c r="I764" s="58"/>
      <c r="J764" s="58"/>
      <c r="K764" s="58"/>
      <c r="L764" s="59" t="s">
        <v>818</v>
      </c>
    </row>
    <row r="765" spans="2:12" ht="36" x14ac:dyDescent="0.2">
      <c r="B765" s="55">
        <v>42181</v>
      </c>
      <c r="C765" s="56">
        <v>1</v>
      </c>
      <c r="D765" s="57" t="s">
        <v>780</v>
      </c>
      <c r="E765" s="57" t="str">
        <f>VLOOKUP(D765,tblProjekt[],2,FALSE)</f>
        <v>Disease Analyzer</v>
      </c>
      <c r="F765" s="58">
        <v>148</v>
      </c>
      <c r="G765" s="58"/>
      <c r="H765" s="58"/>
      <c r="I765" s="58"/>
      <c r="J765" s="58"/>
      <c r="K765" s="58"/>
      <c r="L765" s="59" t="s">
        <v>819</v>
      </c>
    </row>
    <row r="766" spans="2:12" ht="24" x14ac:dyDescent="0.2">
      <c r="B766" s="55">
        <v>42181</v>
      </c>
      <c r="C766" s="56">
        <v>0.75</v>
      </c>
      <c r="D766" s="57" t="s">
        <v>14</v>
      </c>
      <c r="E766" s="57" t="str">
        <f>VLOOKUP(D766,tblProjekt[],2,FALSE)</f>
        <v>CHA Calculator</v>
      </c>
      <c r="F766" s="58">
        <v>13</v>
      </c>
      <c r="G766" s="58"/>
      <c r="H766" s="58"/>
      <c r="I766" s="58"/>
      <c r="J766" s="58"/>
      <c r="K766" s="58"/>
      <c r="L766" s="59" t="s">
        <v>820</v>
      </c>
    </row>
    <row r="767" spans="2:12" ht="24" x14ac:dyDescent="0.2">
      <c r="B767" s="55">
        <v>42181</v>
      </c>
      <c r="C767" s="56">
        <v>0.25</v>
      </c>
      <c r="D767" s="57" t="s">
        <v>427</v>
      </c>
      <c r="E767" s="57" t="str">
        <f>VLOOKUP(D767,tblProjekt[],2,FALSE)</f>
        <v>Calculator übergreifend</v>
      </c>
      <c r="F767" s="58">
        <v>158</v>
      </c>
      <c r="G767" s="58"/>
      <c r="H767" s="58"/>
      <c r="I767" s="58"/>
      <c r="J767" s="58"/>
      <c r="K767" s="58"/>
      <c r="L767" s="59" t="s">
        <v>821</v>
      </c>
    </row>
    <row r="768" spans="2:12" ht="48" x14ac:dyDescent="0.2">
      <c r="B768" s="55">
        <v>42181</v>
      </c>
      <c r="C768" s="56">
        <v>2.25</v>
      </c>
      <c r="D768" s="57" t="s">
        <v>427</v>
      </c>
      <c r="E768" s="57" t="str">
        <f>VLOOKUP(D768,tblProjekt[],2,FALSE)</f>
        <v>Calculator übergreifend</v>
      </c>
      <c r="F768" s="58" t="s">
        <v>822</v>
      </c>
      <c r="G768" s="58"/>
      <c r="H768" s="58"/>
      <c r="I768" s="58"/>
      <c r="J768" s="58"/>
      <c r="K768" s="58"/>
      <c r="L768" s="59" t="s">
        <v>823</v>
      </c>
    </row>
    <row r="769" spans="2:12" ht="24" x14ac:dyDescent="0.2">
      <c r="B769" s="55">
        <v>42181</v>
      </c>
      <c r="C769" s="56">
        <v>0.25</v>
      </c>
      <c r="D769" s="57" t="s">
        <v>14</v>
      </c>
      <c r="E769" s="57" t="str">
        <f>VLOOKUP(D769,tblProjekt[],2,FALSE)</f>
        <v>CHA Calculator</v>
      </c>
      <c r="F769" s="58">
        <v>18</v>
      </c>
      <c r="G769" s="58"/>
      <c r="H769" s="58"/>
      <c r="I769" s="58"/>
      <c r="J769" s="58"/>
      <c r="K769" s="58"/>
      <c r="L769" s="59" t="s">
        <v>824</v>
      </c>
    </row>
    <row r="770" spans="2:12" x14ac:dyDescent="0.2">
      <c r="B770" s="55">
        <v>42184</v>
      </c>
      <c r="C770" s="56">
        <v>0.25</v>
      </c>
      <c r="D770" s="57" t="s">
        <v>37</v>
      </c>
      <c r="E770" s="57" t="str">
        <f>VLOOKUP(D770,tblProjekt[],2,FALSE)</f>
        <v>Cesra report</v>
      </c>
      <c r="F770" s="58">
        <v>75</v>
      </c>
      <c r="G770" s="58"/>
      <c r="H770" s="58"/>
      <c r="I770" s="58"/>
      <c r="J770" s="58"/>
      <c r="K770" s="58"/>
      <c r="L770" s="59" t="s">
        <v>756</v>
      </c>
    </row>
    <row r="771" spans="2:12" x14ac:dyDescent="0.2">
      <c r="B771" s="55">
        <v>42185</v>
      </c>
      <c r="C771" s="56">
        <v>1</v>
      </c>
      <c r="D771" s="57" t="s">
        <v>63</v>
      </c>
      <c r="E771" s="57" t="str">
        <f>VLOOKUP(D771,tblProjekt[],2,FALSE)</f>
        <v>Klosterfrau Mass Market</v>
      </c>
      <c r="F771" s="58">
        <v>92</v>
      </c>
      <c r="G771" s="58"/>
      <c r="H771" s="58"/>
      <c r="I771" s="58"/>
      <c r="J771" s="58"/>
      <c r="K771" s="58"/>
      <c r="L771" s="59" t="s">
        <v>825</v>
      </c>
    </row>
    <row r="772" spans="2:12" x14ac:dyDescent="0.2">
      <c r="B772" s="55">
        <v>42191</v>
      </c>
      <c r="C772" s="56">
        <v>0.75</v>
      </c>
      <c r="D772" s="57" t="s">
        <v>84</v>
      </c>
      <c r="E772" s="57" t="str">
        <f>VLOOKUP(D772,tblProjekt[],2,FALSE)</f>
        <v>Infrastruktur cognovo</v>
      </c>
      <c r="F772" s="58"/>
      <c r="G772" s="58"/>
      <c r="H772" s="58"/>
      <c r="I772" s="58"/>
      <c r="J772" s="58"/>
      <c r="K772" s="58"/>
      <c r="L772" s="59" t="s">
        <v>223</v>
      </c>
    </row>
    <row r="773" spans="2:12" ht="24" x14ac:dyDescent="0.2">
      <c r="B773" s="55">
        <v>42191</v>
      </c>
      <c r="C773" s="56">
        <v>0.5</v>
      </c>
      <c r="D773" s="57" t="s">
        <v>427</v>
      </c>
      <c r="E773" s="57" t="str">
        <f>VLOOKUP(D773,tblProjekt[],2,FALSE)</f>
        <v>Calculator übergreifend</v>
      </c>
      <c r="F773" s="58">
        <v>168</v>
      </c>
      <c r="G773" s="58"/>
      <c r="H773" s="58"/>
      <c r="I773" s="58"/>
      <c r="J773" s="58"/>
      <c r="K773" s="58"/>
      <c r="L773" s="59" t="s">
        <v>826</v>
      </c>
    </row>
    <row r="774" spans="2:12" ht="24" x14ac:dyDescent="0.2">
      <c r="B774" s="55">
        <v>42191</v>
      </c>
      <c r="C774" s="56">
        <v>7.5</v>
      </c>
      <c r="D774" s="57" t="s">
        <v>37</v>
      </c>
      <c r="E774" s="57" t="str">
        <f>VLOOKUP(D774,tblProjekt[],2,FALSE)</f>
        <v>Cesra report</v>
      </c>
      <c r="F774" s="58">
        <v>68</v>
      </c>
      <c r="G774" s="58"/>
      <c r="H774" s="58"/>
      <c r="I774" s="58"/>
      <c r="J774" s="58"/>
      <c r="K774" s="58"/>
      <c r="L774" s="59" t="s">
        <v>827</v>
      </c>
    </row>
    <row r="775" spans="2:12" ht="36" x14ac:dyDescent="0.2">
      <c r="B775" s="55">
        <v>42192</v>
      </c>
      <c r="C775" s="56">
        <v>1</v>
      </c>
      <c r="D775" s="57" t="s">
        <v>17</v>
      </c>
      <c r="E775" s="57" t="str">
        <f>VLOOKUP(D775,tblProjekt[],2,FALSE)</f>
        <v>Powerspreadsheet Win7</v>
      </c>
      <c r="F775" s="58"/>
      <c r="G775" s="58"/>
      <c r="H775" s="58"/>
      <c r="I775" s="58"/>
      <c r="J775" s="58"/>
      <c r="K775" s="58"/>
      <c r="L775" s="59" t="s">
        <v>828</v>
      </c>
    </row>
    <row r="776" spans="2:12" ht="24" x14ac:dyDescent="0.2">
      <c r="B776" s="55">
        <v>42192</v>
      </c>
      <c r="C776" s="56">
        <v>1.5</v>
      </c>
      <c r="D776" s="57" t="s">
        <v>37</v>
      </c>
      <c r="E776" s="57" t="str">
        <f>VLOOKUP(D776,tblProjekt[],2,FALSE)</f>
        <v>Cesra report</v>
      </c>
      <c r="F776" s="58">
        <v>68</v>
      </c>
      <c r="G776" s="58"/>
      <c r="H776" s="58"/>
      <c r="I776" s="58"/>
      <c r="J776" s="58"/>
      <c r="K776" s="58"/>
      <c r="L776" s="59" t="s">
        <v>829</v>
      </c>
    </row>
    <row r="777" spans="2:12" ht="24" x14ac:dyDescent="0.2">
      <c r="B777" s="55">
        <v>42192</v>
      </c>
      <c r="C777" s="56">
        <v>0.75</v>
      </c>
      <c r="D777" s="57" t="s">
        <v>780</v>
      </c>
      <c r="E777" s="57" t="str">
        <f>VLOOKUP(D777,tblProjekt[],2,FALSE)</f>
        <v>Disease Analyzer</v>
      </c>
      <c r="F777" s="58">
        <v>148</v>
      </c>
      <c r="G777" s="58"/>
      <c r="H777" s="58"/>
      <c r="I777" s="58"/>
      <c r="J777" s="58"/>
      <c r="K777" s="58"/>
      <c r="L777" s="59" t="s">
        <v>830</v>
      </c>
    </row>
    <row r="778" spans="2:12" ht="24" x14ac:dyDescent="0.2">
      <c r="B778" s="55">
        <v>42192</v>
      </c>
      <c r="C778" s="56">
        <v>0.5</v>
      </c>
      <c r="D778" s="57" t="s">
        <v>17</v>
      </c>
      <c r="E778" s="57" t="str">
        <f>VLOOKUP(D778,tblProjekt[],2,FALSE)</f>
        <v>Powerspreadsheet Win7</v>
      </c>
      <c r="F778" s="58"/>
      <c r="G778" s="58"/>
      <c r="H778" s="58"/>
      <c r="I778" s="58"/>
      <c r="J778" s="58"/>
      <c r="K778" s="58"/>
      <c r="L778" s="59" t="s">
        <v>831</v>
      </c>
    </row>
    <row r="779" spans="2:12" ht="48" x14ac:dyDescent="0.2">
      <c r="B779" s="55">
        <v>42192</v>
      </c>
      <c r="C779" s="56">
        <v>1</v>
      </c>
      <c r="D779" s="57" t="s">
        <v>427</v>
      </c>
      <c r="E779" s="57" t="str">
        <f>VLOOKUP(D779,tblProjekt[],2,FALSE)</f>
        <v>Calculator übergreifend</v>
      </c>
      <c r="F779" s="58" t="s">
        <v>832</v>
      </c>
      <c r="G779" s="58"/>
      <c r="H779" s="58"/>
      <c r="I779" s="58"/>
      <c r="J779" s="58"/>
      <c r="K779" s="58"/>
      <c r="L779" s="59" t="s">
        <v>833</v>
      </c>
    </row>
    <row r="780" spans="2:12" ht="24" x14ac:dyDescent="0.2">
      <c r="B780" s="55">
        <v>42192</v>
      </c>
      <c r="C780" s="56">
        <v>0.5</v>
      </c>
      <c r="D780" s="57" t="s">
        <v>427</v>
      </c>
      <c r="E780" s="57" t="str">
        <f>VLOOKUP(D780,tblProjekt[],2,FALSE)</f>
        <v>Calculator übergreifend</v>
      </c>
      <c r="F780" s="58"/>
      <c r="G780" s="58"/>
      <c r="H780" s="58"/>
      <c r="I780" s="58"/>
      <c r="J780" s="58"/>
      <c r="K780" s="58"/>
      <c r="L780" s="59" t="s">
        <v>834</v>
      </c>
    </row>
    <row r="781" spans="2:12" x14ac:dyDescent="0.2">
      <c r="B781" s="55">
        <v>42192</v>
      </c>
      <c r="C781" s="56">
        <v>1</v>
      </c>
      <c r="D781" s="57" t="s">
        <v>14</v>
      </c>
      <c r="E781" s="57" t="str">
        <f>VLOOKUP(D781,tblProjekt[],2,FALSE)</f>
        <v>CHA Calculator</v>
      </c>
      <c r="F781" s="58"/>
      <c r="G781" s="58"/>
      <c r="H781" s="58"/>
      <c r="I781" s="58"/>
      <c r="J781" s="58"/>
      <c r="K781" s="58"/>
      <c r="L781" s="59" t="s">
        <v>835</v>
      </c>
    </row>
    <row r="782" spans="2:12" x14ac:dyDescent="0.2">
      <c r="B782" s="55">
        <v>42192</v>
      </c>
      <c r="C782" s="56">
        <v>0.25</v>
      </c>
      <c r="D782" s="57" t="s">
        <v>6</v>
      </c>
      <c r="E782" s="57" t="str">
        <f>VLOOKUP(D782,tblProjekt[],2,FALSE)</f>
        <v>Produktionsportal 2</v>
      </c>
      <c r="F782" s="58"/>
      <c r="G782" s="58"/>
      <c r="H782" s="58"/>
      <c r="I782" s="58"/>
      <c r="J782" s="58"/>
      <c r="K782" s="58"/>
      <c r="L782" s="59" t="s">
        <v>836</v>
      </c>
    </row>
    <row r="783" spans="2:12" x14ac:dyDescent="0.2">
      <c r="B783" s="55">
        <v>42192</v>
      </c>
      <c r="C783" s="56">
        <v>0.25</v>
      </c>
      <c r="D783" s="57" t="s">
        <v>84</v>
      </c>
      <c r="E783" s="57" t="str">
        <f>VLOOKUP(D783,tblProjekt[],2,FALSE)</f>
        <v>Infrastruktur cognovo</v>
      </c>
      <c r="F783" s="58"/>
      <c r="G783" s="58"/>
      <c r="H783" s="58"/>
      <c r="I783" s="58"/>
      <c r="J783" s="58"/>
      <c r="K783" s="58"/>
      <c r="L783" s="59" t="s">
        <v>837</v>
      </c>
    </row>
    <row r="784" spans="2:12" x14ac:dyDescent="0.2">
      <c r="B784" s="55">
        <v>42192</v>
      </c>
      <c r="C784" s="56">
        <v>0.25</v>
      </c>
      <c r="D784" s="57" t="s">
        <v>84</v>
      </c>
      <c r="E784" s="57" t="str">
        <f>VLOOKUP(D784,tblProjekt[],2,FALSE)</f>
        <v>Infrastruktur cognovo</v>
      </c>
      <c r="F784" s="58"/>
      <c r="G784" s="58"/>
      <c r="H784" s="58"/>
      <c r="I784" s="58"/>
      <c r="J784" s="58"/>
      <c r="K784" s="58"/>
      <c r="L784" s="59" t="s">
        <v>838</v>
      </c>
    </row>
    <row r="785" spans="2:12" ht="24" x14ac:dyDescent="0.2">
      <c r="B785" s="55">
        <v>42192</v>
      </c>
      <c r="C785" s="56">
        <v>0.25</v>
      </c>
      <c r="D785" s="57" t="s">
        <v>427</v>
      </c>
      <c r="E785" s="57" t="str">
        <f>VLOOKUP(D785,tblProjekt[],2,FALSE)</f>
        <v>Calculator übergreifend</v>
      </c>
      <c r="F785" s="58">
        <v>168</v>
      </c>
      <c r="G785" s="58"/>
      <c r="H785" s="58"/>
      <c r="I785" s="58"/>
      <c r="J785" s="58"/>
      <c r="K785" s="58"/>
      <c r="L785" s="59" t="s">
        <v>839</v>
      </c>
    </row>
    <row r="786" spans="2:12" ht="24" x14ac:dyDescent="0.2">
      <c r="B786" s="55">
        <v>42193</v>
      </c>
      <c r="C786" s="56">
        <v>1.25</v>
      </c>
      <c r="D786" s="57" t="s">
        <v>780</v>
      </c>
      <c r="E786" s="57" t="str">
        <f>VLOOKUP(D786,tblProjekt[],2,FALSE)</f>
        <v>Disease Analyzer</v>
      </c>
      <c r="F786" s="58">
        <v>148</v>
      </c>
      <c r="G786" s="58"/>
      <c r="H786" s="58"/>
      <c r="I786" s="58"/>
      <c r="J786" s="58"/>
      <c r="K786" s="58"/>
      <c r="L786" s="59" t="s">
        <v>840</v>
      </c>
    </row>
    <row r="787" spans="2:12" x14ac:dyDescent="0.2">
      <c r="B787" s="55">
        <v>42193</v>
      </c>
      <c r="C787" s="56">
        <v>0.25</v>
      </c>
      <c r="D787" s="57" t="s">
        <v>84</v>
      </c>
      <c r="E787" s="57" t="str">
        <f>VLOOKUP(D787,tblProjekt[],2,FALSE)</f>
        <v>Infrastruktur cognovo</v>
      </c>
      <c r="F787" s="58"/>
      <c r="G787" s="58"/>
      <c r="H787" s="58"/>
      <c r="I787" s="58"/>
      <c r="J787" s="58"/>
      <c r="K787" s="58"/>
      <c r="L787" s="59" t="s">
        <v>223</v>
      </c>
    </row>
    <row r="788" spans="2:12" ht="24" x14ac:dyDescent="0.2">
      <c r="B788" s="55">
        <v>42193</v>
      </c>
      <c r="C788" s="56">
        <v>1</v>
      </c>
      <c r="D788" s="57" t="s">
        <v>37</v>
      </c>
      <c r="E788" s="57" t="str">
        <f>VLOOKUP(D788,tblProjekt[],2,FALSE)</f>
        <v>Cesra report</v>
      </c>
      <c r="F788" s="58" t="s">
        <v>844</v>
      </c>
      <c r="G788" s="58"/>
      <c r="H788" s="58"/>
      <c r="I788" s="58"/>
      <c r="J788" s="58"/>
      <c r="K788" s="58"/>
      <c r="L788" s="59" t="s">
        <v>841</v>
      </c>
    </row>
    <row r="789" spans="2:12" ht="24" x14ac:dyDescent="0.2">
      <c r="B789" s="55">
        <v>42193</v>
      </c>
      <c r="C789" s="56">
        <v>4.5</v>
      </c>
      <c r="D789" s="57" t="s">
        <v>6</v>
      </c>
      <c r="E789" s="57" t="str">
        <f>VLOOKUP(D789,tblProjekt[],2,FALSE)</f>
        <v>Produktionsportal 2</v>
      </c>
      <c r="F789" s="58">
        <v>43</v>
      </c>
      <c r="G789" s="58"/>
      <c r="H789" s="58"/>
      <c r="I789" s="58"/>
      <c r="J789" s="58"/>
      <c r="K789" s="58"/>
      <c r="L789" s="59" t="s">
        <v>842</v>
      </c>
    </row>
    <row r="790" spans="2:12" ht="24" x14ac:dyDescent="0.2">
      <c r="B790" s="55">
        <v>42194</v>
      </c>
      <c r="C790" s="56">
        <v>3.5</v>
      </c>
      <c r="D790" s="57" t="s">
        <v>41</v>
      </c>
      <c r="E790" s="57" t="str">
        <f>VLOOKUP(D790,tblProjekt[],2,FALSE)</f>
        <v>L'Oreal Distributionsreport</v>
      </c>
      <c r="F790" s="58">
        <v>83</v>
      </c>
      <c r="G790" s="58"/>
      <c r="H790" s="58"/>
      <c r="I790" s="58"/>
      <c r="J790" s="58"/>
      <c r="K790" s="58"/>
      <c r="L790" s="59" t="s">
        <v>843</v>
      </c>
    </row>
    <row r="791" spans="2:12" ht="24" x14ac:dyDescent="0.2">
      <c r="B791" s="55">
        <v>42195</v>
      </c>
      <c r="C791" s="56">
        <v>4</v>
      </c>
      <c r="D791" s="57" t="s">
        <v>41</v>
      </c>
      <c r="E791" s="57" t="str">
        <f>VLOOKUP(D791,tblProjekt[],2,FALSE)</f>
        <v>L'Oreal Distributionsreport</v>
      </c>
      <c r="F791" s="58">
        <v>83</v>
      </c>
      <c r="G791" s="58"/>
      <c r="H791" s="58"/>
      <c r="I791" s="58"/>
      <c r="J791" s="58"/>
      <c r="K791" s="58"/>
      <c r="L791" s="59" t="s">
        <v>845</v>
      </c>
    </row>
    <row r="792" spans="2:12" x14ac:dyDescent="0.2">
      <c r="B792" s="55">
        <v>42195</v>
      </c>
      <c r="C792" s="56">
        <v>0.25</v>
      </c>
      <c r="D792" s="57" t="s">
        <v>84</v>
      </c>
      <c r="E792" s="57" t="str">
        <f>VLOOKUP(D792,tblProjekt[],2,FALSE)</f>
        <v>Infrastruktur cognovo</v>
      </c>
      <c r="F792" s="58"/>
      <c r="G792" s="58"/>
      <c r="H792" s="58"/>
      <c r="I792" s="58"/>
      <c r="J792" s="58"/>
      <c r="K792" s="58"/>
      <c r="L792" s="59" t="s">
        <v>223</v>
      </c>
    </row>
    <row r="793" spans="2:12" ht="24" x14ac:dyDescent="0.2">
      <c r="B793" s="55">
        <v>42195</v>
      </c>
      <c r="C793" s="56">
        <v>0.25</v>
      </c>
      <c r="D793" s="57" t="s">
        <v>780</v>
      </c>
      <c r="E793" s="57" t="str">
        <f>VLOOKUP(D793,tblProjekt[],2,FALSE)</f>
        <v>Disease Analyzer</v>
      </c>
      <c r="F793" s="58">
        <v>148</v>
      </c>
      <c r="G793" s="58"/>
      <c r="H793" s="58"/>
      <c r="I793" s="58"/>
      <c r="J793" s="58"/>
      <c r="K793" s="58"/>
      <c r="L793" s="59" t="s">
        <v>846</v>
      </c>
    </row>
    <row r="794" spans="2:12" ht="24" x14ac:dyDescent="0.2">
      <c r="B794" s="55">
        <v>42197</v>
      </c>
      <c r="C794" s="56">
        <v>3.5</v>
      </c>
      <c r="D794" s="57" t="s">
        <v>780</v>
      </c>
      <c r="E794" s="57" t="str">
        <f>VLOOKUP(D794,tblProjekt[],2,FALSE)</f>
        <v>Disease Analyzer</v>
      </c>
      <c r="F794" s="58">
        <v>169</v>
      </c>
      <c r="G794" s="58"/>
      <c r="H794" s="58"/>
      <c r="I794" s="58"/>
      <c r="J794" s="58"/>
      <c r="K794" s="58"/>
      <c r="L794" s="59" t="s">
        <v>847</v>
      </c>
    </row>
    <row r="795" spans="2:12" ht="36" x14ac:dyDescent="0.2">
      <c r="B795" s="55">
        <v>42198</v>
      </c>
      <c r="C795" s="56">
        <v>0.5</v>
      </c>
      <c r="D795" s="57" t="s">
        <v>780</v>
      </c>
      <c r="E795" s="57" t="str">
        <f>VLOOKUP(D795,tblProjekt[],2,FALSE)</f>
        <v>Disease Analyzer</v>
      </c>
      <c r="F795" s="58" t="s">
        <v>848</v>
      </c>
      <c r="G795" s="58"/>
      <c r="H795" s="58"/>
      <c r="I795" s="58"/>
      <c r="J795" s="58"/>
      <c r="K795" s="58"/>
      <c r="L795" s="59" t="s">
        <v>849</v>
      </c>
    </row>
    <row r="796" spans="2:12" x14ac:dyDescent="0.2">
      <c r="B796" s="55">
        <v>42201</v>
      </c>
      <c r="C796" s="56">
        <v>0.5</v>
      </c>
      <c r="D796" s="57" t="s">
        <v>84</v>
      </c>
      <c r="E796" s="57" t="str">
        <f>VLOOKUP(D796,tblProjekt[],2,FALSE)</f>
        <v>Infrastruktur cognovo</v>
      </c>
      <c r="F796" s="58"/>
      <c r="G796" s="58"/>
      <c r="H796" s="58"/>
      <c r="I796" s="58"/>
      <c r="J796" s="58"/>
      <c r="K796" s="58"/>
      <c r="L796" s="59" t="s">
        <v>223</v>
      </c>
    </row>
    <row r="797" spans="2:12" x14ac:dyDescent="0.2">
      <c r="B797" s="55">
        <v>42201</v>
      </c>
      <c r="C797" s="56">
        <v>0.75</v>
      </c>
      <c r="D797" s="57" t="s">
        <v>84</v>
      </c>
      <c r="E797" s="57" t="str">
        <f>VLOOKUP(D797,tblProjekt[],2,FALSE)</f>
        <v>Infrastruktur cognovo</v>
      </c>
      <c r="F797" s="58"/>
      <c r="G797" s="58"/>
      <c r="H797" s="58"/>
      <c r="I797" s="58"/>
      <c r="J797" s="58"/>
      <c r="K797" s="58"/>
      <c r="L797" s="59" t="s">
        <v>806</v>
      </c>
    </row>
    <row r="798" spans="2:12" x14ac:dyDescent="0.2">
      <c r="B798" s="55">
        <v>42201</v>
      </c>
      <c r="C798" s="56">
        <v>0.25</v>
      </c>
      <c r="D798" s="57" t="s">
        <v>339</v>
      </c>
      <c r="E798" s="57" t="str">
        <f>VLOOKUP(D798,tblProjekt[],2,FALSE)</f>
        <v>Klosterfrau Regio</v>
      </c>
      <c r="F798" s="58">
        <v>99</v>
      </c>
      <c r="G798" s="58"/>
      <c r="H798" s="58"/>
      <c r="I798" s="58"/>
      <c r="J798" s="58"/>
      <c r="K798" s="58"/>
      <c r="L798" s="59" t="s">
        <v>863</v>
      </c>
    </row>
    <row r="799" spans="2:12" x14ac:dyDescent="0.2">
      <c r="B799" s="55">
        <v>42201</v>
      </c>
      <c r="C799" s="56">
        <v>0.25</v>
      </c>
      <c r="D799" s="57" t="s">
        <v>14</v>
      </c>
      <c r="E799" s="57" t="str">
        <f>VLOOKUP(D799,tblProjekt[],2,FALSE)</f>
        <v>CHA Calculator</v>
      </c>
      <c r="F799" s="58">
        <v>78</v>
      </c>
      <c r="G799" s="58"/>
      <c r="H799" s="58"/>
      <c r="I799" s="58"/>
      <c r="J799" s="58"/>
      <c r="K799" s="58"/>
      <c r="L799" s="59" t="s">
        <v>416</v>
      </c>
    </row>
    <row r="800" spans="2:12" x14ac:dyDescent="0.2">
      <c r="B800" s="55">
        <v>42201</v>
      </c>
      <c r="C800" s="56">
        <v>0.5</v>
      </c>
      <c r="D800" s="57" t="s">
        <v>780</v>
      </c>
      <c r="E800" s="57" t="str">
        <f>VLOOKUP(D800,tblProjekt[],2,FALSE)</f>
        <v>Disease Analyzer</v>
      </c>
      <c r="F800" s="58">
        <v>169</v>
      </c>
      <c r="G800" s="58"/>
      <c r="H800" s="58"/>
      <c r="I800" s="58"/>
      <c r="J800" s="58"/>
      <c r="K800" s="58"/>
      <c r="L800" s="59" t="s">
        <v>850</v>
      </c>
    </row>
    <row r="801" spans="2:12" ht="24" x14ac:dyDescent="0.2">
      <c r="B801" s="55">
        <v>42201</v>
      </c>
      <c r="C801" s="56">
        <v>0.25</v>
      </c>
      <c r="D801" s="57" t="s">
        <v>41</v>
      </c>
      <c r="E801" s="57" t="str">
        <f>VLOOKUP(D801,tblProjekt[],2,FALSE)</f>
        <v>L'Oreal Distributionsreport</v>
      </c>
      <c r="F801" s="58">
        <v>96</v>
      </c>
      <c r="G801" s="58"/>
      <c r="H801" s="58"/>
      <c r="I801" s="58"/>
      <c r="J801" s="58"/>
      <c r="K801" s="58"/>
      <c r="L801" s="59" t="s">
        <v>851</v>
      </c>
    </row>
    <row r="802" spans="2:12" x14ac:dyDescent="0.2">
      <c r="B802" s="55">
        <v>42201</v>
      </c>
      <c r="C802" s="56">
        <v>0.25</v>
      </c>
      <c r="D802" s="57" t="s">
        <v>43</v>
      </c>
      <c r="E802" s="57" t="str">
        <f>VLOOKUP(D802,tblProjekt[],2,FALSE)</f>
        <v>DPMPSN Calculator</v>
      </c>
      <c r="F802" s="58">
        <v>172</v>
      </c>
      <c r="G802" s="58"/>
      <c r="H802" s="58"/>
      <c r="I802" s="58"/>
      <c r="J802" s="58"/>
      <c r="K802" s="58"/>
      <c r="L802" s="59" t="s">
        <v>852</v>
      </c>
    </row>
    <row r="803" spans="2:12" ht="24" x14ac:dyDescent="0.2">
      <c r="B803" s="55">
        <v>42201</v>
      </c>
      <c r="C803" s="56">
        <v>3</v>
      </c>
      <c r="D803" s="57" t="s">
        <v>59</v>
      </c>
      <c r="E803" s="57" t="str">
        <f>VLOOKUP(D803,tblProjekt[],2,FALSE)</f>
        <v>Stada reports</v>
      </c>
      <c r="F803" s="58">
        <v>94</v>
      </c>
      <c r="G803" s="58"/>
      <c r="H803" s="58"/>
      <c r="I803" s="58"/>
      <c r="J803" s="58"/>
      <c r="K803" s="58"/>
      <c r="L803" s="59" t="s">
        <v>853</v>
      </c>
    </row>
    <row r="804" spans="2:12" ht="24" x14ac:dyDescent="0.2">
      <c r="B804" s="55">
        <v>42201</v>
      </c>
      <c r="C804" s="56">
        <v>2.5</v>
      </c>
      <c r="D804" s="57" t="s">
        <v>337</v>
      </c>
      <c r="E804" s="57" t="str">
        <f>VLOOKUP(D804,tblProjekt[],2,FALSE)</f>
        <v>Klosterfrau National</v>
      </c>
      <c r="F804" s="58">
        <v>48</v>
      </c>
      <c r="G804" s="58"/>
      <c r="H804" s="58"/>
      <c r="I804" s="58"/>
      <c r="J804" s="58"/>
      <c r="K804" s="58"/>
      <c r="L804" s="59" t="s">
        <v>854</v>
      </c>
    </row>
    <row r="805" spans="2:12" ht="24" x14ac:dyDescent="0.2">
      <c r="B805" s="55">
        <v>42201</v>
      </c>
      <c r="C805" s="56">
        <v>0.75</v>
      </c>
      <c r="D805" s="57" t="s">
        <v>780</v>
      </c>
      <c r="E805" s="57" t="str">
        <f>VLOOKUP(D805,tblProjekt[],2,FALSE)</f>
        <v>Disease Analyzer</v>
      </c>
      <c r="F805" s="58">
        <v>169</v>
      </c>
      <c r="G805" s="58"/>
      <c r="H805" s="58"/>
      <c r="I805" s="58"/>
      <c r="J805" s="58"/>
      <c r="K805" s="58"/>
      <c r="L805" s="59" t="s">
        <v>855</v>
      </c>
    </row>
    <row r="806" spans="2:12" ht="24" x14ac:dyDescent="0.2">
      <c r="B806" s="55">
        <v>42202</v>
      </c>
      <c r="C806" s="56">
        <v>5.75</v>
      </c>
      <c r="D806" s="57" t="s">
        <v>59</v>
      </c>
      <c r="E806" s="57" t="str">
        <f>VLOOKUP(D806,tblProjekt[],2,FALSE)</f>
        <v>Stada reports</v>
      </c>
      <c r="F806" s="58">
        <v>94</v>
      </c>
      <c r="G806" s="58"/>
      <c r="H806" s="58"/>
      <c r="I806" s="58"/>
      <c r="J806" s="58"/>
      <c r="K806" s="58"/>
      <c r="L806" s="59" t="s">
        <v>856</v>
      </c>
    </row>
    <row r="807" spans="2:12" x14ac:dyDescent="0.2">
      <c r="B807" s="55">
        <v>42202</v>
      </c>
      <c r="C807" s="56">
        <v>0.5</v>
      </c>
      <c r="D807" s="57" t="s">
        <v>41</v>
      </c>
      <c r="E807" s="57" t="str">
        <f>VLOOKUP(D807,tblProjekt[],2,FALSE)</f>
        <v>L'Oreal Distributionsreport</v>
      </c>
      <c r="F807" s="58">
        <v>96</v>
      </c>
      <c r="G807" s="58"/>
      <c r="H807" s="58"/>
      <c r="I807" s="58"/>
      <c r="J807" s="58"/>
      <c r="K807" s="58"/>
      <c r="L807" s="59" t="s">
        <v>857</v>
      </c>
    </row>
    <row r="808" spans="2:12" ht="24" x14ac:dyDescent="0.2">
      <c r="B808" s="55">
        <v>42202</v>
      </c>
      <c r="C808" s="56">
        <v>0.75</v>
      </c>
      <c r="D808" s="57" t="s">
        <v>51</v>
      </c>
      <c r="E808" s="57" t="str">
        <f>VLOOKUP(D808,tblProjekt[],2,FALSE)</f>
        <v>L'Oreal Micro report</v>
      </c>
      <c r="F808" s="58">
        <v>96</v>
      </c>
      <c r="G808" s="58"/>
      <c r="H808" s="58"/>
      <c r="I808" s="58"/>
      <c r="J808" s="58"/>
      <c r="K808" s="58"/>
      <c r="L808" s="59" t="s">
        <v>858</v>
      </c>
    </row>
    <row r="809" spans="2:12" ht="36" x14ac:dyDescent="0.2">
      <c r="B809" s="55">
        <v>42203</v>
      </c>
      <c r="C809" s="56">
        <v>3</v>
      </c>
      <c r="D809" s="57" t="s">
        <v>59</v>
      </c>
      <c r="E809" s="57" t="str">
        <f>VLOOKUP(D809,tblProjekt[],2,FALSE)</f>
        <v>Stada reports</v>
      </c>
      <c r="F809" s="58">
        <v>94</v>
      </c>
      <c r="G809" s="58"/>
      <c r="H809" s="58"/>
      <c r="I809" s="58"/>
      <c r="J809" s="58"/>
      <c r="K809" s="58"/>
      <c r="L809" s="59" t="s">
        <v>859</v>
      </c>
    </row>
    <row r="810" spans="2:12" x14ac:dyDescent="0.2">
      <c r="B810" s="55">
        <v>42203</v>
      </c>
      <c r="C810" s="56">
        <v>0.5</v>
      </c>
      <c r="D810" s="57" t="s">
        <v>427</v>
      </c>
      <c r="E810" s="57" t="str">
        <f>VLOOKUP(D810,tblProjekt[],2,FALSE)</f>
        <v>Calculator übergreifend</v>
      </c>
      <c r="F810" s="58">
        <v>164</v>
      </c>
      <c r="G810" s="58"/>
      <c r="H810" s="58"/>
      <c r="I810" s="58"/>
      <c r="J810" s="58"/>
      <c r="K810" s="58"/>
      <c r="L810" s="59" t="s">
        <v>860</v>
      </c>
    </row>
    <row r="811" spans="2:12" ht="24" x14ac:dyDescent="0.2">
      <c r="B811" s="55">
        <v>42203</v>
      </c>
      <c r="C811" s="56">
        <v>0.25</v>
      </c>
      <c r="D811" s="57" t="s">
        <v>780</v>
      </c>
      <c r="E811" s="57" t="str">
        <f>VLOOKUP(D811,tblProjekt[],2,FALSE)</f>
        <v>Disease Analyzer</v>
      </c>
      <c r="F811" s="58">
        <v>169</v>
      </c>
      <c r="G811" s="58"/>
      <c r="H811" s="58"/>
      <c r="I811" s="58"/>
      <c r="J811" s="58"/>
      <c r="K811" s="58"/>
      <c r="L811" s="59" t="s">
        <v>861</v>
      </c>
    </row>
    <row r="812" spans="2:12" x14ac:dyDescent="0.2">
      <c r="B812" s="55">
        <v>42203</v>
      </c>
      <c r="C812" s="56">
        <v>0.25</v>
      </c>
      <c r="D812" s="57" t="s">
        <v>60</v>
      </c>
      <c r="E812" s="57" t="str">
        <f>VLOOKUP(D812,tblProjekt[],2,FALSE)</f>
        <v>Nutricia reports</v>
      </c>
      <c r="F812" s="58">
        <v>100</v>
      </c>
      <c r="G812" s="58"/>
      <c r="H812" s="58"/>
      <c r="I812" s="58"/>
      <c r="J812" s="58"/>
      <c r="K812" s="58"/>
      <c r="L812" s="59" t="s">
        <v>862</v>
      </c>
    </row>
    <row r="813" spans="2:12" ht="36" x14ac:dyDescent="0.2">
      <c r="B813" s="55">
        <v>42204</v>
      </c>
      <c r="C813" s="56">
        <v>0.5</v>
      </c>
      <c r="D813" s="57" t="s">
        <v>17</v>
      </c>
      <c r="E813" s="57" t="str">
        <f>VLOOKUP(D813,tblProjekt[],2,FALSE)</f>
        <v>Powerspreadsheet Win7</v>
      </c>
      <c r="F813" s="58">
        <v>102</v>
      </c>
      <c r="G813" s="58"/>
      <c r="H813" s="58"/>
      <c r="I813" s="58"/>
      <c r="J813" s="58"/>
      <c r="K813" s="58"/>
      <c r="L813" s="59" t="s">
        <v>864</v>
      </c>
    </row>
    <row r="814" spans="2:12" ht="36" x14ac:dyDescent="0.2">
      <c r="B814" s="55">
        <v>42205</v>
      </c>
      <c r="C814" s="56">
        <v>0.5</v>
      </c>
      <c r="D814" s="57" t="s">
        <v>17</v>
      </c>
      <c r="E814" s="57" t="str">
        <f>VLOOKUP(D814,tblProjekt[],2,FALSE)</f>
        <v>Powerspreadsheet Win7</v>
      </c>
      <c r="F814" s="58">
        <v>102</v>
      </c>
      <c r="G814" s="58"/>
      <c r="H814" s="58"/>
      <c r="I814" s="58"/>
      <c r="J814" s="58"/>
      <c r="K814" s="58"/>
      <c r="L814" s="59" t="s">
        <v>865</v>
      </c>
    </row>
    <row r="815" spans="2:12" ht="24" x14ac:dyDescent="0.2">
      <c r="B815" s="55">
        <v>42205</v>
      </c>
      <c r="C815" s="56">
        <v>0.5</v>
      </c>
      <c r="D815" s="57" t="s">
        <v>59</v>
      </c>
      <c r="E815" s="57" t="str">
        <f>VLOOKUP(D815,tblProjekt[],2,FALSE)</f>
        <v>Stada reports</v>
      </c>
      <c r="F815" s="58">
        <v>94</v>
      </c>
      <c r="G815" s="58"/>
      <c r="H815" s="58"/>
      <c r="I815" s="58"/>
      <c r="J815" s="58"/>
      <c r="K815" s="58"/>
      <c r="L815" s="59" t="s">
        <v>866</v>
      </c>
    </row>
    <row r="816" spans="2:12" ht="24" x14ac:dyDescent="0.2">
      <c r="B816" s="55">
        <v>42205</v>
      </c>
      <c r="C816" s="56">
        <v>0.5</v>
      </c>
      <c r="D816" s="57" t="s">
        <v>337</v>
      </c>
      <c r="E816" s="57" t="str">
        <f>VLOOKUP(D816,tblProjekt[],2,FALSE)</f>
        <v>Klosterfrau National</v>
      </c>
      <c r="F816" s="58">
        <v>99</v>
      </c>
      <c r="G816" s="58"/>
      <c r="H816" s="58"/>
      <c r="I816" s="58"/>
      <c r="J816" s="58"/>
      <c r="K816" s="58"/>
      <c r="L816" s="59" t="s">
        <v>867</v>
      </c>
    </row>
    <row r="817" spans="2:12" ht="24" x14ac:dyDescent="0.2">
      <c r="B817" s="55">
        <v>42205</v>
      </c>
      <c r="C817" s="56">
        <v>0.25</v>
      </c>
      <c r="D817" s="57" t="s">
        <v>339</v>
      </c>
      <c r="E817" s="57" t="str">
        <f>VLOOKUP(D817,tblProjekt[],2,FALSE)</f>
        <v>Klosterfrau Regio</v>
      </c>
      <c r="F817" s="58">
        <v>99</v>
      </c>
      <c r="G817" s="58"/>
      <c r="H817" s="58"/>
      <c r="I817" s="58"/>
      <c r="J817" s="58"/>
      <c r="K817" s="58"/>
      <c r="L817" s="59" t="s">
        <v>868</v>
      </c>
    </row>
    <row r="818" spans="2:12" ht="36" x14ac:dyDescent="0.2">
      <c r="B818" s="55">
        <v>42205</v>
      </c>
      <c r="C818" s="56">
        <v>0.25</v>
      </c>
      <c r="D818" s="57" t="s">
        <v>17</v>
      </c>
      <c r="E818" s="57" t="str">
        <f>VLOOKUP(D818,tblProjekt[],2,FALSE)</f>
        <v>Powerspreadsheet Win7</v>
      </c>
      <c r="F818" s="58">
        <v>102</v>
      </c>
      <c r="G818" s="58"/>
      <c r="H818" s="58"/>
      <c r="I818" s="58"/>
      <c r="J818" s="58"/>
      <c r="K818" s="58"/>
      <c r="L818" s="59" t="s">
        <v>869</v>
      </c>
    </row>
    <row r="819" spans="2:12" ht="24" x14ac:dyDescent="0.2">
      <c r="B819" s="55">
        <v>42207</v>
      </c>
      <c r="C819" s="56">
        <v>0.75</v>
      </c>
      <c r="D819" s="57" t="s">
        <v>84</v>
      </c>
      <c r="E819" s="57" t="str">
        <f>VLOOKUP(D819,tblProjekt[],2,FALSE)</f>
        <v>Infrastruktur cognovo</v>
      </c>
      <c r="F819" s="58"/>
      <c r="G819" s="58"/>
      <c r="H819" s="58"/>
      <c r="I819" s="58"/>
      <c r="J819" s="58"/>
      <c r="K819" s="58"/>
      <c r="L819" s="59" t="s">
        <v>870</v>
      </c>
    </row>
    <row r="820" spans="2:12" ht="24" x14ac:dyDescent="0.2">
      <c r="B820" s="55">
        <v>42207</v>
      </c>
      <c r="C820" s="56">
        <v>3.75</v>
      </c>
      <c r="D820" s="57" t="s">
        <v>427</v>
      </c>
      <c r="E820" s="57" t="str">
        <f>VLOOKUP(D820,tblProjekt[],2,FALSE)</f>
        <v>Calculator übergreifend</v>
      </c>
      <c r="F820" s="58" t="s">
        <v>871</v>
      </c>
      <c r="G820" s="58"/>
      <c r="H820" s="58"/>
      <c r="I820" s="58"/>
      <c r="J820" s="58"/>
      <c r="K820" s="58"/>
      <c r="L820" s="59" t="s">
        <v>872</v>
      </c>
    </row>
    <row r="821" spans="2:12" ht="24" x14ac:dyDescent="0.2">
      <c r="B821" s="55">
        <v>42207</v>
      </c>
      <c r="C821" s="56">
        <v>0.75</v>
      </c>
      <c r="D821" s="57" t="s">
        <v>43</v>
      </c>
      <c r="E821" s="57" t="str">
        <f>VLOOKUP(D821,tblProjekt[],2,FALSE)</f>
        <v>DPMPSN Calculator</v>
      </c>
      <c r="F821" s="58">
        <v>172</v>
      </c>
      <c r="G821" s="58"/>
      <c r="H821" s="58"/>
      <c r="I821" s="58"/>
      <c r="J821" s="58"/>
      <c r="K821" s="58"/>
      <c r="L821" s="59" t="s">
        <v>873</v>
      </c>
    </row>
    <row r="822" spans="2:12" x14ac:dyDescent="0.2">
      <c r="B822" s="55">
        <v>42207</v>
      </c>
      <c r="C822" s="56">
        <v>0.25</v>
      </c>
      <c r="D822" s="57" t="s">
        <v>780</v>
      </c>
      <c r="E822" s="57" t="str">
        <f>VLOOKUP(D822,tblProjekt[],2,FALSE)</f>
        <v>Disease Analyzer</v>
      </c>
      <c r="F822" s="58">
        <v>169</v>
      </c>
      <c r="G822" s="58"/>
      <c r="H822" s="58"/>
      <c r="I822" s="58"/>
      <c r="J822" s="58"/>
      <c r="K822" s="58"/>
      <c r="L822" s="59" t="s">
        <v>874</v>
      </c>
    </row>
    <row r="823" spans="2:12" x14ac:dyDescent="0.2">
      <c r="B823" s="55">
        <v>42208</v>
      </c>
      <c r="C823" s="56">
        <v>0.25</v>
      </c>
      <c r="D823" s="57" t="s">
        <v>84</v>
      </c>
      <c r="E823" s="57" t="str">
        <f>VLOOKUP(D823,tblProjekt[],2,FALSE)</f>
        <v>Infrastruktur cognovo</v>
      </c>
      <c r="F823" s="58"/>
      <c r="G823" s="58"/>
      <c r="H823" s="58"/>
      <c r="I823" s="58"/>
      <c r="J823" s="58"/>
      <c r="K823" s="58"/>
      <c r="L823" s="59" t="s">
        <v>875</v>
      </c>
    </row>
    <row r="824" spans="2:12" ht="24" x14ac:dyDescent="0.2">
      <c r="B824" s="55">
        <v>42208</v>
      </c>
      <c r="C824" s="56">
        <v>1.25</v>
      </c>
      <c r="D824" s="57" t="s">
        <v>17</v>
      </c>
      <c r="E824" s="57" t="str">
        <f>VLOOKUP(D824,tblProjekt[],2,FALSE)</f>
        <v>Powerspreadsheet Win7</v>
      </c>
      <c r="F824" s="58" t="s">
        <v>876</v>
      </c>
      <c r="G824" s="58"/>
      <c r="H824" s="58"/>
      <c r="I824" s="58"/>
      <c r="J824" s="58"/>
      <c r="K824" s="58"/>
      <c r="L824" s="59" t="s">
        <v>877</v>
      </c>
    </row>
    <row r="825" spans="2:12" ht="36" x14ac:dyDescent="0.2">
      <c r="B825" s="55">
        <v>42208</v>
      </c>
      <c r="C825" s="56">
        <v>2.25</v>
      </c>
      <c r="D825" s="57" t="s">
        <v>43</v>
      </c>
      <c r="E825" s="57" t="str">
        <f>VLOOKUP(D825,tblProjekt[],2,FALSE)</f>
        <v>DPMPSN Calculator</v>
      </c>
      <c r="F825" s="58" t="s">
        <v>878</v>
      </c>
      <c r="G825" s="58"/>
      <c r="H825" s="58"/>
      <c r="I825" s="58"/>
      <c r="J825" s="58"/>
      <c r="K825" s="58"/>
      <c r="L825" s="59" t="s">
        <v>879</v>
      </c>
    </row>
    <row r="826" spans="2:12" ht="36" x14ac:dyDescent="0.2">
      <c r="B826" s="55">
        <v>42208</v>
      </c>
      <c r="C826" s="56">
        <v>3.5</v>
      </c>
      <c r="D826" s="57" t="s">
        <v>427</v>
      </c>
      <c r="E826" s="57" t="str">
        <f>VLOOKUP(D826,tblProjekt[],2,FALSE)</f>
        <v>Calculator übergreifend</v>
      </c>
      <c r="F826" s="58" t="s">
        <v>871</v>
      </c>
      <c r="G826" s="58"/>
      <c r="H826" s="58"/>
      <c r="I826" s="58"/>
      <c r="J826" s="58"/>
      <c r="K826" s="58"/>
      <c r="L826" s="59" t="s">
        <v>880</v>
      </c>
    </row>
    <row r="827" spans="2:12" ht="24" x14ac:dyDescent="0.2">
      <c r="B827" s="55">
        <v>42208</v>
      </c>
      <c r="C827" s="56">
        <v>0.25</v>
      </c>
      <c r="D827" s="57" t="s">
        <v>780</v>
      </c>
      <c r="E827" s="57" t="str">
        <f>VLOOKUP(D827,tblProjekt[],2,FALSE)</f>
        <v>Disease Analyzer</v>
      </c>
      <c r="F827" s="58">
        <v>169</v>
      </c>
      <c r="G827" s="58"/>
      <c r="H827" s="58"/>
      <c r="I827" s="58"/>
      <c r="J827" s="58"/>
      <c r="K827" s="58"/>
      <c r="L827" s="59" t="s">
        <v>881</v>
      </c>
    </row>
    <row r="828" spans="2:12" ht="24" x14ac:dyDescent="0.2">
      <c r="B828" s="55">
        <v>42208</v>
      </c>
      <c r="C828" s="56">
        <v>0.25</v>
      </c>
      <c r="D828" s="57" t="s">
        <v>427</v>
      </c>
      <c r="E828" s="57" t="str">
        <f>VLOOKUP(D828,tblProjekt[],2,FALSE)</f>
        <v>Calculator übergreifend</v>
      </c>
      <c r="F828" s="58">
        <v>174</v>
      </c>
      <c r="G828" s="58"/>
      <c r="H828" s="58"/>
      <c r="I828" s="58"/>
      <c r="J828" s="58"/>
      <c r="K828" s="58"/>
      <c r="L828" s="59" t="s">
        <v>882</v>
      </c>
    </row>
    <row r="829" spans="2:12" ht="24" x14ac:dyDescent="0.2">
      <c r="B829" s="55">
        <v>42208</v>
      </c>
      <c r="C829" s="56">
        <v>0.25</v>
      </c>
      <c r="D829" s="57" t="s">
        <v>705</v>
      </c>
      <c r="E829" s="57" t="str">
        <f>VLOOKUP(D829,tblProjekt[],2,FALSE)</f>
        <v>XMM Calculator</v>
      </c>
      <c r="F829" s="58">
        <v>175</v>
      </c>
      <c r="G829" s="58"/>
      <c r="H829" s="58"/>
      <c r="I829" s="58"/>
      <c r="J829" s="58"/>
      <c r="K829" s="58"/>
      <c r="L829" s="59" t="s">
        <v>883</v>
      </c>
    </row>
    <row r="830" spans="2:12" ht="24" x14ac:dyDescent="0.2">
      <c r="B830" s="55">
        <v>42209</v>
      </c>
      <c r="C830" s="56">
        <v>1</v>
      </c>
      <c r="D830" s="57" t="s">
        <v>427</v>
      </c>
      <c r="E830" s="57" t="str">
        <f>VLOOKUP(D830,tblProjekt[],2,FALSE)</f>
        <v>Calculator übergreifend</v>
      </c>
      <c r="F830" s="58"/>
      <c r="G830" s="58"/>
      <c r="H830" s="58"/>
      <c r="I830" s="58"/>
      <c r="J830" s="58"/>
      <c r="K830" s="58"/>
      <c r="L830" s="59" t="s">
        <v>884</v>
      </c>
    </row>
    <row r="831" spans="2:12" ht="36" x14ac:dyDescent="0.2">
      <c r="B831" s="55">
        <v>42209</v>
      </c>
      <c r="C831" s="56">
        <v>2</v>
      </c>
      <c r="D831" s="57" t="s">
        <v>427</v>
      </c>
      <c r="E831" s="57" t="str">
        <f>VLOOKUP(D831,tblProjekt[],2,FALSE)</f>
        <v>Calculator übergreifend</v>
      </c>
      <c r="F831" s="58" t="s">
        <v>871</v>
      </c>
      <c r="G831" s="58"/>
      <c r="H831" s="58"/>
      <c r="I831" s="58"/>
      <c r="J831" s="58"/>
      <c r="K831" s="58"/>
      <c r="L831" s="59" t="s">
        <v>885</v>
      </c>
    </row>
    <row r="832" spans="2:12" ht="24" x14ac:dyDescent="0.2">
      <c r="B832" s="55">
        <v>42209</v>
      </c>
      <c r="C832" s="56">
        <v>0.25</v>
      </c>
      <c r="D832" s="57" t="s">
        <v>427</v>
      </c>
      <c r="E832" s="57" t="str">
        <f>VLOOKUP(D832,tblProjekt[],2,FALSE)</f>
        <v>Calculator übergreifend</v>
      </c>
      <c r="F832" s="58">
        <v>174</v>
      </c>
      <c r="G832" s="58"/>
      <c r="H832" s="58"/>
      <c r="I832" s="58"/>
      <c r="J832" s="58"/>
      <c r="K832" s="58"/>
      <c r="L832" s="59" t="s">
        <v>886</v>
      </c>
    </row>
    <row r="833" spans="2:12" ht="24" x14ac:dyDescent="0.2">
      <c r="B833" s="55">
        <v>42209</v>
      </c>
      <c r="C833" s="56">
        <v>0.25</v>
      </c>
      <c r="D833" s="57" t="s">
        <v>84</v>
      </c>
      <c r="E833" s="57" t="str">
        <f>VLOOKUP(D833,tblProjekt[],2,FALSE)</f>
        <v>Infrastruktur cognovo</v>
      </c>
      <c r="F833" s="58"/>
      <c r="G833" s="58"/>
      <c r="H833" s="58"/>
      <c r="I833" s="58"/>
      <c r="J833" s="58"/>
      <c r="K833" s="58"/>
      <c r="L833" s="59" t="s">
        <v>887</v>
      </c>
    </row>
    <row r="834" spans="2:12" ht="24" x14ac:dyDescent="0.2">
      <c r="B834" s="55">
        <v>42209</v>
      </c>
      <c r="C834" s="56">
        <v>0.5</v>
      </c>
      <c r="D834" s="57" t="s">
        <v>780</v>
      </c>
      <c r="E834" s="57" t="str">
        <f>VLOOKUP(D834,tblProjekt[],2,FALSE)</f>
        <v>Disease Analyzer</v>
      </c>
      <c r="F834" s="58">
        <v>169</v>
      </c>
      <c r="G834" s="58"/>
      <c r="H834" s="58"/>
      <c r="I834" s="58"/>
      <c r="J834" s="58"/>
      <c r="K834" s="58"/>
      <c r="L834" s="59" t="s">
        <v>888</v>
      </c>
    </row>
    <row r="835" spans="2:12" ht="36" x14ac:dyDescent="0.2">
      <c r="B835" s="55">
        <v>42209</v>
      </c>
      <c r="C835" s="56">
        <v>1.5</v>
      </c>
      <c r="D835" s="57" t="s">
        <v>63</v>
      </c>
      <c r="E835" s="57" t="str">
        <f>VLOOKUP(D835,tblProjekt[],2,FALSE)</f>
        <v>Klosterfrau Mass Market</v>
      </c>
      <c r="F835" s="58" t="s">
        <v>889</v>
      </c>
      <c r="G835" s="58"/>
      <c r="H835" s="58"/>
      <c r="I835" s="58"/>
      <c r="J835" s="58"/>
      <c r="K835" s="58"/>
      <c r="L835" s="59" t="s">
        <v>890</v>
      </c>
    </row>
    <row r="836" spans="2:12" ht="36" x14ac:dyDescent="0.2">
      <c r="B836" s="55">
        <v>42211</v>
      </c>
      <c r="C836" s="56">
        <v>2</v>
      </c>
      <c r="D836" s="57" t="s">
        <v>63</v>
      </c>
      <c r="E836" s="57" t="str">
        <f>VLOOKUP(D836,tblProjekt[],2,FALSE)</f>
        <v>Klosterfrau Mass Market</v>
      </c>
      <c r="F836" s="58" t="s">
        <v>889</v>
      </c>
      <c r="G836" s="58"/>
      <c r="H836" s="58"/>
      <c r="I836" s="58"/>
      <c r="J836" s="58"/>
      <c r="K836" s="58"/>
      <c r="L836" s="59" t="s">
        <v>890</v>
      </c>
    </row>
    <row r="837" spans="2:12" x14ac:dyDescent="0.2">
      <c r="B837" s="55">
        <v>42212</v>
      </c>
      <c r="C837" s="56">
        <v>0.5</v>
      </c>
      <c r="D837" s="57" t="s">
        <v>63</v>
      </c>
      <c r="E837" s="57" t="str">
        <f>VLOOKUP(D837,tblProjekt[],2,FALSE)</f>
        <v>Klosterfrau Mass Market</v>
      </c>
      <c r="F837" s="58" t="s">
        <v>889</v>
      </c>
      <c r="G837" s="58"/>
      <c r="H837" s="58"/>
      <c r="I837" s="58"/>
      <c r="J837" s="58"/>
      <c r="K837" s="58"/>
      <c r="L837" s="59" t="s">
        <v>891</v>
      </c>
    </row>
    <row r="838" spans="2:12" x14ac:dyDescent="0.2">
      <c r="B838" s="55">
        <v>42215</v>
      </c>
      <c r="C838" s="56">
        <v>0.5</v>
      </c>
      <c r="D838" s="57" t="s">
        <v>84</v>
      </c>
      <c r="E838" s="57" t="str">
        <f>VLOOKUP(D838,tblProjekt[],2,FALSE)</f>
        <v>Infrastruktur cognovo</v>
      </c>
      <c r="F838" s="58"/>
      <c r="G838" s="58"/>
      <c r="H838" s="58"/>
      <c r="I838" s="58"/>
      <c r="J838" s="58"/>
      <c r="K838" s="58"/>
      <c r="L838" s="59" t="s">
        <v>223</v>
      </c>
    </row>
    <row r="839" spans="2:12" x14ac:dyDescent="0.2">
      <c r="B839" s="55">
        <v>42215</v>
      </c>
      <c r="C839" s="56">
        <v>0.75</v>
      </c>
      <c r="D839" s="57" t="s">
        <v>14</v>
      </c>
      <c r="E839" s="57" t="str">
        <f>VLOOKUP(D839,tblProjekt[],2,FALSE)</f>
        <v>CHA Calculator</v>
      </c>
      <c r="F839" s="58" t="s">
        <v>893</v>
      </c>
      <c r="G839" s="58"/>
      <c r="H839" s="58"/>
      <c r="I839" s="58"/>
      <c r="J839" s="58"/>
      <c r="K839" s="58"/>
      <c r="L839" s="59" t="s">
        <v>892</v>
      </c>
    </row>
    <row r="840" spans="2:12" x14ac:dyDescent="0.2">
      <c r="B840" s="55">
        <v>42215</v>
      </c>
      <c r="C840" s="56">
        <v>0.75</v>
      </c>
      <c r="D840" s="57" t="s">
        <v>14</v>
      </c>
      <c r="E840" s="57" t="str">
        <f>VLOOKUP(D840,tblProjekt[],2,FALSE)</f>
        <v>CHA Calculator</v>
      </c>
      <c r="F840" s="58">
        <v>6</v>
      </c>
      <c r="G840" s="58"/>
      <c r="H840" s="58"/>
      <c r="I840" s="58"/>
      <c r="J840" s="58"/>
      <c r="K840" s="58"/>
      <c r="L840" s="59" t="s">
        <v>894</v>
      </c>
    </row>
    <row r="841" spans="2:12" ht="24" x14ac:dyDescent="0.2">
      <c r="B841" s="55">
        <v>42215</v>
      </c>
      <c r="C841" s="56">
        <v>0.75</v>
      </c>
      <c r="D841" s="57" t="s">
        <v>780</v>
      </c>
      <c r="E841" s="57" t="str">
        <f>VLOOKUP(D841,tblProjekt[],2,FALSE)</f>
        <v>Disease Analyzer</v>
      </c>
      <c r="F841" s="58">
        <v>169</v>
      </c>
      <c r="G841" s="58"/>
      <c r="H841" s="58"/>
      <c r="I841" s="58"/>
      <c r="J841" s="58"/>
      <c r="K841" s="58"/>
      <c r="L841" s="59" t="s">
        <v>895</v>
      </c>
    </row>
    <row r="842" spans="2:12" x14ac:dyDescent="0.2">
      <c r="B842" s="55">
        <v>42215</v>
      </c>
      <c r="C842" s="56">
        <v>0.25</v>
      </c>
      <c r="D842" s="57" t="s">
        <v>84</v>
      </c>
      <c r="E842" s="57" t="str">
        <f>VLOOKUP(D842,tblProjekt[],2,FALSE)</f>
        <v>Infrastruktur cognovo</v>
      </c>
      <c r="F842" s="58"/>
      <c r="G842" s="58"/>
      <c r="H842" s="58"/>
      <c r="I842" s="58"/>
      <c r="J842" s="58"/>
      <c r="K842" s="58"/>
      <c r="L842" s="59" t="s">
        <v>896</v>
      </c>
    </row>
    <row r="843" spans="2:12" ht="36" x14ac:dyDescent="0.2">
      <c r="B843" s="55">
        <v>42215</v>
      </c>
      <c r="C843" s="56">
        <v>1.5</v>
      </c>
      <c r="D843" s="57" t="s">
        <v>14</v>
      </c>
      <c r="E843" s="57" t="str">
        <f>VLOOKUP(D843,tblProjekt[],2,FALSE)</f>
        <v>CHA Calculator</v>
      </c>
      <c r="F843" s="58">
        <v>6</v>
      </c>
      <c r="G843" s="58"/>
      <c r="H843" s="58"/>
      <c r="I843" s="58"/>
      <c r="J843" s="58"/>
      <c r="K843" s="58"/>
      <c r="L843" s="59" t="s">
        <v>897</v>
      </c>
    </row>
    <row r="844" spans="2:12" ht="24" x14ac:dyDescent="0.2">
      <c r="B844" s="55">
        <v>42215</v>
      </c>
      <c r="C844" s="56">
        <v>0.25</v>
      </c>
      <c r="D844" s="57" t="s">
        <v>41</v>
      </c>
      <c r="E844" s="57" t="str">
        <f>VLOOKUP(D844,tblProjekt[],2,FALSE)</f>
        <v>L'Oreal Distributionsreport</v>
      </c>
      <c r="F844" s="58">
        <v>104</v>
      </c>
      <c r="G844" s="58"/>
      <c r="H844" s="58"/>
      <c r="I844" s="58"/>
      <c r="J844" s="58"/>
      <c r="K844" s="58"/>
      <c r="L844" s="59" t="s">
        <v>898</v>
      </c>
    </row>
    <row r="845" spans="2:12" ht="24" x14ac:dyDescent="0.2">
      <c r="B845" s="55">
        <v>42215</v>
      </c>
      <c r="C845" s="56">
        <v>0.75</v>
      </c>
      <c r="D845" s="57" t="s">
        <v>29</v>
      </c>
      <c r="E845" s="57" t="str">
        <f>VLOOKUP(D845,tblProjekt[],2,FALSE)</f>
        <v>CM Calculator</v>
      </c>
      <c r="F845" s="58">
        <v>177</v>
      </c>
      <c r="G845" s="58"/>
      <c r="H845" s="58"/>
      <c r="I845" s="58"/>
      <c r="J845" s="58"/>
      <c r="K845" s="58"/>
      <c r="L845" s="59" t="s">
        <v>899</v>
      </c>
    </row>
    <row r="846" spans="2:12" x14ac:dyDescent="0.2">
      <c r="B846" s="55">
        <v>42216</v>
      </c>
      <c r="C846" s="56">
        <v>0.25</v>
      </c>
      <c r="D846" s="57" t="s">
        <v>84</v>
      </c>
      <c r="E846" s="57" t="str">
        <f>VLOOKUP(D846,tblProjekt[],2,FALSE)</f>
        <v>Infrastruktur cognovo</v>
      </c>
      <c r="F846" s="58"/>
      <c r="G846" s="58"/>
      <c r="H846" s="58"/>
      <c r="I846" s="58"/>
      <c r="J846" s="58"/>
      <c r="K846" s="58"/>
      <c r="L846" s="59" t="s">
        <v>806</v>
      </c>
    </row>
    <row r="847" spans="2:12" x14ac:dyDescent="0.2">
      <c r="B847" s="55">
        <v>42216</v>
      </c>
      <c r="C847" s="56">
        <v>1.5</v>
      </c>
      <c r="D847" s="57" t="s">
        <v>14</v>
      </c>
      <c r="E847" s="57" t="str">
        <f>VLOOKUP(D847,tblProjekt[],2,FALSE)</f>
        <v>CHA Calculator</v>
      </c>
      <c r="F847" s="58">
        <v>6</v>
      </c>
      <c r="G847" s="58"/>
      <c r="H847" s="58"/>
      <c r="I847" s="58"/>
      <c r="J847" s="58"/>
      <c r="K847" s="58"/>
      <c r="L847" s="59" t="s">
        <v>900</v>
      </c>
    </row>
    <row r="848" spans="2:12" x14ac:dyDescent="0.2">
      <c r="B848" s="55">
        <v>42216</v>
      </c>
      <c r="C848" s="56">
        <v>1.25</v>
      </c>
      <c r="D848" s="57" t="s">
        <v>14</v>
      </c>
      <c r="E848" s="57" t="str">
        <f>VLOOKUP(D848,tblProjekt[],2,FALSE)</f>
        <v>CHA Calculator</v>
      </c>
      <c r="F848" s="58" t="s">
        <v>901</v>
      </c>
      <c r="G848" s="58"/>
      <c r="H848" s="58"/>
      <c r="I848" s="58"/>
      <c r="J848" s="58"/>
      <c r="K848" s="58"/>
      <c r="L848" s="59" t="s">
        <v>767</v>
      </c>
    </row>
    <row r="849" spans="2:12" ht="36" x14ac:dyDescent="0.2">
      <c r="B849" s="55">
        <v>42216</v>
      </c>
      <c r="C849" s="56">
        <v>1.25</v>
      </c>
      <c r="D849" s="57" t="s">
        <v>63</v>
      </c>
      <c r="E849" s="57" t="str">
        <f>VLOOKUP(D849,tblProjekt[],2,FALSE)</f>
        <v>Klosterfrau Mass Market</v>
      </c>
      <c r="F849" s="58">
        <v>104</v>
      </c>
      <c r="G849" s="58"/>
      <c r="H849" s="58"/>
      <c r="I849" s="58"/>
      <c r="J849" s="58"/>
      <c r="K849" s="58"/>
      <c r="L849" s="59" t="s">
        <v>902</v>
      </c>
    </row>
    <row r="850" spans="2:12" x14ac:dyDescent="0.2">
      <c r="B850" s="55">
        <v>42216</v>
      </c>
      <c r="C850" s="56">
        <v>0.25</v>
      </c>
      <c r="D850" s="57" t="s">
        <v>14</v>
      </c>
      <c r="E850" s="57" t="str">
        <f>VLOOKUP(D850,tblProjekt[],2,FALSE)</f>
        <v>CHA Calculator</v>
      </c>
      <c r="F850" s="58">
        <v>8</v>
      </c>
      <c r="G850" s="58"/>
      <c r="H850" s="58"/>
      <c r="I850" s="58"/>
      <c r="J850" s="58"/>
      <c r="K850" s="58"/>
      <c r="L850" s="59" t="s">
        <v>802</v>
      </c>
    </row>
    <row r="851" spans="2:12" x14ac:dyDescent="0.2">
      <c r="B851" s="55">
        <v>42216</v>
      </c>
      <c r="C851" s="56">
        <v>1</v>
      </c>
      <c r="D851" s="57" t="s">
        <v>14</v>
      </c>
      <c r="E851" s="57" t="str">
        <f>VLOOKUP(D851,tblProjekt[],2,FALSE)</f>
        <v>CHA Calculator</v>
      </c>
      <c r="F851" s="58" t="s">
        <v>903</v>
      </c>
      <c r="G851" s="58"/>
      <c r="H851" s="58"/>
      <c r="I851" s="58"/>
      <c r="J851" s="58"/>
      <c r="K851" s="58"/>
      <c r="L851" s="59" t="s">
        <v>904</v>
      </c>
    </row>
    <row r="852" spans="2:12" x14ac:dyDescent="0.2">
      <c r="B852" s="55">
        <v>42216</v>
      </c>
      <c r="C852" s="56">
        <v>0.5</v>
      </c>
      <c r="D852" s="57" t="s">
        <v>14</v>
      </c>
      <c r="E852" s="57" t="str">
        <f>VLOOKUP(D852,tblProjekt[],2,FALSE)</f>
        <v>CHA Calculator</v>
      </c>
      <c r="F852" s="58" t="s">
        <v>905</v>
      </c>
      <c r="G852" s="58"/>
      <c r="H852" s="58"/>
      <c r="I852" s="58"/>
      <c r="J852" s="58"/>
      <c r="K852" s="58"/>
      <c r="L852" s="59" t="s">
        <v>357</v>
      </c>
    </row>
    <row r="853" spans="2:12" ht="24" x14ac:dyDescent="0.2">
      <c r="B853" s="55">
        <v>42216</v>
      </c>
      <c r="C853" s="56">
        <v>1</v>
      </c>
      <c r="D853" s="57" t="s">
        <v>427</v>
      </c>
      <c r="E853" s="57" t="str">
        <f>VLOOKUP(D853,tblProjekt[],2,FALSE)</f>
        <v>Calculator übergreifend</v>
      </c>
      <c r="F853" s="58"/>
      <c r="G853" s="58"/>
      <c r="H853" s="58"/>
      <c r="I853" s="58"/>
      <c r="J853" s="58"/>
      <c r="K853" s="58"/>
      <c r="L853" s="59" t="s">
        <v>906</v>
      </c>
    </row>
    <row r="854" spans="2:12" ht="24" x14ac:dyDescent="0.2">
      <c r="B854" s="55">
        <v>42217</v>
      </c>
      <c r="C854" s="56">
        <v>0.25</v>
      </c>
      <c r="D854" s="57" t="s">
        <v>14</v>
      </c>
      <c r="E854" s="57" t="str">
        <f>VLOOKUP(D854,tblProjekt[],2,FALSE)</f>
        <v>CHA Calculator</v>
      </c>
      <c r="F854" s="58"/>
      <c r="G854" s="58"/>
      <c r="H854" s="58"/>
      <c r="I854" s="58"/>
      <c r="J854" s="58"/>
      <c r="K854" s="58"/>
      <c r="L854" s="59" t="s">
        <v>907</v>
      </c>
    </row>
    <row r="855" spans="2:12" ht="24" x14ac:dyDescent="0.2">
      <c r="B855" s="55">
        <v>42217</v>
      </c>
      <c r="C855" s="56">
        <v>0.75</v>
      </c>
      <c r="D855" s="57" t="s">
        <v>14</v>
      </c>
      <c r="E855" s="57" t="str">
        <f>VLOOKUP(D855,tblProjekt[],2,FALSE)</f>
        <v>CHA Calculator</v>
      </c>
      <c r="F855" s="58">
        <v>12</v>
      </c>
      <c r="G855" s="58"/>
      <c r="H855" s="58"/>
      <c r="I855" s="58"/>
      <c r="J855" s="58"/>
      <c r="K855" s="58"/>
      <c r="L855" s="59" t="s">
        <v>908</v>
      </c>
    </row>
    <row r="856" spans="2:12" x14ac:dyDescent="0.2">
      <c r="B856" s="55">
        <v>42219</v>
      </c>
      <c r="C856" s="56">
        <v>0.5</v>
      </c>
      <c r="D856" s="57" t="s">
        <v>84</v>
      </c>
      <c r="E856" s="57" t="str">
        <f>VLOOKUP(D856,tblProjekt[],2,FALSE)</f>
        <v>Infrastruktur cognovo</v>
      </c>
      <c r="F856" s="58"/>
      <c r="G856" s="58"/>
      <c r="H856" s="58"/>
      <c r="I856" s="58"/>
      <c r="J856" s="58"/>
      <c r="K856" s="58"/>
      <c r="L856" s="59" t="s">
        <v>223</v>
      </c>
    </row>
    <row r="857" spans="2:12" ht="24" x14ac:dyDescent="0.2">
      <c r="B857" s="55">
        <v>42219</v>
      </c>
      <c r="C857" s="56">
        <v>1.75</v>
      </c>
      <c r="D857" s="57" t="s">
        <v>14</v>
      </c>
      <c r="E857" s="57" t="str">
        <f>VLOOKUP(D857,tblProjekt[],2,FALSE)</f>
        <v>CHA Calculator</v>
      </c>
      <c r="F857" s="58">
        <v>12</v>
      </c>
      <c r="G857" s="58"/>
      <c r="H857" s="58"/>
      <c r="I857" s="58"/>
      <c r="J857" s="58"/>
      <c r="K857" s="58"/>
      <c r="L857" s="59" t="s">
        <v>909</v>
      </c>
    </row>
    <row r="858" spans="2:12" x14ac:dyDescent="0.2">
      <c r="B858" s="55">
        <v>42219</v>
      </c>
      <c r="C858" s="56">
        <v>0.25</v>
      </c>
      <c r="D858" s="57" t="s">
        <v>84</v>
      </c>
      <c r="E858" s="57" t="str">
        <f>VLOOKUP(D858,tblProjekt[],2,FALSE)</f>
        <v>Infrastruktur cognovo</v>
      </c>
      <c r="F858" s="58"/>
      <c r="G858" s="58"/>
      <c r="H858" s="58"/>
      <c r="I858" s="58"/>
      <c r="J858" s="58"/>
      <c r="K858" s="58"/>
      <c r="L858" s="59" t="s">
        <v>910</v>
      </c>
    </row>
    <row r="859" spans="2:12" x14ac:dyDescent="0.2">
      <c r="B859" s="55">
        <v>42219</v>
      </c>
      <c r="C859" s="56">
        <v>0.25</v>
      </c>
      <c r="D859" s="57" t="s">
        <v>427</v>
      </c>
      <c r="E859" s="57" t="str">
        <f>VLOOKUP(D859,tblProjekt[],2,FALSE)</f>
        <v>Calculator übergreifend</v>
      </c>
      <c r="F859" s="58"/>
      <c r="G859" s="58"/>
      <c r="H859" s="58"/>
      <c r="I859" s="58"/>
      <c r="J859" s="58"/>
      <c r="K859" s="58"/>
      <c r="L859" s="59" t="s">
        <v>911</v>
      </c>
    </row>
    <row r="860" spans="2:12" x14ac:dyDescent="0.2">
      <c r="B860" s="55">
        <v>42219</v>
      </c>
      <c r="C860" s="56">
        <v>1</v>
      </c>
      <c r="D860" s="57" t="s">
        <v>427</v>
      </c>
      <c r="E860" s="57" t="str">
        <f>VLOOKUP(D860,tblProjekt[],2,FALSE)</f>
        <v>Calculator übergreifend</v>
      </c>
      <c r="F860" s="58">
        <v>162</v>
      </c>
      <c r="G860" s="58"/>
      <c r="H860" s="58"/>
      <c r="I860" s="58"/>
      <c r="J860" s="58"/>
      <c r="K860" s="58"/>
      <c r="L860" s="59" t="s">
        <v>912</v>
      </c>
    </row>
    <row r="861" spans="2:12" ht="24" x14ac:dyDescent="0.2">
      <c r="B861" s="55">
        <v>42219</v>
      </c>
      <c r="C861" s="56">
        <v>2.25</v>
      </c>
      <c r="D861" s="57" t="s">
        <v>427</v>
      </c>
      <c r="E861" s="57" t="str">
        <f>VLOOKUP(D861,tblProjekt[],2,FALSE)</f>
        <v>Calculator übergreifend</v>
      </c>
      <c r="F861" s="58">
        <v>110</v>
      </c>
      <c r="G861" s="58"/>
      <c r="H861" s="58"/>
      <c r="I861" s="58"/>
      <c r="J861" s="58"/>
      <c r="K861" s="58"/>
      <c r="L861" s="59" t="s">
        <v>913</v>
      </c>
    </row>
    <row r="862" spans="2:12" ht="24" x14ac:dyDescent="0.2">
      <c r="B862" s="55">
        <v>42219</v>
      </c>
      <c r="C862" s="56">
        <v>1</v>
      </c>
      <c r="D862" s="57" t="s">
        <v>14</v>
      </c>
      <c r="E862" s="57" t="str">
        <f>VLOOKUP(D862,tblProjekt[],2,FALSE)</f>
        <v>CHA Calculator</v>
      </c>
      <c r="F862" s="58" t="s">
        <v>914</v>
      </c>
      <c r="G862" s="58"/>
      <c r="H862" s="58"/>
      <c r="I862" s="58"/>
      <c r="J862" s="58"/>
      <c r="K862" s="58"/>
      <c r="L862" s="59" t="s">
        <v>915</v>
      </c>
    </row>
    <row r="863" spans="2:12" x14ac:dyDescent="0.2">
      <c r="B863" s="55">
        <v>42220</v>
      </c>
      <c r="C863" s="56">
        <v>2.25</v>
      </c>
      <c r="D863" s="57" t="s">
        <v>14</v>
      </c>
      <c r="E863" s="57" t="str">
        <f>VLOOKUP(D863,tblProjekt[],2,FALSE)</f>
        <v>CHA Calculator</v>
      </c>
      <c r="F863" s="58">
        <v>12</v>
      </c>
      <c r="G863" s="58"/>
      <c r="H863" s="58"/>
      <c r="I863" s="58"/>
      <c r="J863" s="58"/>
      <c r="K863" s="58"/>
      <c r="L863" s="59" t="s">
        <v>916</v>
      </c>
    </row>
    <row r="864" spans="2:12" x14ac:dyDescent="0.2">
      <c r="B864" s="55">
        <v>42220</v>
      </c>
      <c r="C864" s="56">
        <v>0.5</v>
      </c>
      <c r="D864" s="57" t="s">
        <v>14</v>
      </c>
      <c r="E864" s="57" t="str">
        <f>VLOOKUP(D864,tblProjekt[],2,FALSE)</f>
        <v>CHA Calculator</v>
      </c>
      <c r="F864" s="58">
        <v>6</v>
      </c>
      <c r="G864" s="58"/>
      <c r="H864" s="58"/>
      <c r="I864" s="58"/>
      <c r="J864" s="58"/>
      <c r="K864" s="58"/>
      <c r="L864" s="59" t="s">
        <v>917</v>
      </c>
    </row>
    <row r="865" spans="2:12" x14ac:dyDescent="0.2">
      <c r="B865" s="55">
        <v>42220</v>
      </c>
      <c r="C865" s="56">
        <v>0.5</v>
      </c>
      <c r="D865" s="57" t="s">
        <v>690</v>
      </c>
      <c r="E865" s="57" t="str">
        <f>VLOOKUP(D865,tblProjekt[],2,FALSE)</f>
        <v>PHS Issor Calculator</v>
      </c>
      <c r="F865" s="58" t="s">
        <v>918</v>
      </c>
      <c r="G865" s="58"/>
      <c r="H865" s="58"/>
      <c r="I865" s="58"/>
      <c r="J865" s="58"/>
      <c r="K865" s="58"/>
      <c r="L865" s="59" t="s">
        <v>919</v>
      </c>
    </row>
    <row r="866" spans="2:12" ht="24" x14ac:dyDescent="0.2">
      <c r="B866" s="55">
        <v>42220</v>
      </c>
      <c r="C866" s="56">
        <v>0.5</v>
      </c>
      <c r="D866" s="57" t="s">
        <v>780</v>
      </c>
      <c r="E866" s="57" t="str">
        <f>VLOOKUP(D866,tblProjekt[],2,FALSE)</f>
        <v>Disease Analyzer</v>
      </c>
      <c r="F866" s="58">
        <v>169</v>
      </c>
      <c r="G866" s="58"/>
      <c r="H866" s="58"/>
      <c r="I866" s="58"/>
      <c r="J866" s="58"/>
      <c r="K866" s="58"/>
      <c r="L866" s="59" t="s">
        <v>920</v>
      </c>
    </row>
    <row r="867" spans="2:12" ht="36" x14ac:dyDescent="0.2">
      <c r="B867" s="55">
        <v>42220</v>
      </c>
      <c r="C867" s="56">
        <v>0.75</v>
      </c>
      <c r="D867" s="57" t="s">
        <v>14</v>
      </c>
      <c r="E867" s="57" t="str">
        <f>VLOOKUP(D867,tblProjekt[],2,FALSE)</f>
        <v>CHA Calculator</v>
      </c>
      <c r="F867" s="58">
        <v>6</v>
      </c>
      <c r="G867" s="58"/>
      <c r="H867" s="58"/>
      <c r="I867" s="58"/>
      <c r="J867" s="58"/>
      <c r="K867" s="58"/>
      <c r="L867" s="59" t="s">
        <v>921</v>
      </c>
    </row>
    <row r="868" spans="2:12" ht="24" x14ac:dyDescent="0.2">
      <c r="B868" s="55">
        <v>42220</v>
      </c>
      <c r="C868" s="56">
        <v>2.25</v>
      </c>
      <c r="D868" s="57" t="s">
        <v>17</v>
      </c>
      <c r="E868" s="57" t="str">
        <f>VLOOKUP(D868,tblProjekt[],2,FALSE)</f>
        <v>Powerspreadsheet Win7</v>
      </c>
      <c r="F868" s="58" t="s">
        <v>922</v>
      </c>
      <c r="G868" s="58"/>
      <c r="H868" s="58"/>
      <c r="I868" s="58"/>
      <c r="J868" s="58"/>
      <c r="K868" s="58"/>
      <c r="L868" s="59" t="s">
        <v>923</v>
      </c>
    </row>
    <row r="869" spans="2:12" ht="24" x14ac:dyDescent="0.2">
      <c r="B869" s="55">
        <v>42220</v>
      </c>
      <c r="C869" s="56">
        <v>0.25</v>
      </c>
      <c r="D869" s="57" t="s">
        <v>780</v>
      </c>
      <c r="E869" s="57" t="str">
        <f>VLOOKUP(D869,tblProjekt[],2,FALSE)</f>
        <v>Disease Analyzer</v>
      </c>
      <c r="F869" s="58">
        <v>168</v>
      </c>
      <c r="G869" s="58"/>
      <c r="H869" s="58"/>
      <c r="I869" s="58"/>
      <c r="J869" s="58"/>
      <c r="K869" s="58"/>
      <c r="L869" s="59" t="s">
        <v>924</v>
      </c>
    </row>
    <row r="870" spans="2:12" ht="24" x14ac:dyDescent="0.2">
      <c r="B870" s="55">
        <v>42221</v>
      </c>
      <c r="C870" s="56">
        <v>3.5</v>
      </c>
      <c r="D870" s="57" t="s">
        <v>427</v>
      </c>
      <c r="E870" s="57" t="str">
        <f>VLOOKUP(D870,tblProjekt[],2,FALSE)</f>
        <v>Calculator übergreifend</v>
      </c>
      <c r="F870" s="58">
        <v>161</v>
      </c>
      <c r="G870" s="58"/>
      <c r="H870" s="58"/>
      <c r="I870" s="58"/>
      <c r="J870" s="58"/>
      <c r="K870" s="58"/>
      <c r="L870" s="59" t="s">
        <v>925</v>
      </c>
    </row>
    <row r="871" spans="2:12" ht="24" x14ac:dyDescent="0.2">
      <c r="B871" s="55">
        <v>42221</v>
      </c>
      <c r="C871" s="56">
        <v>1</v>
      </c>
      <c r="D871" s="57" t="s">
        <v>427</v>
      </c>
      <c r="E871" s="57" t="str">
        <f>VLOOKUP(D871,tblProjekt[],2,FALSE)</f>
        <v>Calculator übergreifend</v>
      </c>
      <c r="F871" s="58">
        <v>161</v>
      </c>
      <c r="G871" s="58"/>
      <c r="H871" s="58"/>
      <c r="I871" s="58"/>
      <c r="J871" s="58"/>
      <c r="K871" s="58"/>
      <c r="L871" s="59" t="s">
        <v>926</v>
      </c>
    </row>
    <row r="872" spans="2:12" x14ac:dyDescent="0.2">
      <c r="B872" s="55">
        <v>42221</v>
      </c>
      <c r="C872" s="56">
        <v>1.5</v>
      </c>
      <c r="D872" s="57" t="s">
        <v>84</v>
      </c>
      <c r="E872" s="57" t="str">
        <f>VLOOKUP(D872,tblProjekt[],2,FALSE)</f>
        <v>Infrastruktur cognovo</v>
      </c>
      <c r="F872" s="58"/>
      <c r="G872" s="58"/>
      <c r="H872" s="58"/>
      <c r="I872" s="58"/>
      <c r="J872" s="58"/>
      <c r="K872" s="58"/>
      <c r="L872" s="59" t="s">
        <v>927</v>
      </c>
    </row>
    <row r="873" spans="2:12" x14ac:dyDescent="0.2">
      <c r="B873" s="55">
        <v>42221</v>
      </c>
      <c r="C873" s="56">
        <v>0.5</v>
      </c>
      <c r="D873" s="57" t="s">
        <v>17</v>
      </c>
      <c r="E873" s="57" t="str">
        <f>VLOOKUP(D873,tblProjekt[],2,FALSE)</f>
        <v>Powerspreadsheet Win7</v>
      </c>
      <c r="F873" s="58"/>
      <c r="G873" s="58"/>
      <c r="H873" s="58"/>
      <c r="I873" s="58"/>
      <c r="J873" s="58"/>
      <c r="K873" s="58"/>
      <c r="L873" s="59" t="s">
        <v>928</v>
      </c>
    </row>
    <row r="874" spans="2:12" x14ac:dyDescent="0.2">
      <c r="B874" s="55">
        <v>42221</v>
      </c>
      <c r="C874" s="56">
        <v>0.25</v>
      </c>
      <c r="D874" s="57" t="s">
        <v>17</v>
      </c>
      <c r="E874" s="57" t="str">
        <f>VLOOKUP(D874,tblProjekt[],2,FALSE)</f>
        <v>Powerspreadsheet Win7</v>
      </c>
      <c r="F874" s="58"/>
      <c r="G874" s="58"/>
      <c r="H874" s="58"/>
      <c r="I874" s="58"/>
      <c r="J874" s="58"/>
      <c r="K874" s="58"/>
      <c r="L874" s="59" t="s">
        <v>929</v>
      </c>
    </row>
    <row r="875" spans="2:12" x14ac:dyDescent="0.2">
      <c r="B875" s="55">
        <v>42221</v>
      </c>
      <c r="C875" s="56">
        <v>0.75</v>
      </c>
      <c r="D875" s="57" t="s">
        <v>427</v>
      </c>
      <c r="E875" s="57" t="str">
        <f>VLOOKUP(D875,tblProjekt[],2,FALSE)</f>
        <v>Calculator übergreifend</v>
      </c>
      <c r="F875" s="58"/>
      <c r="G875" s="58"/>
      <c r="H875" s="58"/>
      <c r="I875" s="58"/>
      <c r="J875" s="58"/>
      <c r="K875" s="58"/>
      <c r="L875" s="59" t="s">
        <v>929</v>
      </c>
    </row>
    <row r="876" spans="2:12" x14ac:dyDescent="0.2">
      <c r="B876" s="55">
        <v>42222</v>
      </c>
      <c r="C876" s="56">
        <v>0.5</v>
      </c>
      <c r="D876" s="57" t="s">
        <v>14</v>
      </c>
      <c r="E876" s="57" t="str">
        <f>VLOOKUP(D876,tblProjekt[],2,FALSE)</f>
        <v>CHA Calculator</v>
      </c>
      <c r="F876" s="58"/>
      <c r="G876" s="58"/>
      <c r="H876" s="58"/>
      <c r="I876" s="58"/>
      <c r="J876" s="58"/>
      <c r="K876" s="58"/>
      <c r="L876" s="59" t="s">
        <v>929</v>
      </c>
    </row>
    <row r="877" spans="2:12" x14ac:dyDescent="0.2">
      <c r="B877" s="55">
        <v>42222</v>
      </c>
      <c r="C877" s="56">
        <v>0.5</v>
      </c>
      <c r="D877" s="57" t="s">
        <v>6</v>
      </c>
      <c r="E877" s="57" t="str">
        <f>VLOOKUP(D877,tblProjekt[],2,FALSE)</f>
        <v>Produktionsportal 2</v>
      </c>
      <c r="F877" s="58"/>
      <c r="G877" s="58"/>
      <c r="H877" s="58"/>
      <c r="I877" s="58"/>
      <c r="J877" s="58"/>
      <c r="K877" s="58"/>
      <c r="L877" s="59" t="s">
        <v>929</v>
      </c>
    </row>
    <row r="878" spans="2:12" x14ac:dyDescent="0.2">
      <c r="B878" s="55">
        <v>42222</v>
      </c>
      <c r="C878" s="56">
        <v>0.25</v>
      </c>
      <c r="D878" s="57" t="s">
        <v>84</v>
      </c>
      <c r="E878" s="57" t="str">
        <f>VLOOKUP(D878,tblProjekt[],2,FALSE)</f>
        <v>Infrastruktur cognovo</v>
      </c>
      <c r="F878" s="58"/>
      <c r="G878" s="58"/>
      <c r="H878" s="58"/>
      <c r="I878" s="58"/>
      <c r="J878" s="58"/>
      <c r="K878" s="58"/>
      <c r="L878" s="59" t="s">
        <v>929</v>
      </c>
    </row>
    <row r="879" spans="2:12" x14ac:dyDescent="0.2">
      <c r="B879" s="55">
        <v>42222</v>
      </c>
      <c r="C879" s="56">
        <v>0.25</v>
      </c>
      <c r="D879" s="57" t="s">
        <v>14</v>
      </c>
      <c r="E879" s="57" t="str">
        <f>VLOOKUP(D879,tblProjekt[],2,FALSE)</f>
        <v>CHA Calculator</v>
      </c>
      <c r="F879" s="58">
        <v>6</v>
      </c>
      <c r="G879" s="58"/>
      <c r="H879" s="58"/>
      <c r="I879" s="58"/>
      <c r="J879" s="58"/>
      <c r="K879" s="58"/>
      <c r="L879" s="59" t="s">
        <v>930</v>
      </c>
    </row>
    <row r="880" spans="2:12" ht="24" x14ac:dyDescent="0.2">
      <c r="B880" s="55">
        <v>42222</v>
      </c>
      <c r="C880" s="56">
        <v>3</v>
      </c>
      <c r="D880" s="57" t="s">
        <v>6</v>
      </c>
      <c r="E880" s="57" t="str">
        <f>VLOOKUP(D880,tblProjekt[],2,FALSE)</f>
        <v>Produktionsportal 2</v>
      </c>
      <c r="F880" s="58">
        <v>43</v>
      </c>
      <c r="G880" s="58"/>
      <c r="H880" s="58"/>
      <c r="I880" s="58"/>
      <c r="J880" s="58"/>
      <c r="K880" s="58"/>
      <c r="L880" s="59" t="s">
        <v>931</v>
      </c>
    </row>
    <row r="881" spans="2:12" x14ac:dyDescent="0.2">
      <c r="B881" s="55">
        <v>42222</v>
      </c>
      <c r="C881" s="56">
        <v>0.5</v>
      </c>
      <c r="D881" s="57" t="s">
        <v>6</v>
      </c>
      <c r="E881" s="57" t="str">
        <f>VLOOKUP(D881,tblProjekt[],2,FALSE)</f>
        <v>Produktionsportal 2</v>
      </c>
      <c r="F881" s="58">
        <v>30</v>
      </c>
      <c r="G881" s="58"/>
      <c r="H881" s="58"/>
      <c r="I881" s="58"/>
      <c r="J881" s="58"/>
      <c r="K881" s="58"/>
      <c r="L881" s="59" t="s">
        <v>932</v>
      </c>
    </row>
    <row r="882" spans="2:12" x14ac:dyDescent="0.2">
      <c r="B882" s="55">
        <v>42263</v>
      </c>
      <c r="C882" s="56">
        <v>1.25</v>
      </c>
      <c r="D882" s="57" t="s">
        <v>84</v>
      </c>
      <c r="E882" s="57" t="str">
        <f>VLOOKUP(D882,tblProjekt[],2,FALSE)</f>
        <v>Infrastruktur cognovo</v>
      </c>
      <c r="F882" s="58"/>
      <c r="G882" s="58"/>
      <c r="H882" s="58"/>
      <c r="I882" s="58"/>
      <c r="J882" s="58"/>
      <c r="K882" s="58"/>
      <c r="L882" s="59" t="s">
        <v>933</v>
      </c>
    </row>
    <row r="883" spans="2:12" ht="24" x14ac:dyDescent="0.2">
      <c r="B883" s="55">
        <v>42263</v>
      </c>
      <c r="C883" s="56">
        <v>0.25</v>
      </c>
      <c r="D883" s="57" t="s">
        <v>427</v>
      </c>
      <c r="E883" s="57" t="str">
        <f>VLOOKUP(D883,tblProjekt[],2,FALSE)</f>
        <v>Calculator übergreifend</v>
      </c>
      <c r="F883" s="58"/>
      <c r="G883" s="58"/>
      <c r="H883" s="58"/>
      <c r="I883" s="58"/>
      <c r="J883" s="58"/>
      <c r="K883" s="58"/>
      <c r="L883" s="59" t="s">
        <v>934</v>
      </c>
    </row>
    <row r="884" spans="2:12" ht="24" x14ac:dyDescent="0.2">
      <c r="B884" s="55">
        <v>42263</v>
      </c>
      <c r="C884" s="56">
        <v>1</v>
      </c>
      <c r="D884" s="57" t="s">
        <v>14</v>
      </c>
      <c r="E884" s="57" t="str">
        <f>VLOOKUP(D884,tblProjekt[],2,FALSE)</f>
        <v>CHA Calculator</v>
      </c>
      <c r="F884" s="58"/>
      <c r="G884" s="58"/>
      <c r="H884" s="58"/>
      <c r="I884" s="58"/>
      <c r="J884" s="58"/>
      <c r="K884" s="58"/>
      <c r="L884" s="59" t="s">
        <v>935</v>
      </c>
    </row>
    <row r="885" spans="2:12" x14ac:dyDescent="0.2">
      <c r="B885" s="55">
        <v>42263</v>
      </c>
      <c r="C885" s="56">
        <v>0.75</v>
      </c>
      <c r="D885" s="57" t="s">
        <v>6</v>
      </c>
      <c r="E885" s="57" t="str">
        <f>VLOOKUP(D885,tblProjekt[],2,FALSE)</f>
        <v>Produktionsportal 2</v>
      </c>
      <c r="F885" s="58"/>
      <c r="G885" s="58"/>
      <c r="H885" s="58"/>
      <c r="I885" s="58"/>
      <c r="J885" s="58"/>
      <c r="K885" s="58"/>
      <c r="L885" s="59" t="s">
        <v>936</v>
      </c>
    </row>
    <row r="886" spans="2:12" x14ac:dyDescent="0.2">
      <c r="B886" s="55">
        <v>42263</v>
      </c>
      <c r="C886" s="56">
        <v>0.25</v>
      </c>
      <c r="D886" s="57" t="s">
        <v>84</v>
      </c>
      <c r="E886" s="57" t="str">
        <f>VLOOKUP(D886,tblProjekt[],2,FALSE)</f>
        <v>Infrastruktur cognovo</v>
      </c>
      <c r="F886" s="58"/>
      <c r="G886" s="58"/>
      <c r="H886" s="58"/>
      <c r="I886" s="58"/>
      <c r="J886" s="58"/>
      <c r="K886" s="58"/>
      <c r="L886" s="59" t="s">
        <v>937</v>
      </c>
    </row>
    <row r="887" spans="2:12" ht="36" x14ac:dyDescent="0.2">
      <c r="B887" s="55">
        <v>42263</v>
      </c>
      <c r="C887" s="56">
        <v>1</v>
      </c>
      <c r="D887" s="57" t="s">
        <v>969</v>
      </c>
      <c r="E887" s="57" t="str">
        <f>VLOOKUP(D887,tblProjekt[],2,FALSE)</f>
        <v>Calculator Österreich, allgemein</v>
      </c>
      <c r="F887" s="58"/>
      <c r="G887" s="58"/>
      <c r="H887" s="58"/>
      <c r="I887" s="58"/>
      <c r="J887" s="58"/>
      <c r="K887" s="58"/>
      <c r="L887" s="59" t="s">
        <v>938</v>
      </c>
    </row>
    <row r="888" spans="2:12" ht="24" x14ac:dyDescent="0.2">
      <c r="B888" s="55">
        <v>42263</v>
      </c>
      <c r="C888" s="56">
        <v>2.75</v>
      </c>
      <c r="D888" s="57" t="s">
        <v>6</v>
      </c>
      <c r="E888" s="57" t="str">
        <f>VLOOKUP(D888,tblProjekt[],2,FALSE)</f>
        <v>Produktionsportal 2</v>
      </c>
      <c r="F888" s="58"/>
      <c r="G888" s="58"/>
      <c r="H888" s="58"/>
      <c r="I888" s="58"/>
      <c r="J888" s="58"/>
      <c r="K888" s="58"/>
      <c r="L888" s="59" t="s">
        <v>939</v>
      </c>
    </row>
    <row r="889" spans="2:12" ht="24" x14ac:dyDescent="0.2">
      <c r="B889" s="55">
        <v>42263</v>
      </c>
      <c r="C889" s="56">
        <v>0.25</v>
      </c>
      <c r="D889" s="57" t="s">
        <v>14</v>
      </c>
      <c r="E889" s="57" t="str">
        <f>VLOOKUP(D889,tblProjekt[],2,FALSE)</f>
        <v>CHA Calculator</v>
      </c>
      <c r="F889" s="58">
        <v>39</v>
      </c>
      <c r="G889" s="58"/>
      <c r="H889" s="58"/>
      <c r="I889" s="58"/>
      <c r="J889" s="58"/>
      <c r="K889" s="58"/>
      <c r="L889" s="59" t="s">
        <v>940</v>
      </c>
    </row>
    <row r="890" spans="2:12" x14ac:dyDescent="0.2">
      <c r="B890" s="55">
        <v>42263</v>
      </c>
      <c r="C890" s="56">
        <v>0.75</v>
      </c>
      <c r="D890" s="57" t="s">
        <v>84</v>
      </c>
      <c r="E890" s="57" t="str">
        <f>VLOOKUP(D890,tblProjekt[],2,FALSE)</f>
        <v>Infrastruktur cognovo</v>
      </c>
      <c r="F890" s="58"/>
      <c r="G890" s="58"/>
      <c r="H890" s="58"/>
      <c r="I890" s="58"/>
      <c r="J890" s="58"/>
      <c r="K890" s="58"/>
      <c r="L890" s="59" t="s">
        <v>941</v>
      </c>
    </row>
    <row r="891" spans="2:12" ht="36" x14ac:dyDescent="0.2">
      <c r="B891" s="55">
        <v>42265</v>
      </c>
      <c r="C891" s="56">
        <v>0.75</v>
      </c>
      <c r="D891" s="57" t="s">
        <v>6</v>
      </c>
      <c r="E891" s="57" t="str">
        <f>VLOOKUP(D891,tblProjekt[],2,FALSE)</f>
        <v>Produktionsportal 2</v>
      </c>
      <c r="F891" s="58">
        <v>55</v>
      </c>
      <c r="G891" s="58"/>
      <c r="H891" s="58"/>
      <c r="I891" s="58"/>
      <c r="J891" s="58"/>
      <c r="K891" s="58"/>
      <c r="L891" s="59" t="s">
        <v>942</v>
      </c>
    </row>
    <row r="892" spans="2:12" ht="24" x14ac:dyDescent="0.2">
      <c r="B892" s="55">
        <v>42265</v>
      </c>
      <c r="C892" s="56">
        <v>1.5</v>
      </c>
      <c r="D892" s="57" t="s">
        <v>41</v>
      </c>
      <c r="E892" s="57" t="str">
        <f>VLOOKUP(D892,tblProjekt[],2,FALSE)</f>
        <v>L'Oreal Distributionsreport</v>
      </c>
      <c r="F892" s="58">
        <v>104</v>
      </c>
      <c r="G892" s="58"/>
      <c r="H892" s="58"/>
      <c r="I892" s="58"/>
      <c r="J892" s="58"/>
      <c r="K892" s="58"/>
      <c r="L892" s="59" t="s">
        <v>943</v>
      </c>
    </row>
    <row r="893" spans="2:12" ht="24" x14ac:dyDescent="0.2">
      <c r="B893" s="55">
        <v>42265</v>
      </c>
      <c r="C893" s="56">
        <v>1.25</v>
      </c>
      <c r="D893" s="57" t="s">
        <v>84</v>
      </c>
      <c r="E893" s="57" t="str">
        <f>VLOOKUP(D893,tblProjekt[],2,FALSE)</f>
        <v>Infrastruktur cognovo</v>
      </c>
      <c r="F893" s="58"/>
      <c r="G893" s="58"/>
      <c r="H893" s="58"/>
      <c r="I893" s="58"/>
      <c r="J893" s="58"/>
      <c r="K893" s="58"/>
      <c r="L893" s="59" t="s">
        <v>944</v>
      </c>
    </row>
    <row r="894" spans="2:12" x14ac:dyDescent="0.2">
      <c r="B894" s="55">
        <v>42265</v>
      </c>
      <c r="C894" s="56">
        <v>0.5</v>
      </c>
      <c r="D894" s="57" t="s">
        <v>84</v>
      </c>
      <c r="E894" s="57" t="str">
        <f>VLOOKUP(D894,tblProjekt[],2,FALSE)</f>
        <v>Infrastruktur cognovo</v>
      </c>
      <c r="F894" s="58"/>
      <c r="G894" s="58"/>
      <c r="H894" s="58"/>
      <c r="I894" s="58"/>
      <c r="J894" s="58"/>
      <c r="K894" s="58"/>
      <c r="L894" s="59" t="s">
        <v>945</v>
      </c>
    </row>
    <row r="895" spans="2:12" x14ac:dyDescent="0.2">
      <c r="B895" s="55">
        <v>42265</v>
      </c>
      <c r="C895" s="56">
        <v>4.5</v>
      </c>
      <c r="D895" s="57" t="s">
        <v>1002</v>
      </c>
      <c r="E895" s="57" t="str">
        <f>VLOOKUP(D895,tblProjekt[],2,FALSE)</f>
        <v>Produktionsportal 3</v>
      </c>
      <c r="F895" s="58">
        <v>55</v>
      </c>
      <c r="G895" s="58"/>
      <c r="H895" s="58"/>
      <c r="I895" s="58"/>
      <c r="J895" s="58"/>
      <c r="K895" s="58"/>
      <c r="L895" s="59" t="s">
        <v>946</v>
      </c>
    </row>
    <row r="896" spans="2:12" x14ac:dyDescent="0.2">
      <c r="B896" s="55">
        <v>42265</v>
      </c>
      <c r="C896" s="56">
        <v>0.25</v>
      </c>
      <c r="D896" s="57" t="s">
        <v>337</v>
      </c>
      <c r="E896" s="57" t="str">
        <f>VLOOKUP(D896,tblProjekt[],2,FALSE)</f>
        <v>Klosterfrau National</v>
      </c>
      <c r="F896" s="58">
        <v>108</v>
      </c>
      <c r="G896" s="58"/>
      <c r="H896" s="58"/>
      <c r="I896" s="58"/>
      <c r="J896" s="58"/>
      <c r="K896" s="58"/>
      <c r="L896" s="59" t="s">
        <v>948</v>
      </c>
    </row>
    <row r="897" spans="2:12" ht="24" x14ac:dyDescent="0.2">
      <c r="B897" s="55">
        <v>42265</v>
      </c>
      <c r="C897" s="56">
        <v>0.25</v>
      </c>
      <c r="D897" s="57" t="s">
        <v>339</v>
      </c>
      <c r="E897" s="57" t="str">
        <f>VLOOKUP(D897,tblProjekt[],2,FALSE)</f>
        <v>Klosterfrau Regio</v>
      </c>
      <c r="F897" s="58">
        <v>108</v>
      </c>
      <c r="G897" s="58"/>
      <c r="H897" s="58"/>
      <c r="I897" s="58"/>
      <c r="J897" s="58"/>
      <c r="K897" s="58"/>
      <c r="L897" s="59" t="s">
        <v>947</v>
      </c>
    </row>
    <row r="898" spans="2:12" x14ac:dyDescent="0.2">
      <c r="B898" s="55">
        <v>42268</v>
      </c>
      <c r="C898" s="56">
        <v>0.25</v>
      </c>
      <c r="D898" s="57" t="s">
        <v>84</v>
      </c>
      <c r="E898" s="57" t="str">
        <f>VLOOKUP(D898,tblProjekt[],2,FALSE)</f>
        <v>Infrastruktur cognovo</v>
      </c>
      <c r="F898" s="58"/>
      <c r="G898" s="58"/>
      <c r="H898" s="58"/>
      <c r="I898" s="58"/>
      <c r="J898" s="58"/>
      <c r="K898" s="58"/>
      <c r="L898" s="59" t="s">
        <v>806</v>
      </c>
    </row>
    <row r="899" spans="2:12" ht="24" x14ac:dyDescent="0.2">
      <c r="B899" s="55">
        <v>42268</v>
      </c>
      <c r="C899" s="56">
        <v>0.25</v>
      </c>
      <c r="D899" s="57" t="s">
        <v>339</v>
      </c>
      <c r="E899" s="57" t="str">
        <f>VLOOKUP(D899,tblProjekt[],2,FALSE)</f>
        <v>Klosterfrau Regio</v>
      </c>
      <c r="F899" s="58">
        <v>108</v>
      </c>
      <c r="G899" s="58"/>
      <c r="H899" s="58"/>
      <c r="I899" s="58"/>
      <c r="J899" s="58"/>
      <c r="K899" s="58"/>
      <c r="L899" s="59" t="s">
        <v>949</v>
      </c>
    </row>
    <row r="900" spans="2:12" x14ac:dyDescent="0.2">
      <c r="B900" s="55">
        <v>42268</v>
      </c>
      <c r="C900" s="56">
        <v>0.25</v>
      </c>
      <c r="D900" s="57" t="s">
        <v>60</v>
      </c>
      <c r="E900" s="57" t="str">
        <f>VLOOKUP(D900,tblProjekt[],2,FALSE)</f>
        <v>Nutricia reports</v>
      </c>
      <c r="F900" s="58">
        <v>109</v>
      </c>
      <c r="G900" s="58"/>
      <c r="H900" s="58"/>
      <c r="I900" s="58"/>
      <c r="J900" s="58"/>
      <c r="K900" s="58"/>
      <c r="L900" s="59" t="s">
        <v>950</v>
      </c>
    </row>
    <row r="901" spans="2:12" ht="24" x14ac:dyDescent="0.2">
      <c r="B901" s="55">
        <v>42268</v>
      </c>
      <c r="C901" s="56">
        <v>0.75</v>
      </c>
      <c r="D901" s="57" t="s">
        <v>337</v>
      </c>
      <c r="E901" s="57" t="str">
        <f>VLOOKUP(D901,tblProjekt[],2,FALSE)</f>
        <v>Klosterfrau National</v>
      </c>
      <c r="F901" s="58">
        <v>108</v>
      </c>
      <c r="G901" s="58"/>
      <c r="H901" s="58"/>
      <c r="I901" s="58"/>
      <c r="J901" s="58"/>
      <c r="K901" s="58"/>
      <c r="L901" s="59" t="s">
        <v>951</v>
      </c>
    </row>
    <row r="902" spans="2:12" x14ac:dyDescent="0.2">
      <c r="B902" s="55">
        <v>42268</v>
      </c>
      <c r="C902" s="56">
        <v>4.5</v>
      </c>
      <c r="D902" s="57" t="s">
        <v>1002</v>
      </c>
      <c r="E902" s="57" t="str">
        <f>VLOOKUP(D902,tblProjekt[],2,FALSE)</f>
        <v>Produktionsportal 3</v>
      </c>
      <c r="F902" s="58">
        <v>55</v>
      </c>
      <c r="G902" s="58"/>
      <c r="H902" s="58"/>
      <c r="I902" s="58"/>
      <c r="J902" s="58"/>
      <c r="K902" s="58"/>
      <c r="L902" s="59" t="s">
        <v>952</v>
      </c>
    </row>
    <row r="903" spans="2:12" x14ac:dyDescent="0.2">
      <c r="B903" s="55">
        <v>42268</v>
      </c>
      <c r="C903" s="56">
        <v>2.25</v>
      </c>
      <c r="D903" s="57" t="s">
        <v>1002</v>
      </c>
      <c r="E903" s="57" t="str">
        <f>VLOOKUP(D903,tblProjekt[],2,FALSE)</f>
        <v>Produktionsportal 3</v>
      </c>
      <c r="F903" s="58" t="s">
        <v>953</v>
      </c>
      <c r="G903" s="58"/>
      <c r="H903" s="58"/>
      <c r="I903" s="58"/>
      <c r="J903" s="58"/>
      <c r="K903" s="58"/>
      <c r="L903" s="59" t="s">
        <v>538</v>
      </c>
    </row>
    <row r="904" spans="2:12" x14ac:dyDescent="0.2">
      <c r="B904" s="55">
        <v>42269</v>
      </c>
      <c r="C904" s="56">
        <v>1</v>
      </c>
      <c r="D904" s="57" t="s">
        <v>1002</v>
      </c>
      <c r="E904" s="57" t="str">
        <f>VLOOKUP(D904,tblProjekt[],2,FALSE)</f>
        <v>Produktionsportal 3</v>
      </c>
      <c r="F904" s="58" t="s">
        <v>953</v>
      </c>
      <c r="G904" s="58"/>
      <c r="H904" s="58"/>
      <c r="I904" s="58"/>
      <c r="J904" s="58"/>
      <c r="K904" s="58"/>
      <c r="L904" s="59" t="s">
        <v>954</v>
      </c>
    </row>
    <row r="905" spans="2:12" ht="36" x14ac:dyDescent="0.2">
      <c r="B905" s="55">
        <v>42269</v>
      </c>
      <c r="C905" s="56">
        <v>1.25</v>
      </c>
      <c r="D905" s="57" t="s">
        <v>14</v>
      </c>
      <c r="E905" s="57" t="str">
        <f>VLOOKUP(D905,tblProjekt[],2,FALSE)</f>
        <v>CHA Calculator</v>
      </c>
      <c r="F905" s="58">
        <v>39</v>
      </c>
      <c r="G905" s="58"/>
      <c r="H905" s="58"/>
      <c r="I905" s="58"/>
      <c r="J905" s="58"/>
      <c r="K905" s="58"/>
      <c r="L905" s="59" t="s">
        <v>955</v>
      </c>
    </row>
    <row r="906" spans="2:12" ht="24" x14ac:dyDescent="0.2">
      <c r="B906" s="55">
        <v>42269</v>
      </c>
      <c r="C906" s="56">
        <v>1.75</v>
      </c>
      <c r="D906" s="57" t="s">
        <v>1002</v>
      </c>
      <c r="E906" s="57" t="str">
        <f>VLOOKUP(D906,tblProjekt[],2,FALSE)</f>
        <v>Produktionsportal 3</v>
      </c>
      <c r="F906" s="58">
        <v>55</v>
      </c>
      <c r="G906" s="58"/>
      <c r="H906" s="58"/>
      <c r="I906" s="58"/>
      <c r="J906" s="58"/>
      <c r="K906" s="58"/>
      <c r="L906" s="59" t="s">
        <v>956</v>
      </c>
    </row>
    <row r="907" spans="2:12" ht="24" x14ac:dyDescent="0.2">
      <c r="B907" s="55">
        <v>42269</v>
      </c>
      <c r="C907" s="56">
        <v>1.25</v>
      </c>
      <c r="D907" s="57" t="s">
        <v>1002</v>
      </c>
      <c r="E907" s="57" t="str">
        <f>VLOOKUP(D907,tblProjekt[],2,FALSE)</f>
        <v>Produktionsportal 3</v>
      </c>
      <c r="F907" s="58" t="s">
        <v>953</v>
      </c>
      <c r="G907" s="58"/>
      <c r="H907" s="58"/>
      <c r="I907" s="58"/>
      <c r="J907" s="58"/>
      <c r="K907" s="58"/>
      <c r="L907" s="59" t="s">
        <v>957</v>
      </c>
    </row>
    <row r="908" spans="2:12" x14ac:dyDescent="0.2">
      <c r="B908" s="55">
        <v>42269</v>
      </c>
      <c r="C908" s="56">
        <v>0.5</v>
      </c>
      <c r="D908" s="57" t="s">
        <v>1002</v>
      </c>
      <c r="E908" s="57" t="str">
        <f>VLOOKUP(D908,tblProjekt[],2,FALSE)</f>
        <v>Produktionsportal 3</v>
      </c>
      <c r="F908" s="58">
        <v>55</v>
      </c>
      <c r="G908" s="58"/>
      <c r="H908" s="58"/>
      <c r="I908" s="58"/>
      <c r="J908" s="58"/>
      <c r="K908" s="58"/>
      <c r="L908" s="59" t="s">
        <v>958</v>
      </c>
    </row>
    <row r="909" spans="2:12" x14ac:dyDescent="0.2">
      <c r="B909" s="55">
        <v>42269</v>
      </c>
      <c r="C909" s="56">
        <v>0.5</v>
      </c>
      <c r="D909" s="57" t="s">
        <v>1002</v>
      </c>
      <c r="E909" s="57" t="str">
        <f>VLOOKUP(D909,tblProjekt[],2,FALSE)</f>
        <v>Produktionsportal 3</v>
      </c>
      <c r="F909" s="58" t="s">
        <v>953</v>
      </c>
      <c r="G909" s="58"/>
      <c r="H909" s="58"/>
      <c r="I909" s="58"/>
      <c r="J909" s="58"/>
      <c r="K909" s="58"/>
      <c r="L909" s="59" t="s">
        <v>959</v>
      </c>
    </row>
    <row r="910" spans="2:12" x14ac:dyDescent="0.2">
      <c r="B910" s="55">
        <v>42269</v>
      </c>
      <c r="C910" s="56">
        <v>0.25</v>
      </c>
      <c r="D910" s="57" t="s">
        <v>1002</v>
      </c>
      <c r="E910" s="57" t="str">
        <f>VLOOKUP(D910,tblProjekt[],2,FALSE)</f>
        <v>Produktionsportal 3</v>
      </c>
      <c r="F910" s="58">
        <v>55</v>
      </c>
      <c r="G910" s="58"/>
      <c r="H910" s="58"/>
      <c r="I910" s="58"/>
      <c r="J910" s="58"/>
      <c r="K910" s="58"/>
      <c r="L910" s="59" t="s">
        <v>960</v>
      </c>
    </row>
    <row r="911" spans="2:12" x14ac:dyDescent="0.2">
      <c r="B911" s="55">
        <v>42272</v>
      </c>
      <c r="C911" s="56">
        <v>0.5</v>
      </c>
      <c r="D911" s="57" t="s">
        <v>84</v>
      </c>
      <c r="E911" s="57" t="str">
        <f>VLOOKUP(D911,tblProjekt[],2,FALSE)</f>
        <v>Infrastruktur cognovo</v>
      </c>
      <c r="F911" s="58"/>
      <c r="G911" s="58"/>
      <c r="H911" s="58"/>
      <c r="I911" s="58"/>
      <c r="J911" s="58"/>
      <c r="K911" s="58"/>
      <c r="L911" s="59" t="s">
        <v>961</v>
      </c>
    </row>
    <row r="912" spans="2:12" x14ac:dyDescent="0.2">
      <c r="B912" s="55">
        <v>42272</v>
      </c>
      <c r="C912" s="56">
        <v>0.5</v>
      </c>
      <c r="D912" s="57" t="s">
        <v>84</v>
      </c>
      <c r="E912" s="57" t="str">
        <f>VLOOKUP(D912,tblProjekt[],2,FALSE)</f>
        <v>Infrastruktur cognovo</v>
      </c>
      <c r="F912" s="58"/>
      <c r="G912" s="58"/>
      <c r="H912" s="58"/>
      <c r="I912" s="58"/>
      <c r="J912" s="58"/>
      <c r="K912" s="58"/>
      <c r="L912" s="59" t="s">
        <v>223</v>
      </c>
    </row>
    <row r="913" spans="2:12" ht="24" x14ac:dyDescent="0.2">
      <c r="B913" s="55">
        <v>42272</v>
      </c>
      <c r="C913" s="56">
        <v>1</v>
      </c>
      <c r="D913" s="57" t="s">
        <v>63</v>
      </c>
      <c r="E913" s="57" t="str">
        <f>VLOOKUP(D913,tblProjekt[],2,FALSE)</f>
        <v>Klosterfrau Mass Market</v>
      </c>
      <c r="F913" s="58">
        <v>110</v>
      </c>
      <c r="G913" s="58"/>
      <c r="H913" s="58"/>
      <c r="I913" s="58"/>
      <c r="J913" s="58"/>
      <c r="K913" s="58"/>
      <c r="L913" s="59" t="s">
        <v>962</v>
      </c>
    </row>
    <row r="914" spans="2:12" ht="36" x14ac:dyDescent="0.2">
      <c r="B914" s="55">
        <v>42272</v>
      </c>
      <c r="C914" s="56">
        <v>1</v>
      </c>
      <c r="D914" s="57" t="s">
        <v>427</v>
      </c>
      <c r="E914" s="57" t="str">
        <f>VLOOKUP(D914,tblProjekt[],2,FALSE)</f>
        <v>Calculator übergreifend</v>
      </c>
      <c r="F914" s="58"/>
      <c r="G914" s="58"/>
      <c r="H914" s="58"/>
      <c r="I914" s="58"/>
      <c r="J914" s="58"/>
      <c r="K914" s="58"/>
      <c r="L914" s="59" t="s">
        <v>964</v>
      </c>
    </row>
    <row r="915" spans="2:12" ht="24" x14ac:dyDescent="0.2">
      <c r="B915" s="55">
        <v>42272</v>
      </c>
      <c r="C915" s="56">
        <v>1</v>
      </c>
      <c r="D915" s="57" t="s">
        <v>985</v>
      </c>
      <c r="E915" s="57" t="str">
        <f>VLOOKUP(D915,tblProjekt[],2,FALSE)</f>
        <v>Disease Analyzer Workstation</v>
      </c>
      <c r="F915" s="58"/>
      <c r="G915" s="58"/>
      <c r="H915" s="58"/>
      <c r="I915" s="58"/>
      <c r="J915" s="58"/>
      <c r="K915" s="58"/>
      <c r="L915" s="59" t="s">
        <v>963</v>
      </c>
    </row>
    <row r="916" spans="2:12" ht="24" x14ac:dyDescent="0.2">
      <c r="B916" s="55">
        <v>42272</v>
      </c>
      <c r="C916" s="56">
        <v>0.5</v>
      </c>
      <c r="D916" s="57" t="s">
        <v>1002</v>
      </c>
      <c r="E916" s="57" t="str">
        <f>VLOOKUP(D916,tblProjekt[],2,FALSE)</f>
        <v>Produktionsportal 3</v>
      </c>
      <c r="F916" s="58">
        <v>60</v>
      </c>
      <c r="G916" s="58"/>
      <c r="H916" s="58"/>
      <c r="I916" s="58"/>
      <c r="J916" s="58"/>
      <c r="K916" s="58"/>
      <c r="L916" s="59" t="s">
        <v>965</v>
      </c>
    </row>
    <row r="917" spans="2:12" x14ac:dyDescent="0.2">
      <c r="B917" s="55">
        <v>42272</v>
      </c>
      <c r="C917" s="56">
        <v>2.25</v>
      </c>
      <c r="D917" s="57" t="s">
        <v>985</v>
      </c>
      <c r="E917" s="57" t="str">
        <f>VLOOKUP(D917,tblProjekt[],2,FALSE)</f>
        <v>Disease Analyzer Workstation</v>
      </c>
      <c r="F917" s="58" t="s">
        <v>966</v>
      </c>
      <c r="G917" s="58"/>
      <c r="H917" s="58"/>
      <c r="I917" s="58"/>
      <c r="J917" s="58"/>
      <c r="K917" s="58"/>
      <c r="L917" s="59" t="s">
        <v>538</v>
      </c>
    </row>
    <row r="918" spans="2:12" ht="24" x14ac:dyDescent="0.2">
      <c r="B918" s="55">
        <v>42272</v>
      </c>
      <c r="C918" s="56">
        <v>1</v>
      </c>
      <c r="D918" s="57" t="s">
        <v>59</v>
      </c>
      <c r="E918" s="57" t="str">
        <f>VLOOKUP(D918,tblProjekt[],2,FALSE)</f>
        <v>Stada reports</v>
      </c>
      <c r="F918" s="58">
        <v>111</v>
      </c>
      <c r="G918" s="58"/>
      <c r="H918" s="58"/>
      <c r="I918" s="58"/>
      <c r="J918" s="58"/>
      <c r="K918" s="58"/>
      <c r="L918" s="59" t="s">
        <v>967</v>
      </c>
    </row>
    <row r="919" spans="2:12" x14ac:dyDescent="0.2">
      <c r="B919" s="55">
        <v>42272</v>
      </c>
      <c r="C919" s="56">
        <v>0.25</v>
      </c>
      <c r="D919" s="57" t="s">
        <v>84</v>
      </c>
      <c r="E919" s="57" t="str">
        <f>VLOOKUP(D919,tblProjekt[],2,FALSE)</f>
        <v>Infrastruktur cognovo</v>
      </c>
      <c r="F919" s="58"/>
      <c r="G919" s="58"/>
      <c r="H919" s="58"/>
      <c r="I919" s="58"/>
      <c r="J919" s="58"/>
      <c r="K919" s="58"/>
      <c r="L919" s="59" t="s">
        <v>968</v>
      </c>
    </row>
    <row r="920" spans="2:12" x14ac:dyDescent="0.2">
      <c r="B920" s="55">
        <v>42275</v>
      </c>
      <c r="C920" s="56">
        <v>0.25</v>
      </c>
      <c r="D920" s="57" t="s">
        <v>84</v>
      </c>
      <c r="E920" s="57" t="str">
        <f>VLOOKUP(D920,tblProjekt[],2,FALSE)</f>
        <v>Infrastruktur cognovo</v>
      </c>
      <c r="F920" s="58"/>
      <c r="G920" s="58"/>
      <c r="H920" s="58"/>
      <c r="I920" s="58"/>
      <c r="J920" s="58"/>
      <c r="K920" s="58"/>
      <c r="L920" s="59" t="s">
        <v>961</v>
      </c>
    </row>
    <row r="921" spans="2:12" x14ac:dyDescent="0.2">
      <c r="B921" s="55">
        <v>42275</v>
      </c>
      <c r="C921" s="56">
        <v>0.75</v>
      </c>
      <c r="D921" s="57" t="s">
        <v>1002</v>
      </c>
      <c r="E921" s="57" t="str">
        <f>VLOOKUP(D921,tblProjekt[],2,FALSE)</f>
        <v>Produktionsportal 3</v>
      </c>
      <c r="F921" s="58">
        <v>57</v>
      </c>
      <c r="G921" s="58"/>
      <c r="H921" s="58"/>
      <c r="I921" s="58"/>
      <c r="J921" s="58"/>
      <c r="K921" s="58"/>
      <c r="L921" s="59" t="s">
        <v>1007</v>
      </c>
    </row>
    <row r="922" spans="2:12" ht="36" x14ac:dyDescent="0.2">
      <c r="B922" s="55">
        <v>42275</v>
      </c>
      <c r="C922" s="56">
        <v>1.5</v>
      </c>
      <c r="D922" s="57" t="s">
        <v>1002</v>
      </c>
      <c r="E922" s="57" t="str">
        <f>VLOOKUP(D922,tblProjekt[],2,FALSE)</f>
        <v>Produktionsportal 3</v>
      </c>
      <c r="F922" s="58">
        <v>59</v>
      </c>
      <c r="G922" s="58"/>
      <c r="H922" s="58"/>
      <c r="I922" s="58"/>
      <c r="J922" s="58"/>
      <c r="K922" s="58"/>
      <c r="L922" s="59" t="s">
        <v>1008</v>
      </c>
    </row>
    <row r="923" spans="2:12" ht="48" x14ac:dyDescent="0.2">
      <c r="B923" s="55">
        <v>42275</v>
      </c>
      <c r="C923" s="56">
        <v>5.25</v>
      </c>
      <c r="D923" s="57" t="s">
        <v>427</v>
      </c>
      <c r="E923" s="57" t="str">
        <f>VLOOKUP(D923,tblProjekt[],2,FALSE)</f>
        <v>Calculator übergreifend</v>
      </c>
      <c r="F923" s="58">
        <v>166</v>
      </c>
      <c r="G923" s="58"/>
      <c r="H923" s="58"/>
      <c r="I923" s="58"/>
      <c r="J923" s="58"/>
      <c r="K923" s="58"/>
      <c r="L923" s="59" t="s">
        <v>1009</v>
      </c>
    </row>
    <row r="924" spans="2:12" ht="72" x14ac:dyDescent="0.2">
      <c r="B924" s="55">
        <v>42276</v>
      </c>
      <c r="C924" s="56">
        <v>5.25</v>
      </c>
      <c r="D924" s="57" t="s">
        <v>1002</v>
      </c>
      <c r="E924" s="57" t="str">
        <f>VLOOKUP(D924,tblProjekt[],2,FALSE)</f>
        <v>Produktionsportal 3</v>
      </c>
      <c r="F924" s="58">
        <v>59</v>
      </c>
      <c r="G924" s="58"/>
      <c r="H924" s="58"/>
      <c r="I924" s="58"/>
      <c r="J924" s="58"/>
      <c r="K924" s="58"/>
      <c r="L924" s="59" t="s">
        <v>1010</v>
      </c>
    </row>
    <row r="925" spans="2:12" ht="48" x14ac:dyDescent="0.2">
      <c r="B925" s="55">
        <v>42276</v>
      </c>
      <c r="C925" s="56">
        <v>1</v>
      </c>
      <c r="D925" s="57" t="s">
        <v>17</v>
      </c>
      <c r="E925" s="57" t="str">
        <f>VLOOKUP(D925,tblProjekt[],2,FALSE)</f>
        <v>Powerspreadsheet Win7</v>
      </c>
      <c r="F925" s="58">
        <v>113</v>
      </c>
      <c r="G925" s="58"/>
      <c r="H925" s="58"/>
      <c r="I925" s="58"/>
      <c r="J925" s="58"/>
      <c r="K925" s="58"/>
      <c r="L925" s="59" t="s">
        <v>1011</v>
      </c>
    </row>
    <row r="926" spans="2:12" ht="48" x14ac:dyDescent="0.2">
      <c r="B926" s="55">
        <v>42276</v>
      </c>
      <c r="C926" s="56">
        <v>1.75</v>
      </c>
      <c r="D926" s="57" t="s">
        <v>969</v>
      </c>
      <c r="E926" s="57" t="str">
        <f>VLOOKUP(D926,tblProjekt[],2,FALSE)</f>
        <v>Calculator Österreich, allgemein</v>
      </c>
      <c r="F926" s="58"/>
      <c r="G926" s="58"/>
      <c r="H926" s="58"/>
      <c r="I926" s="58"/>
      <c r="J926" s="58"/>
      <c r="K926" s="58"/>
      <c r="L926" s="59" t="s">
        <v>1012</v>
      </c>
    </row>
    <row r="927" spans="2:12" ht="24" x14ac:dyDescent="0.2">
      <c r="B927" s="55">
        <v>42276</v>
      </c>
      <c r="C927" s="56">
        <v>1.75</v>
      </c>
      <c r="D927" s="57" t="s">
        <v>427</v>
      </c>
      <c r="E927" s="57" t="str">
        <f>VLOOKUP(D927,tblProjekt[],2,FALSE)</f>
        <v>Calculator übergreifend</v>
      </c>
      <c r="F927" s="58">
        <v>166</v>
      </c>
      <c r="G927" s="58"/>
      <c r="H927" s="58"/>
      <c r="I927" s="58"/>
      <c r="J927" s="58"/>
      <c r="K927" s="58"/>
      <c r="L927" s="59" t="s">
        <v>1013</v>
      </c>
    </row>
    <row r="928" spans="2:12" x14ac:dyDescent="0.2">
      <c r="B928" s="55">
        <v>42282</v>
      </c>
      <c r="C928" s="56">
        <v>0.25</v>
      </c>
      <c r="D928" s="57" t="s">
        <v>17</v>
      </c>
      <c r="E928" s="57" t="str">
        <f>VLOOKUP(D928,tblProjekt[],2,FALSE)</f>
        <v>Powerspreadsheet Win7</v>
      </c>
      <c r="F928" s="58"/>
      <c r="G928" s="58"/>
      <c r="H928" s="58"/>
      <c r="I928" s="58"/>
      <c r="J928" s="58"/>
      <c r="K928" s="58"/>
      <c r="L928" s="59" t="s">
        <v>1014</v>
      </c>
    </row>
    <row r="929" spans="2:12" x14ac:dyDescent="0.2">
      <c r="B929" s="55">
        <v>42282</v>
      </c>
      <c r="C929" s="56">
        <v>0.75</v>
      </c>
      <c r="D929" s="57" t="s">
        <v>84</v>
      </c>
      <c r="E929" s="57" t="str">
        <f>VLOOKUP(D929,tblProjekt[],2,FALSE)</f>
        <v>Infrastruktur cognovo</v>
      </c>
      <c r="F929" s="58"/>
      <c r="G929" s="58"/>
      <c r="H929" s="58"/>
      <c r="I929" s="58"/>
      <c r="J929" s="58"/>
      <c r="K929" s="58"/>
      <c r="L929" s="59" t="s">
        <v>1014</v>
      </c>
    </row>
    <row r="930" spans="2:12" x14ac:dyDescent="0.2">
      <c r="B930" s="55">
        <v>42282</v>
      </c>
      <c r="C930" s="56">
        <v>0.5</v>
      </c>
      <c r="D930" s="57" t="s">
        <v>6</v>
      </c>
      <c r="E930" s="57" t="str">
        <f>VLOOKUP(D930,tblProjekt[],2,FALSE)</f>
        <v>Produktionsportal 2</v>
      </c>
      <c r="F930" s="58"/>
      <c r="G930" s="58"/>
      <c r="H930" s="58"/>
      <c r="I930" s="58"/>
      <c r="J930" s="58"/>
      <c r="K930" s="58"/>
      <c r="L930" s="59" t="s">
        <v>1014</v>
      </c>
    </row>
    <row r="931" spans="2:12" x14ac:dyDescent="0.2">
      <c r="B931" s="55">
        <v>42282</v>
      </c>
      <c r="C931" s="56">
        <v>0.25</v>
      </c>
      <c r="D931" s="57" t="s">
        <v>84</v>
      </c>
      <c r="E931" s="57" t="str">
        <f>VLOOKUP(D931,tblProjekt[],2,FALSE)</f>
        <v>Infrastruktur cognovo</v>
      </c>
      <c r="F931" s="58"/>
      <c r="G931" s="58"/>
      <c r="H931" s="58"/>
      <c r="I931" s="58"/>
      <c r="J931" s="58"/>
      <c r="K931" s="58"/>
      <c r="L931" s="59" t="s">
        <v>1014</v>
      </c>
    </row>
    <row r="932" spans="2:12" x14ac:dyDescent="0.2">
      <c r="B932" s="55">
        <v>42282</v>
      </c>
      <c r="C932" s="56">
        <v>0.25</v>
      </c>
      <c r="D932" s="57" t="s">
        <v>84</v>
      </c>
      <c r="E932" s="57" t="str">
        <f>VLOOKUP(D932,tblProjekt[],2,FALSE)</f>
        <v>Infrastruktur cognovo</v>
      </c>
      <c r="F932" s="58"/>
      <c r="G932" s="58"/>
      <c r="H932" s="58"/>
      <c r="I932" s="58"/>
      <c r="J932" s="58"/>
      <c r="K932" s="58"/>
      <c r="L932" s="59" t="s">
        <v>223</v>
      </c>
    </row>
    <row r="933" spans="2:12" ht="48" x14ac:dyDescent="0.2">
      <c r="B933" s="55">
        <v>42282</v>
      </c>
      <c r="C933" s="56">
        <v>2.75</v>
      </c>
      <c r="D933" s="57" t="s">
        <v>969</v>
      </c>
      <c r="E933" s="57" t="str">
        <f>VLOOKUP(D933,tblProjekt[],2,FALSE)</f>
        <v>Calculator Österreich, allgemein</v>
      </c>
      <c r="F933" s="58"/>
      <c r="G933" s="58"/>
      <c r="H933" s="58"/>
      <c r="I933" s="58"/>
      <c r="J933" s="58"/>
      <c r="K933" s="58"/>
      <c r="L933" s="59" t="s">
        <v>1015</v>
      </c>
    </row>
    <row r="934" spans="2:12" ht="24" x14ac:dyDescent="0.2">
      <c r="B934" s="55">
        <v>42282</v>
      </c>
      <c r="C934" s="56">
        <v>0.25</v>
      </c>
      <c r="D934" s="57" t="s">
        <v>84</v>
      </c>
      <c r="E934" s="57" t="str">
        <f>VLOOKUP(D934,tblProjekt[],2,FALSE)</f>
        <v>Infrastruktur cognovo</v>
      </c>
      <c r="F934" s="58"/>
      <c r="G934" s="58"/>
      <c r="H934" s="58"/>
      <c r="I934" s="58"/>
      <c r="J934" s="58"/>
      <c r="K934" s="58"/>
      <c r="L934" s="59" t="s">
        <v>1016</v>
      </c>
    </row>
    <row r="935" spans="2:12" ht="48" x14ac:dyDescent="0.2">
      <c r="B935" s="55">
        <v>42282</v>
      </c>
      <c r="C935" s="56">
        <v>2.75</v>
      </c>
      <c r="D935" s="57" t="s">
        <v>780</v>
      </c>
      <c r="E935" s="57" t="str">
        <f>VLOOKUP(D935,tblProjekt[],2,FALSE)</f>
        <v>Disease Analyzer</v>
      </c>
      <c r="F935" s="58" t="s">
        <v>1017</v>
      </c>
      <c r="G935" s="58"/>
      <c r="H935" s="58"/>
      <c r="I935" s="58"/>
      <c r="J935" s="58"/>
      <c r="K935" s="58"/>
      <c r="L935" s="59" t="s">
        <v>1018</v>
      </c>
    </row>
    <row r="936" spans="2:12" x14ac:dyDescent="0.2">
      <c r="B936" s="55">
        <v>42282</v>
      </c>
      <c r="C936" s="56">
        <v>0.25</v>
      </c>
      <c r="D936" s="57" t="s">
        <v>84</v>
      </c>
      <c r="E936" s="57" t="str">
        <f>VLOOKUP(D936,tblProjekt[],2,FALSE)</f>
        <v>Infrastruktur cognovo</v>
      </c>
      <c r="F936" s="58">
        <v>201</v>
      </c>
      <c r="G936" s="58"/>
      <c r="H936" s="58"/>
      <c r="I936" s="58"/>
      <c r="J936" s="58"/>
      <c r="K936" s="58"/>
      <c r="L936" s="59" t="s">
        <v>1019</v>
      </c>
    </row>
    <row r="937" spans="2:12" ht="24" x14ac:dyDescent="0.2">
      <c r="B937" s="55">
        <v>42282</v>
      </c>
      <c r="C937" s="56">
        <v>0.25</v>
      </c>
      <c r="D937" s="57" t="s">
        <v>1002</v>
      </c>
      <c r="E937" s="57" t="str">
        <f>VLOOKUP(D937,tblProjekt[],2,FALSE)</f>
        <v>Produktionsportal 3</v>
      </c>
      <c r="F937" s="58">
        <v>57</v>
      </c>
      <c r="G937" s="58"/>
      <c r="H937" s="58"/>
      <c r="I937" s="58"/>
      <c r="J937" s="58"/>
      <c r="K937" s="58"/>
      <c r="L937" s="59" t="s">
        <v>1020</v>
      </c>
    </row>
    <row r="938" spans="2:12" ht="24" x14ac:dyDescent="0.2">
      <c r="B938" s="55">
        <v>42283</v>
      </c>
      <c r="C938" s="56">
        <v>0.5</v>
      </c>
      <c r="D938" s="57" t="s">
        <v>43</v>
      </c>
      <c r="E938" s="57" t="str">
        <f>VLOOKUP(D938,tblProjekt[],2,FALSE)</f>
        <v>DPMPSN Calculator</v>
      </c>
      <c r="F938" s="58">
        <v>192</v>
      </c>
      <c r="G938" s="58"/>
      <c r="H938" s="58"/>
      <c r="I938" s="58"/>
      <c r="J938" s="58"/>
      <c r="K938" s="58"/>
      <c r="L938" s="59" t="s">
        <v>1021</v>
      </c>
    </row>
    <row r="939" spans="2:12" ht="36" x14ac:dyDescent="0.2">
      <c r="B939" s="55">
        <v>42283</v>
      </c>
      <c r="C939" s="56">
        <v>1.5</v>
      </c>
      <c r="D939" s="57" t="s">
        <v>969</v>
      </c>
      <c r="E939" s="57" t="str">
        <f>VLOOKUP(D939,tblProjekt[],2,FALSE)</f>
        <v>Calculator Österreich, allgemein</v>
      </c>
      <c r="F939" s="58" t="s">
        <v>1022</v>
      </c>
      <c r="G939" s="58"/>
      <c r="H939" s="58"/>
      <c r="I939" s="58"/>
      <c r="J939" s="58"/>
      <c r="K939" s="58"/>
      <c r="L939" s="59" t="s">
        <v>1023</v>
      </c>
    </row>
    <row r="940" spans="2:12" x14ac:dyDescent="0.2">
      <c r="B940" s="55">
        <v>42283</v>
      </c>
      <c r="C940" s="56">
        <v>3.75</v>
      </c>
      <c r="D940" s="57" t="s">
        <v>1002</v>
      </c>
      <c r="E940" s="57" t="str">
        <f>VLOOKUP(D940,tblProjekt[],2,FALSE)</f>
        <v>Produktionsportal 3</v>
      </c>
      <c r="F940" s="58">
        <v>89</v>
      </c>
      <c r="G940" s="58"/>
      <c r="H940" s="58"/>
      <c r="I940" s="58"/>
      <c r="J940" s="58"/>
      <c r="K940" s="58"/>
      <c r="L940" s="59" t="s">
        <v>1024</v>
      </c>
    </row>
    <row r="941" spans="2:12" x14ac:dyDescent="0.2">
      <c r="B941" s="55">
        <v>42283</v>
      </c>
      <c r="C941" s="56">
        <v>0.25</v>
      </c>
      <c r="D941" s="57" t="s">
        <v>1002</v>
      </c>
      <c r="E941" s="57" t="str">
        <f>VLOOKUP(D941,tblProjekt[],2,FALSE)</f>
        <v>Produktionsportal 3</v>
      </c>
      <c r="F941" s="58">
        <v>58</v>
      </c>
      <c r="G941" s="58"/>
      <c r="H941" s="58"/>
      <c r="I941" s="58"/>
      <c r="J941" s="58"/>
      <c r="K941" s="58"/>
      <c r="L941" s="59" t="s">
        <v>860</v>
      </c>
    </row>
    <row r="942" spans="2:12" ht="48" x14ac:dyDescent="0.2">
      <c r="B942" s="55">
        <v>42283</v>
      </c>
      <c r="C942" s="56">
        <v>1.5</v>
      </c>
      <c r="D942" s="57" t="s">
        <v>1002</v>
      </c>
      <c r="E942" s="57" t="str">
        <f>VLOOKUP(D942,tblProjekt[],2,FALSE)</f>
        <v>Produktionsportal 3</v>
      </c>
      <c r="F942" s="58">
        <v>57</v>
      </c>
      <c r="G942" s="58"/>
      <c r="H942" s="58"/>
      <c r="I942" s="58"/>
      <c r="J942" s="58"/>
      <c r="K942" s="58"/>
      <c r="L942" s="59" t="s">
        <v>1025</v>
      </c>
    </row>
    <row r="943" spans="2:12" ht="24" x14ac:dyDescent="0.2">
      <c r="B943" s="55">
        <v>42283</v>
      </c>
      <c r="C943" s="56">
        <v>0.25</v>
      </c>
      <c r="D943" s="57" t="s">
        <v>84</v>
      </c>
      <c r="E943" s="57" t="str">
        <f>VLOOKUP(D943,tblProjekt[],2,FALSE)</f>
        <v>Infrastruktur cognovo</v>
      </c>
      <c r="F943" s="58"/>
      <c r="G943" s="58"/>
      <c r="H943" s="58"/>
      <c r="I943" s="58"/>
      <c r="J943" s="58"/>
      <c r="K943" s="58"/>
      <c r="L943" s="59" t="s">
        <v>1026</v>
      </c>
    </row>
    <row r="944" spans="2:12" ht="24" x14ac:dyDescent="0.2">
      <c r="B944" s="55">
        <v>42283</v>
      </c>
      <c r="C944" s="56">
        <v>0.75</v>
      </c>
      <c r="D944" s="57" t="s">
        <v>1002</v>
      </c>
      <c r="E944" s="57" t="str">
        <f>VLOOKUP(D944,tblProjekt[],2,FALSE)</f>
        <v>Produktionsportal 3</v>
      </c>
      <c r="F944" s="58"/>
      <c r="G944" s="58"/>
      <c r="H944" s="58"/>
      <c r="I944" s="58"/>
      <c r="J944" s="58"/>
      <c r="K944" s="58"/>
      <c r="L944" s="59" t="s">
        <v>1027</v>
      </c>
    </row>
    <row r="945" spans="2:12" x14ac:dyDescent="0.2">
      <c r="B945" s="55">
        <v>42286</v>
      </c>
      <c r="C945" s="56">
        <v>0.25</v>
      </c>
      <c r="D945" s="57" t="s">
        <v>84</v>
      </c>
      <c r="E945" s="57" t="str">
        <f>VLOOKUP(D945,tblProjekt[],2,FALSE)</f>
        <v>Infrastruktur cognovo</v>
      </c>
      <c r="F945" s="58"/>
      <c r="G945" s="58"/>
      <c r="H945" s="58"/>
      <c r="I945" s="58"/>
      <c r="J945" s="58"/>
      <c r="K945" s="58"/>
      <c r="L945" s="59" t="s">
        <v>610</v>
      </c>
    </row>
    <row r="946" spans="2:12" x14ac:dyDescent="0.2">
      <c r="B946" s="55">
        <v>42286</v>
      </c>
      <c r="C946" s="56">
        <v>1</v>
      </c>
      <c r="D946" s="57" t="s">
        <v>969</v>
      </c>
      <c r="E946" s="57" t="str">
        <f>VLOOKUP(D946,tblProjekt[],2,FALSE)</f>
        <v>Calculator Österreich, allgemein</v>
      </c>
      <c r="F946" s="58">
        <v>203</v>
      </c>
      <c r="G946" s="58"/>
      <c r="H946" s="58"/>
      <c r="I946" s="58"/>
      <c r="J946" s="58"/>
      <c r="K946" s="58"/>
      <c r="L946" s="59" t="s">
        <v>416</v>
      </c>
    </row>
    <row r="947" spans="2:12" ht="24" x14ac:dyDescent="0.2">
      <c r="B947" s="55">
        <v>42286</v>
      </c>
      <c r="C947" s="56">
        <v>0.5</v>
      </c>
      <c r="D947" s="57" t="s">
        <v>84</v>
      </c>
      <c r="E947" s="57" t="str">
        <f>VLOOKUP(D947,tblProjekt[],2,FALSE)</f>
        <v>Infrastruktur cognovo</v>
      </c>
      <c r="F947" s="58"/>
      <c r="G947" s="58"/>
      <c r="H947" s="58"/>
      <c r="I947" s="58"/>
      <c r="J947" s="58"/>
      <c r="K947" s="58"/>
      <c r="L947" s="59" t="s">
        <v>1028</v>
      </c>
    </row>
    <row r="948" spans="2:12" x14ac:dyDescent="0.2">
      <c r="B948" s="55">
        <v>42286</v>
      </c>
      <c r="C948" s="56">
        <v>0.25</v>
      </c>
      <c r="D948" s="57" t="s">
        <v>43</v>
      </c>
      <c r="E948" s="57" t="str">
        <f>VLOOKUP(D948,tblProjekt[],2,FALSE)</f>
        <v>DPMPSN Calculator</v>
      </c>
      <c r="F948" s="58">
        <v>192</v>
      </c>
      <c r="G948" s="58"/>
      <c r="H948" s="58"/>
      <c r="I948" s="58"/>
      <c r="J948" s="58"/>
      <c r="K948" s="58"/>
      <c r="L948" s="59" t="s">
        <v>1029</v>
      </c>
    </row>
    <row r="949" spans="2:12" x14ac:dyDescent="0.2">
      <c r="B949" s="55">
        <v>42286</v>
      </c>
      <c r="C949" s="56">
        <v>0.5</v>
      </c>
      <c r="D949" s="57" t="s">
        <v>780</v>
      </c>
      <c r="E949" s="57" t="str">
        <f>VLOOKUP(D949,tblProjekt[],2,FALSE)</f>
        <v>Disease Analyzer</v>
      </c>
      <c r="F949" s="58" t="s">
        <v>966</v>
      </c>
      <c r="G949" s="58"/>
      <c r="H949" s="58"/>
      <c r="I949" s="58"/>
      <c r="J949" s="58"/>
      <c r="K949" s="58"/>
      <c r="L949" s="59" t="s">
        <v>1030</v>
      </c>
    </row>
    <row r="950" spans="2:12" ht="24" x14ac:dyDescent="0.2">
      <c r="B950" s="55">
        <v>42286</v>
      </c>
      <c r="C950" s="56">
        <v>1</v>
      </c>
      <c r="D950" s="57" t="s">
        <v>969</v>
      </c>
      <c r="E950" s="57" t="str">
        <f>VLOOKUP(D950,tblProjekt[],2,FALSE)</f>
        <v>Calculator Österreich, allgemein</v>
      </c>
      <c r="F950" s="58"/>
      <c r="G950" s="58"/>
      <c r="H950" s="58"/>
      <c r="I950" s="58"/>
      <c r="J950" s="58"/>
      <c r="K950" s="58"/>
      <c r="L950" s="59" t="s">
        <v>1031</v>
      </c>
    </row>
    <row r="951" spans="2:12" x14ac:dyDescent="0.2">
      <c r="B951" s="55">
        <v>42287</v>
      </c>
      <c r="C951" s="56">
        <v>0.75</v>
      </c>
      <c r="D951" s="57" t="s">
        <v>969</v>
      </c>
      <c r="E951" s="57" t="str">
        <f>VLOOKUP(D951,tblProjekt[],2,FALSE)</f>
        <v>Calculator Österreich, allgemein</v>
      </c>
      <c r="F951" s="58">
        <v>203</v>
      </c>
      <c r="G951" s="58"/>
      <c r="H951" s="58"/>
      <c r="I951" s="58"/>
      <c r="J951" s="58"/>
      <c r="K951" s="58"/>
      <c r="L951" s="59" t="s">
        <v>1032</v>
      </c>
    </row>
    <row r="952" spans="2:12" ht="36" x14ac:dyDescent="0.2">
      <c r="B952" s="55">
        <v>42287</v>
      </c>
      <c r="C952" s="56">
        <v>2.25</v>
      </c>
      <c r="D952" s="57" t="s">
        <v>1002</v>
      </c>
      <c r="E952" s="57" t="str">
        <f>VLOOKUP(D952,tblProjekt[],2,FALSE)</f>
        <v>Produktionsportal 3</v>
      </c>
      <c r="F952" s="58">
        <v>59</v>
      </c>
      <c r="G952" s="58"/>
      <c r="H952" s="58"/>
      <c r="I952" s="58"/>
      <c r="J952" s="58"/>
      <c r="K952" s="58"/>
      <c r="L952" s="59" t="s">
        <v>1033</v>
      </c>
    </row>
    <row r="953" spans="2:12" x14ac:dyDescent="0.2">
      <c r="B953" s="55">
        <v>42289</v>
      </c>
      <c r="C953" s="56">
        <v>0.75</v>
      </c>
      <c r="D953" s="57" t="s">
        <v>1002</v>
      </c>
      <c r="E953" s="57" t="str">
        <f>VLOOKUP(D953,tblProjekt[],2,FALSE)</f>
        <v>Produktionsportal 3</v>
      </c>
      <c r="F953" s="58">
        <v>59</v>
      </c>
      <c r="G953" s="58"/>
      <c r="H953" s="58"/>
      <c r="I953" s="58"/>
      <c r="J953" s="58"/>
      <c r="K953" s="58"/>
      <c r="L953" s="59" t="s">
        <v>231</v>
      </c>
    </row>
    <row r="954" spans="2:12" ht="24" x14ac:dyDescent="0.2">
      <c r="B954" s="55">
        <v>42289</v>
      </c>
      <c r="C954" s="56">
        <v>0.75</v>
      </c>
      <c r="D954" s="57" t="s">
        <v>1002</v>
      </c>
      <c r="E954" s="57" t="str">
        <f>VLOOKUP(D954,tblProjekt[],2,FALSE)</f>
        <v>Produktionsportal 3</v>
      </c>
      <c r="F954" s="58">
        <v>59</v>
      </c>
      <c r="G954" s="58"/>
      <c r="H954" s="58"/>
      <c r="I954" s="58"/>
      <c r="J954" s="58"/>
      <c r="K954" s="58"/>
      <c r="L954" s="59" t="s">
        <v>1034</v>
      </c>
    </row>
    <row r="955" spans="2:12" x14ac:dyDescent="0.2">
      <c r="B955" s="55">
        <v>42289</v>
      </c>
      <c r="C955" s="56">
        <v>0.25</v>
      </c>
      <c r="D955" s="57" t="s">
        <v>969</v>
      </c>
      <c r="E955" s="57" t="str">
        <f>VLOOKUP(D955,tblProjekt[],2,FALSE)</f>
        <v>Calculator Österreich, allgemein</v>
      </c>
      <c r="F955" s="58"/>
      <c r="G955" s="58"/>
      <c r="H955" s="58"/>
      <c r="I955" s="58"/>
      <c r="J955" s="58"/>
      <c r="K955" s="58"/>
      <c r="L955" s="59" t="s">
        <v>1035</v>
      </c>
    </row>
    <row r="956" spans="2:12" x14ac:dyDescent="0.2">
      <c r="B956" s="55">
        <v>42289</v>
      </c>
      <c r="C956" s="56">
        <v>0.25</v>
      </c>
      <c r="D956" s="57" t="s">
        <v>43</v>
      </c>
      <c r="E956" s="57" t="str">
        <f>VLOOKUP(D956,tblProjekt[],2,FALSE)</f>
        <v>DPMPSN Calculator</v>
      </c>
      <c r="F956" s="58"/>
      <c r="G956" s="58"/>
      <c r="H956" s="58"/>
      <c r="I956" s="58"/>
      <c r="J956" s="58"/>
      <c r="K956" s="58"/>
      <c r="L956" s="59" t="s">
        <v>1035</v>
      </c>
    </row>
    <row r="957" spans="2:12" x14ac:dyDescent="0.2">
      <c r="B957" s="55">
        <v>42289</v>
      </c>
      <c r="C957" s="56">
        <v>3.75</v>
      </c>
      <c r="D957" s="57" t="s">
        <v>1002</v>
      </c>
      <c r="E957" s="57" t="str">
        <f>VLOOKUP(D957,tblProjekt[],2,FALSE)</f>
        <v>Produktionsportal 3</v>
      </c>
      <c r="F957" s="58">
        <v>59</v>
      </c>
      <c r="G957" s="58"/>
      <c r="H957" s="58"/>
      <c r="I957" s="58"/>
      <c r="J957" s="58"/>
      <c r="K957" s="58"/>
      <c r="L957" s="59" t="s">
        <v>1036</v>
      </c>
    </row>
    <row r="958" spans="2:12" ht="24" x14ac:dyDescent="0.2">
      <c r="B958" s="55">
        <v>42289</v>
      </c>
      <c r="C958" s="56">
        <v>1</v>
      </c>
      <c r="D958" s="57" t="s">
        <v>969</v>
      </c>
      <c r="E958" s="57" t="str">
        <f>VLOOKUP(D958,tblProjekt[],2,FALSE)</f>
        <v>Calculator Österreich, allgemein</v>
      </c>
      <c r="F958" s="58">
        <v>204</v>
      </c>
      <c r="G958" s="58"/>
      <c r="H958" s="58"/>
      <c r="I958" s="58"/>
      <c r="J958" s="58"/>
      <c r="K958" s="58"/>
      <c r="L958" s="59" t="s">
        <v>1037</v>
      </c>
    </row>
    <row r="959" spans="2:12" ht="24" x14ac:dyDescent="0.2">
      <c r="B959" s="55">
        <v>42289</v>
      </c>
      <c r="C959" s="56">
        <v>2</v>
      </c>
      <c r="D959" s="57" t="s">
        <v>1002</v>
      </c>
      <c r="E959" s="57" t="str">
        <f>VLOOKUP(D959,tblProjekt[],2,FALSE)</f>
        <v>Produktionsportal 3</v>
      </c>
      <c r="F959" s="58" t="s">
        <v>1038</v>
      </c>
      <c r="G959" s="58"/>
      <c r="H959" s="58"/>
      <c r="I959" s="58"/>
      <c r="J959" s="58"/>
      <c r="K959" s="58"/>
      <c r="L959" s="59" t="s">
        <v>1039</v>
      </c>
    </row>
    <row r="960" spans="2:12" x14ac:dyDescent="0.2">
      <c r="B960" s="55">
        <v>42290</v>
      </c>
      <c r="C960" s="56">
        <v>0.75</v>
      </c>
      <c r="D960" s="57" t="s">
        <v>84</v>
      </c>
      <c r="E960" s="57" t="str">
        <f>VLOOKUP(D960,tblProjekt[],2,FALSE)</f>
        <v>Infrastruktur cognovo</v>
      </c>
      <c r="F960" s="58">
        <v>59</v>
      </c>
      <c r="G960" s="58"/>
      <c r="H960" s="58"/>
      <c r="I960" s="58"/>
      <c r="J960" s="58"/>
      <c r="K960" s="58"/>
      <c r="L960" s="59" t="s">
        <v>1041</v>
      </c>
    </row>
    <row r="961" spans="2:12" ht="24" x14ac:dyDescent="0.2">
      <c r="B961" s="55">
        <v>42290</v>
      </c>
      <c r="C961" s="56">
        <v>4.25</v>
      </c>
      <c r="D961" s="57" t="s">
        <v>1002</v>
      </c>
      <c r="E961" s="57" t="str">
        <f>VLOOKUP(D961,tblProjekt[],2,FALSE)</f>
        <v>Produktionsportal 3</v>
      </c>
      <c r="F961" s="58">
        <v>59</v>
      </c>
      <c r="G961" s="58"/>
      <c r="H961" s="58"/>
      <c r="I961" s="58"/>
      <c r="J961" s="58"/>
      <c r="K961" s="58"/>
      <c r="L961" s="59" t="s">
        <v>1040</v>
      </c>
    </row>
    <row r="962" spans="2:12" ht="24" x14ac:dyDescent="0.2">
      <c r="B962" s="55">
        <v>42290</v>
      </c>
      <c r="C962" s="56">
        <v>1</v>
      </c>
      <c r="D962" s="57" t="s">
        <v>427</v>
      </c>
      <c r="E962" s="57" t="str">
        <f>VLOOKUP(D962,tblProjekt[],2,FALSE)</f>
        <v>Calculator übergreifend</v>
      </c>
      <c r="F962" s="58"/>
      <c r="G962" s="58"/>
      <c r="H962" s="58"/>
      <c r="I962" s="58"/>
      <c r="J962" s="58"/>
      <c r="K962" s="58"/>
      <c r="L962" s="59" t="s">
        <v>1042</v>
      </c>
    </row>
    <row r="963" spans="2:12" ht="36" x14ac:dyDescent="0.2">
      <c r="B963" s="55">
        <v>42290</v>
      </c>
      <c r="C963" s="56">
        <v>2.75</v>
      </c>
      <c r="D963" s="57" t="s">
        <v>690</v>
      </c>
      <c r="E963" s="57" t="str">
        <f>VLOOKUP(D963,tblProjekt[],2,FALSE)</f>
        <v>PHS Issor Calculator</v>
      </c>
      <c r="F963" s="58">
        <v>205</v>
      </c>
      <c r="G963" s="58"/>
      <c r="H963" s="58"/>
      <c r="I963" s="58"/>
      <c r="J963" s="58"/>
      <c r="K963" s="58"/>
      <c r="L963" s="59" t="s">
        <v>1043</v>
      </c>
    </row>
    <row r="964" spans="2:12" ht="36" x14ac:dyDescent="0.2">
      <c r="B964" s="55">
        <v>42290</v>
      </c>
      <c r="C964" s="56">
        <v>0.5</v>
      </c>
      <c r="D964" s="57" t="s">
        <v>969</v>
      </c>
      <c r="E964" s="57" t="str">
        <f>VLOOKUP(D964,tblProjekt[],2,FALSE)</f>
        <v>Calculator Österreich, allgemein</v>
      </c>
      <c r="F964" s="58"/>
      <c r="G964" s="58"/>
      <c r="H964" s="58"/>
      <c r="I964" s="58"/>
      <c r="J964" s="58"/>
      <c r="K964" s="58"/>
      <c r="L964" s="59" t="s">
        <v>1044</v>
      </c>
    </row>
    <row r="965" spans="2:12" ht="24" x14ac:dyDescent="0.2">
      <c r="B965" s="55">
        <v>42290</v>
      </c>
      <c r="C965" s="56">
        <v>1.75</v>
      </c>
      <c r="D965" s="57" t="s">
        <v>969</v>
      </c>
      <c r="E965" s="57" t="str">
        <f>VLOOKUP(D965,tblProjekt[],2,FALSE)</f>
        <v>Calculator Österreich, allgemein</v>
      </c>
      <c r="F965" s="58">
        <v>203</v>
      </c>
      <c r="G965" s="58"/>
      <c r="H965" s="58"/>
      <c r="I965" s="58"/>
      <c r="J965" s="58"/>
      <c r="K965" s="58"/>
      <c r="L965" s="59" t="s">
        <v>1045</v>
      </c>
    </row>
    <row r="966" spans="2:12" ht="36" x14ac:dyDescent="0.2">
      <c r="B966" s="55">
        <v>42290</v>
      </c>
      <c r="C966" s="56">
        <v>0.75</v>
      </c>
      <c r="D966" s="57" t="s">
        <v>969</v>
      </c>
      <c r="E966" s="57" t="str">
        <f>VLOOKUP(D966,tblProjekt[],2,FALSE)</f>
        <v>Calculator Österreich, allgemein</v>
      </c>
      <c r="F966" s="58">
        <v>203</v>
      </c>
      <c r="G966" s="58"/>
      <c r="H966" s="58"/>
      <c r="I966" s="58"/>
      <c r="J966" s="58"/>
      <c r="K966" s="58"/>
      <c r="L966" s="59" t="s">
        <v>1046</v>
      </c>
    </row>
    <row r="967" spans="2:12" x14ac:dyDescent="0.2">
      <c r="B967" s="55">
        <v>42294</v>
      </c>
      <c r="C967" s="56">
        <v>0.25</v>
      </c>
      <c r="D967" s="57" t="s">
        <v>985</v>
      </c>
      <c r="E967" s="57" t="str">
        <f>VLOOKUP(D967,tblProjekt[],2,FALSE)</f>
        <v>Disease Analyzer Workstation</v>
      </c>
      <c r="F967" s="58"/>
      <c r="G967" s="58"/>
      <c r="H967" s="58"/>
      <c r="I967" s="58"/>
      <c r="J967" s="58"/>
      <c r="K967" s="58"/>
      <c r="L967" s="59" t="s">
        <v>416</v>
      </c>
    </row>
    <row r="968" spans="2:12" x14ac:dyDescent="0.2">
      <c r="B968" s="55">
        <v>42296</v>
      </c>
      <c r="C968" s="56">
        <v>0.5</v>
      </c>
      <c r="D968" s="57" t="s">
        <v>41</v>
      </c>
      <c r="E968" s="57" t="str">
        <f>VLOOKUP(D968,tblProjekt[],2,FALSE)</f>
        <v>L'Oreal Distributionsreport</v>
      </c>
      <c r="F968" s="58"/>
      <c r="G968" s="58"/>
      <c r="H968" s="58"/>
      <c r="I968" s="58"/>
      <c r="J968" s="58"/>
      <c r="K968" s="58"/>
      <c r="L968" s="59" t="s">
        <v>1047</v>
      </c>
    </row>
    <row r="969" spans="2:12" x14ac:dyDescent="0.2">
      <c r="B969" s="55">
        <v>42296</v>
      </c>
      <c r="C969" s="56">
        <v>0.5</v>
      </c>
      <c r="D969" s="57" t="s">
        <v>51</v>
      </c>
      <c r="E969" s="57" t="str">
        <f>VLOOKUP(D969,tblProjekt[],2,FALSE)</f>
        <v>L'Oreal Micro report</v>
      </c>
      <c r="F969" s="58"/>
      <c r="G969" s="58"/>
      <c r="H969" s="58"/>
      <c r="I969" s="58"/>
      <c r="J969" s="58"/>
      <c r="K969" s="58"/>
      <c r="L969" s="59" t="s">
        <v>1047</v>
      </c>
    </row>
    <row r="970" spans="2:12" x14ac:dyDescent="0.2">
      <c r="B970" s="55">
        <v>42296</v>
      </c>
      <c r="C970" s="56">
        <v>1.25</v>
      </c>
      <c r="D970" s="57" t="s">
        <v>84</v>
      </c>
      <c r="E970" s="57" t="str">
        <f>VLOOKUP(D970,tblProjekt[],2,FALSE)</f>
        <v>Infrastruktur cognovo</v>
      </c>
      <c r="F970" s="58"/>
      <c r="G970" s="58"/>
      <c r="H970" s="58"/>
      <c r="I970" s="58"/>
      <c r="J970" s="58"/>
      <c r="K970" s="58"/>
      <c r="L970" s="59" t="s">
        <v>1041</v>
      </c>
    </row>
    <row r="971" spans="2:12" x14ac:dyDescent="0.2">
      <c r="B971" s="55">
        <v>42296</v>
      </c>
      <c r="C971" s="56">
        <v>0.5</v>
      </c>
      <c r="D971" s="57" t="s">
        <v>84</v>
      </c>
      <c r="E971" s="57" t="str">
        <f>VLOOKUP(D971,tblProjekt[],2,FALSE)</f>
        <v>Infrastruktur cognovo</v>
      </c>
      <c r="F971" s="58"/>
      <c r="G971" s="58"/>
      <c r="H971" s="58"/>
      <c r="I971" s="58"/>
      <c r="J971" s="58"/>
      <c r="K971" s="58"/>
      <c r="L971" s="59" t="s">
        <v>223</v>
      </c>
    </row>
    <row r="972" spans="2:12" ht="24" x14ac:dyDescent="0.2">
      <c r="B972" s="55">
        <v>42296</v>
      </c>
      <c r="C972" s="56">
        <v>0.75</v>
      </c>
      <c r="D972" s="57" t="s">
        <v>337</v>
      </c>
      <c r="E972" s="57" t="str">
        <f>VLOOKUP(D972,tblProjekt[],2,FALSE)</f>
        <v>Klosterfrau National</v>
      </c>
      <c r="F972" s="58">
        <v>115</v>
      </c>
      <c r="G972" s="58"/>
      <c r="H972" s="58"/>
      <c r="I972" s="58"/>
      <c r="J972" s="58"/>
      <c r="K972" s="58"/>
      <c r="L972" s="59" t="s">
        <v>1048</v>
      </c>
    </row>
    <row r="973" spans="2:12" ht="24" x14ac:dyDescent="0.2">
      <c r="B973" s="55">
        <v>42296</v>
      </c>
      <c r="C973" s="56">
        <v>0.25</v>
      </c>
      <c r="D973" s="57" t="s">
        <v>59</v>
      </c>
      <c r="E973" s="57" t="str">
        <f>VLOOKUP(D973,tblProjekt[],2,FALSE)</f>
        <v>Stada reports</v>
      </c>
      <c r="F973" s="58">
        <v>116</v>
      </c>
      <c r="G973" s="58"/>
      <c r="H973" s="58"/>
      <c r="I973" s="58"/>
      <c r="J973" s="58"/>
      <c r="K973" s="58"/>
      <c r="L973" s="59" t="s">
        <v>1048</v>
      </c>
    </row>
    <row r="974" spans="2:12" x14ac:dyDescent="0.2">
      <c r="B974" s="55">
        <v>42296</v>
      </c>
      <c r="C974" s="56">
        <v>1.5</v>
      </c>
      <c r="D974" s="57" t="s">
        <v>17</v>
      </c>
      <c r="E974" s="57" t="str">
        <f>VLOOKUP(D974,tblProjekt[],2,FALSE)</f>
        <v>Powerspreadsheet Win7</v>
      </c>
      <c r="F974" s="58"/>
      <c r="G974" s="58"/>
      <c r="H974" s="58"/>
      <c r="I974" s="58"/>
      <c r="J974" s="58"/>
      <c r="K974" s="58"/>
      <c r="L974" s="59" t="s">
        <v>1049</v>
      </c>
    </row>
    <row r="975" spans="2:12" ht="24" x14ac:dyDescent="0.2">
      <c r="B975" s="55">
        <v>42296</v>
      </c>
      <c r="C975" s="56">
        <v>2.5</v>
      </c>
      <c r="D975" s="57" t="s">
        <v>985</v>
      </c>
      <c r="E975" s="57" t="str">
        <f>VLOOKUP(D975,tblProjekt[],2,FALSE)</f>
        <v>Disease Analyzer Workstation</v>
      </c>
      <c r="F975" s="58" t="s">
        <v>1051</v>
      </c>
      <c r="G975" s="58"/>
      <c r="H975" s="58"/>
      <c r="I975" s="58"/>
      <c r="J975" s="58"/>
      <c r="K975" s="58"/>
      <c r="L975" s="59" t="s">
        <v>1050</v>
      </c>
    </row>
    <row r="976" spans="2:12" x14ac:dyDescent="0.2">
      <c r="B976" s="55">
        <v>42296</v>
      </c>
      <c r="C976" s="56">
        <v>0.25</v>
      </c>
      <c r="D976" s="57" t="s">
        <v>17</v>
      </c>
      <c r="E976" s="57" t="str">
        <f>VLOOKUP(D976,tblProjekt[],2,FALSE)</f>
        <v>Powerspreadsheet Win7</v>
      </c>
      <c r="F976" s="58"/>
      <c r="G976" s="58"/>
      <c r="H976" s="58"/>
      <c r="I976" s="58"/>
      <c r="J976" s="58"/>
      <c r="K976" s="58"/>
      <c r="L976" s="59" t="s">
        <v>1052</v>
      </c>
    </row>
    <row r="977" spans="2:12" x14ac:dyDescent="0.2">
      <c r="B977" s="55">
        <v>42297</v>
      </c>
      <c r="C977" s="56">
        <v>1.5</v>
      </c>
      <c r="D977" s="57" t="s">
        <v>427</v>
      </c>
      <c r="E977" s="57" t="str">
        <f>VLOOKUP(D977,tblProjekt[],2,FALSE)</f>
        <v>Calculator übergreifend</v>
      </c>
      <c r="F977" s="58"/>
      <c r="G977" s="58"/>
      <c r="H977" s="58"/>
      <c r="I977" s="58"/>
      <c r="J977" s="58"/>
      <c r="K977" s="58"/>
      <c r="L977" s="59" t="s">
        <v>1053</v>
      </c>
    </row>
    <row r="978" spans="2:12" x14ac:dyDescent="0.2">
      <c r="B978" s="55">
        <v>42297</v>
      </c>
      <c r="C978" s="56">
        <v>0.25</v>
      </c>
      <c r="D978" s="57" t="s">
        <v>1002</v>
      </c>
      <c r="E978" s="57" t="str">
        <f>VLOOKUP(D978,tblProjekt[],2,FALSE)</f>
        <v>Produktionsportal 3</v>
      </c>
      <c r="F978" s="58"/>
      <c r="G978" s="58"/>
      <c r="H978" s="58"/>
      <c r="I978" s="58"/>
      <c r="J978" s="58"/>
      <c r="K978" s="58"/>
      <c r="L978" s="59" t="s">
        <v>443</v>
      </c>
    </row>
    <row r="979" spans="2:12" x14ac:dyDescent="0.2">
      <c r="B979" s="55">
        <v>42297</v>
      </c>
      <c r="C979" s="56">
        <v>0.5</v>
      </c>
      <c r="D979" s="57" t="s">
        <v>17</v>
      </c>
      <c r="E979" s="57" t="str">
        <f>VLOOKUP(D979,tblProjekt[],2,FALSE)</f>
        <v>Powerspreadsheet Win7</v>
      </c>
      <c r="F979" s="58"/>
      <c r="G979" s="58"/>
      <c r="H979" s="58"/>
      <c r="I979" s="58"/>
      <c r="J979" s="58"/>
      <c r="K979" s="58"/>
      <c r="L979" s="59" t="s">
        <v>1054</v>
      </c>
    </row>
    <row r="980" spans="2:12" ht="24" x14ac:dyDescent="0.2">
      <c r="B980" s="55">
        <v>42297</v>
      </c>
      <c r="C980" s="56">
        <v>0.75</v>
      </c>
      <c r="D980" s="57" t="s">
        <v>17</v>
      </c>
      <c r="E980" s="57" t="str">
        <f>VLOOKUP(D980,tblProjekt[],2,FALSE)</f>
        <v>Powerspreadsheet Win7</v>
      </c>
      <c r="F980" s="58"/>
      <c r="G980" s="58"/>
      <c r="H980" s="58"/>
      <c r="I980" s="58"/>
      <c r="J980" s="58"/>
      <c r="K980" s="58"/>
      <c r="L980" s="59" t="s">
        <v>1055</v>
      </c>
    </row>
    <row r="981" spans="2:12" ht="24" x14ac:dyDescent="0.2">
      <c r="B981" s="55">
        <v>42297</v>
      </c>
      <c r="C981" s="56">
        <v>2</v>
      </c>
      <c r="D981" s="57" t="s">
        <v>427</v>
      </c>
      <c r="E981" s="57" t="str">
        <f>VLOOKUP(D981,tblProjekt[],2,FALSE)</f>
        <v>Calculator übergreifend</v>
      </c>
      <c r="F981" s="58"/>
      <c r="G981" s="58"/>
      <c r="H981" s="58"/>
      <c r="I981" s="58"/>
      <c r="J981" s="58"/>
      <c r="K981" s="58"/>
      <c r="L981" s="59" t="s">
        <v>1056</v>
      </c>
    </row>
    <row r="982" spans="2:12" ht="36" x14ac:dyDescent="0.2">
      <c r="B982" s="55">
        <v>42297</v>
      </c>
      <c r="C982" s="56">
        <v>2.25</v>
      </c>
      <c r="D982" s="57" t="s">
        <v>969</v>
      </c>
      <c r="E982" s="57" t="str">
        <f>VLOOKUP(D982,tblProjekt[],2,FALSE)</f>
        <v>Calculator Österreich, allgemein</v>
      </c>
      <c r="F982" s="58"/>
      <c r="G982" s="58"/>
      <c r="H982" s="58"/>
      <c r="I982" s="58"/>
      <c r="J982" s="58"/>
      <c r="K982" s="58"/>
      <c r="L982" s="59" t="s">
        <v>1057</v>
      </c>
    </row>
    <row r="983" spans="2:12" ht="36" x14ac:dyDescent="0.2">
      <c r="B983" s="55">
        <v>42297</v>
      </c>
      <c r="C983" s="56">
        <v>0.5</v>
      </c>
      <c r="D983" s="57" t="s">
        <v>337</v>
      </c>
      <c r="E983" s="57" t="str">
        <f>VLOOKUP(D983,tblProjekt[],2,FALSE)</f>
        <v>Klosterfrau National</v>
      </c>
      <c r="F983" s="58">
        <v>115</v>
      </c>
      <c r="G983" s="58"/>
      <c r="H983" s="58"/>
      <c r="I983" s="58"/>
      <c r="J983" s="58"/>
      <c r="K983" s="58"/>
      <c r="L983" s="59" t="s">
        <v>1058</v>
      </c>
    </row>
    <row r="984" spans="2:12" ht="36" x14ac:dyDescent="0.2">
      <c r="B984" s="55">
        <v>42297</v>
      </c>
      <c r="C984" s="56">
        <v>0.25</v>
      </c>
      <c r="D984" s="57" t="s">
        <v>59</v>
      </c>
      <c r="E984" s="57" t="str">
        <f>VLOOKUP(D984,tblProjekt[],2,FALSE)</f>
        <v>Stada reports</v>
      </c>
      <c r="F984" s="58">
        <v>116</v>
      </c>
      <c r="G984" s="58"/>
      <c r="H984" s="58"/>
      <c r="I984" s="58"/>
      <c r="J984" s="58"/>
      <c r="K984" s="58"/>
      <c r="L984" s="59" t="s">
        <v>1059</v>
      </c>
    </row>
    <row r="985" spans="2:12" ht="24" x14ac:dyDescent="0.2">
      <c r="B985" s="55">
        <v>42297</v>
      </c>
      <c r="C985" s="56">
        <v>0.75</v>
      </c>
      <c r="D985" s="57" t="s">
        <v>337</v>
      </c>
      <c r="E985" s="57" t="str">
        <f>VLOOKUP(D985,tblProjekt[],2,FALSE)</f>
        <v>Klosterfrau National</v>
      </c>
      <c r="F985" s="58"/>
      <c r="G985" s="58"/>
      <c r="H985" s="58"/>
      <c r="I985" s="58"/>
      <c r="J985" s="58"/>
      <c r="K985" s="58"/>
      <c r="L985" s="59" t="s">
        <v>1061</v>
      </c>
    </row>
    <row r="986" spans="2:12" x14ac:dyDescent="0.2">
      <c r="B986" s="55">
        <v>42297</v>
      </c>
      <c r="C986" s="56">
        <v>0.25</v>
      </c>
      <c r="D986" s="57" t="s">
        <v>339</v>
      </c>
      <c r="E986" s="57" t="str">
        <f>VLOOKUP(D986,tblProjekt[],2,FALSE)</f>
        <v>Klosterfrau Regio</v>
      </c>
      <c r="F986" s="58"/>
      <c r="G986" s="58"/>
      <c r="H986" s="58"/>
      <c r="I986" s="58"/>
      <c r="J986" s="58"/>
      <c r="K986" s="58"/>
      <c r="L986" s="59" t="s">
        <v>1060</v>
      </c>
    </row>
    <row r="987" spans="2:12" x14ac:dyDescent="0.2">
      <c r="B987" s="55">
        <v>42297</v>
      </c>
      <c r="C987" s="56">
        <v>0.25</v>
      </c>
      <c r="D987" s="57" t="s">
        <v>60</v>
      </c>
      <c r="E987" s="57" t="str">
        <f>VLOOKUP(D987,tblProjekt[],2,FALSE)</f>
        <v>Nutricia reports</v>
      </c>
      <c r="F987" s="58"/>
      <c r="G987" s="58"/>
      <c r="H987" s="58"/>
      <c r="I987" s="58"/>
      <c r="J987" s="58"/>
      <c r="K987" s="58"/>
      <c r="L987" s="59" t="s">
        <v>1047</v>
      </c>
    </row>
    <row r="988" spans="2:12" x14ac:dyDescent="0.2">
      <c r="B988" s="55">
        <v>42303</v>
      </c>
      <c r="C988" s="56">
        <v>0.5</v>
      </c>
      <c r="D988" s="57" t="s">
        <v>84</v>
      </c>
      <c r="E988" s="57" t="str">
        <f>VLOOKUP(D988,tblProjekt[],2,FALSE)</f>
        <v>Infrastruktur cognovo</v>
      </c>
      <c r="F988" s="58"/>
      <c r="G988" s="58"/>
      <c r="H988" s="58"/>
      <c r="I988" s="58"/>
      <c r="J988" s="58"/>
      <c r="K988" s="58"/>
      <c r="L988" s="59" t="s">
        <v>223</v>
      </c>
    </row>
    <row r="989" spans="2:12" ht="24" x14ac:dyDescent="0.2">
      <c r="B989" s="55">
        <v>42303</v>
      </c>
      <c r="C989" s="56">
        <v>1.5</v>
      </c>
      <c r="D989" s="57" t="s">
        <v>427</v>
      </c>
      <c r="E989" s="57" t="str">
        <f>VLOOKUP(D989,tblProjekt[],2,FALSE)</f>
        <v>Calculator übergreifend</v>
      </c>
      <c r="F989" s="58"/>
      <c r="G989" s="58"/>
      <c r="H989" s="58"/>
      <c r="I989" s="58"/>
      <c r="J989" s="58"/>
      <c r="K989" s="58"/>
      <c r="L989" s="59" t="s">
        <v>1062</v>
      </c>
    </row>
    <row r="990" spans="2:12" ht="36" x14ac:dyDescent="0.2">
      <c r="B990" s="55">
        <v>42303</v>
      </c>
      <c r="C990" s="56">
        <v>0.25</v>
      </c>
      <c r="D990" s="57" t="s">
        <v>17</v>
      </c>
      <c r="E990" s="57" t="str">
        <f>VLOOKUP(D990,tblProjekt[],2,FALSE)</f>
        <v>Powerspreadsheet Win7</v>
      </c>
      <c r="F990" s="58">
        <v>115</v>
      </c>
      <c r="G990" s="58"/>
      <c r="H990" s="58"/>
      <c r="I990" s="58"/>
      <c r="J990" s="58"/>
      <c r="K990" s="58"/>
      <c r="L990" s="59" t="s">
        <v>1063</v>
      </c>
    </row>
    <row r="991" spans="2:12" x14ac:dyDescent="0.2">
      <c r="B991" s="55">
        <v>42303</v>
      </c>
      <c r="C991" s="56">
        <v>4</v>
      </c>
      <c r="D991" s="57" t="s">
        <v>969</v>
      </c>
      <c r="E991" s="57" t="str">
        <f>VLOOKUP(D991,tblProjekt[],2,FALSE)</f>
        <v>Calculator Österreich, allgemein</v>
      </c>
      <c r="F991" s="58">
        <v>211</v>
      </c>
      <c r="G991" s="58"/>
      <c r="H991" s="58"/>
      <c r="I991" s="58"/>
      <c r="J991" s="58"/>
      <c r="K991" s="58"/>
      <c r="L991" s="59" t="s">
        <v>1064</v>
      </c>
    </row>
    <row r="992" spans="2:12" ht="36" x14ac:dyDescent="0.2">
      <c r="B992" s="55">
        <v>42304</v>
      </c>
      <c r="C992" s="56">
        <v>0.5</v>
      </c>
      <c r="D992" s="57" t="s">
        <v>1002</v>
      </c>
      <c r="E992" s="57" t="str">
        <f>VLOOKUP(D992,tblProjekt[],2,FALSE)</f>
        <v>Produktionsportal 3</v>
      </c>
      <c r="F992" s="58"/>
      <c r="G992" s="58"/>
      <c r="H992" s="58"/>
      <c r="I992" s="58"/>
      <c r="J992" s="58"/>
      <c r="K992" s="58"/>
      <c r="L992" s="59" t="s">
        <v>1065</v>
      </c>
    </row>
    <row r="993" spans="2:12" ht="24" x14ac:dyDescent="0.2">
      <c r="B993" s="55">
        <v>42304</v>
      </c>
      <c r="C993" s="56">
        <v>6.5</v>
      </c>
      <c r="D993" s="57" t="s">
        <v>427</v>
      </c>
      <c r="E993" s="57" t="str">
        <f>VLOOKUP(D993,tblProjekt[],2,FALSE)</f>
        <v>Calculator übergreifend</v>
      </c>
      <c r="F993" s="58">
        <v>215</v>
      </c>
      <c r="G993" s="58"/>
      <c r="H993" s="58"/>
      <c r="I993" s="58"/>
      <c r="J993" s="58"/>
      <c r="K993" s="58"/>
      <c r="L993" s="59" t="s">
        <v>1066</v>
      </c>
    </row>
    <row r="994" spans="2:12" x14ac:dyDescent="0.2">
      <c r="B994" s="55">
        <v>42305</v>
      </c>
      <c r="C994" s="56">
        <v>0.5</v>
      </c>
      <c r="D994" s="57" t="s">
        <v>84</v>
      </c>
      <c r="E994" s="57" t="str">
        <f>VLOOKUP(D994,tblProjekt[],2,FALSE)</f>
        <v>Infrastruktur cognovo</v>
      </c>
      <c r="F994" s="58"/>
      <c r="G994" s="58"/>
      <c r="H994" s="58"/>
      <c r="I994" s="58"/>
      <c r="J994" s="58"/>
      <c r="K994" s="58"/>
      <c r="L994" s="59" t="s">
        <v>223</v>
      </c>
    </row>
    <row r="995" spans="2:12" ht="24" x14ac:dyDescent="0.2">
      <c r="B995" s="55">
        <v>42305</v>
      </c>
      <c r="C995" s="56">
        <v>4</v>
      </c>
      <c r="D995" s="57" t="s">
        <v>427</v>
      </c>
      <c r="E995" s="57" t="str">
        <f>VLOOKUP(D995,tblProjekt[],2,FALSE)</f>
        <v>Calculator übergreifend</v>
      </c>
      <c r="F995" s="58">
        <v>215</v>
      </c>
      <c r="G995" s="58"/>
      <c r="H995" s="58"/>
      <c r="I995" s="58"/>
      <c r="J995" s="58"/>
      <c r="K995" s="58"/>
      <c r="L995" s="59" t="s">
        <v>1066</v>
      </c>
    </row>
    <row r="996" spans="2:12" ht="36" x14ac:dyDescent="0.2">
      <c r="B996" s="55">
        <v>42306</v>
      </c>
      <c r="C996" s="56">
        <v>0.5</v>
      </c>
      <c r="D996" s="57" t="s">
        <v>427</v>
      </c>
      <c r="E996" s="57" t="str">
        <f>VLOOKUP(D996,tblProjekt[],2,FALSE)</f>
        <v>Calculator übergreifend</v>
      </c>
      <c r="F996" s="58">
        <v>212</v>
      </c>
      <c r="G996" s="58"/>
      <c r="H996" s="58"/>
      <c r="I996" s="58"/>
      <c r="J996" s="58"/>
      <c r="K996" s="58"/>
      <c r="L996" s="59" t="s">
        <v>1067</v>
      </c>
    </row>
    <row r="997" spans="2:12" ht="24" x14ac:dyDescent="0.2">
      <c r="B997" s="55">
        <v>42308</v>
      </c>
      <c r="C997" s="56">
        <v>3.5</v>
      </c>
      <c r="D997" s="57" t="s">
        <v>427</v>
      </c>
      <c r="E997" s="57" t="str">
        <f>VLOOKUP(D997,tblProjekt[],2,FALSE)</f>
        <v>Calculator übergreifend</v>
      </c>
      <c r="F997" s="58">
        <v>215</v>
      </c>
      <c r="G997" s="58"/>
      <c r="H997" s="58"/>
      <c r="I997" s="58"/>
      <c r="J997" s="58"/>
      <c r="K997" s="58"/>
      <c r="L997" s="59" t="s">
        <v>1066</v>
      </c>
    </row>
    <row r="998" spans="2:12" x14ac:dyDescent="0.2">
      <c r="B998" s="55">
        <v>42309</v>
      </c>
      <c r="C998" s="56">
        <v>8</v>
      </c>
      <c r="D998" s="57" t="s">
        <v>84</v>
      </c>
      <c r="E998" s="57" t="str">
        <f>VLOOKUP(D998,tblProjekt[],2,FALSE)</f>
        <v>Infrastruktur cognovo</v>
      </c>
      <c r="F998" s="58"/>
      <c r="G998" s="58"/>
      <c r="H998" s="58"/>
      <c r="I998" s="58"/>
      <c r="J998" s="58"/>
      <c r="K998" s="58"/>
      <c r="L998" s="59" t="s">
        <v>1068</v>
      </c>
    </row>
    <row r="999" spans="2:12" x14ac:dyDescent="0.2">
      <c r="B999" s="55">
        <v>42310</v>
      </c>
      <c r="C999" s="56">
        <v>1.5</v>
      </c>
      <c r="D999" s="57" t="s">
        <v>84</v>
      </c>
      <c r="E999" s="57" t="str">
        <f>VLOOKUP(D999,tblProjekt[],2,FALSE)</f>
        <v>Infrastruktur cognovo</v>
      </c>
      <c r="F999" s="58"/>
      <c r="G999" s="58"/>
      <c r="H999" s="58"/>
      <c r="I999" s="58"/>
      <c r="J999" s="58"/>
      <c r="K999" s="58"/>
      <c r="L999" s="59" t="s">
        <v>1069</v>
      </c>
    </row>
    <row r="1000" spans="2:12" ht="24" x14ac:dyDescent="0.2">
      <c r="B1000" s="55">
        <v>42310</v>
      </c>
      <c r="C1000" s="56">
        <v>0.5</v>
      </c>
      <c r="D1000" s="57" t="s">
        <v>427</v>
      </c>
      <c r="E1000" s="57" t="str">
        <f>VLOOKUP(D1000,tblProjekt[],2,FALSE)</f>
        <v>Calculator übergreifend</v>
      </c>
      <c r="F1000" s="58">
        <v>213</v>
      </c>
      <c r="G1000" s="58"/>
      <c r="H1000" s="58"/>
      <c r="I1000" s="58"/>
      <c r="J1000" s="58"/>
      <c r="K1000" s="58"/>
      <c r="L1000" s="59" t="s">
        <v>1070</v>
      </c>
    </row>
    <row r="1001" spans="2:12" ht="24" x14ac:dyDescent="0.2">
      <c r="B1001" s="55">
        <v>42310</v>
      </c>
      <c r="C1001" s="56">
        <v>1.5</v>
      </c>
      <c r="D1001" s="57" t="s">
        <v>969</v>
      </c>
      <c r="E1001" s="57" t="str">
        <f>VLOOKUP(D1001,tblProjekt[],2,FALSE)</f>
        <v>Calculator Österreich, allgemein</v>
      </c>
      <c r="F1001" s="58"/>
      <c r="G1001" s="58"/>
      <c r="H1001" s="58"/>
      <c r="I1001" s="58"/>
      <c r="J1001" s="58"/>
      <c r="K1001" s="58"/>
      <c r="L1001" s="59" t="s">
        <v>1071</v>
      </c>
    </row>
    <row r="1002" spans="2:12" ht="36" x14ac:dyDescent="0.2">
      <c r="B1002" s="55">
        <v>42311</v>
      </c>
      <c r="C1002" s="56">
        <v>1.5</v>
      </c>
      <c r="D1002" s="57" t="s">
        <v>337</v>
      </c>
      <c r="E1002" s="57" t="str">
        <f>VLOOKUP(D1002,tblProjekt[],2,FALSE)</f>
        <v>Klosterfrau National</v>
      </c>
      <c r="F1002" s="58">
        <v>115</v>
      </c>
      <c r="G1002" s="58"/>
      <c r="H1002" s="58"/>
      <c r="I1002" s="58"/>
      <c r="J1002" s="58"/>
      <c r="K1002" s="58"/>
      <c r="L1002" s="59" t="s">
        <v>1072</v>
      </c>
    </row>
    <row r="1003" spans="2:12" ht="48" x14ac:dyDescent="0.2">
      <c r="B1003" s="55">
        <v>42311</v>
      </c>
      <c r="C1003" s="56">
        <v>2</v>
      </c>
      <c r="D1003" s="57" t="s">
        <v>969</v>
      </c>
      <c r="E1003" s="57" t="str">
        <f>VLOOKUP(D1003,tblProjekt[],2,FALSE)</f>
        <v>Calculator Österreich, allgemein</v>
      </c>
      <c r="F1003" s="58"/>
      <c r="G1003" s="58"/>
      <c r="H1003" s="58"/>
      <c r="I1003" s="58"/>
      <c r="J1003" s="58"/>
      <c r="K1003" s="58"/>
      <c r="L1003" s="59" t="s">
        <v>1073</v>
      </c>
    </row>
    <row r="1004" spans="2:12" x14ac:dyDescent="0.2">
      <c r="B1004" s="55">
        <v>42311</v>
      </c>
      <c r="C1004" s="56">
        <v>1</v>
      </c>
      <c r="D1004" s="57" t="s">
        <v>427</v>
      </c>
      <c r="E1004" s="57" t="str">
        <f>VLOOKUP(D1004,tblProjekt[],2,FALSE)</f>
        <v>Calculator übergreifend</v>
      </c>
      <c r="F1004" s="58"/>
      <c r="G1004" s="58"/>
      <c r="H1004" s="58"/>
      <c r="I1004" s="58"/>
      <c r="J1004" s="58"/>
      <c r="K1004" s="58"/>
      <c r="L1004" s="59" t="s">
        <v>1074</v>
      </c>
    </row>
    <row r="1005" spans="2:12" x14ac:dyDescent="0.2">
      <c r="B1005" s="55">
        <v>42311</v>
      </c>
      <c r="C1005" s="56">
        <v>0.5</v>
      </c>
      <c r="D1005" s="57" t="s">
        <v>17</v>
      </c>
      <c r="E1005" s="57" t="str">
        <f>VLOOKUP(D1005,tblProjekt[],2,FALSE)</f>
        <v>Powerspreadsheet Win7</v>
      </c>
      <c r="F1005" s="58"/>
      <c r="G1005" s="58"/>
      <c r="H1005" s="58"/>
      <c r="I1005" s="58"/>
      <c r="J1005" s="58"/>
      <c r="K1005" s="58"/>
      <c r="L1005" s="59" t="s">
        <v>1074</v>
      </c>
    </row>
    <row r="1006" spans="2:12" x14ac:dyDescent="0.2">
      <c r="B1006" s="55">
        <v>42311</v>
      </c>
      <c r="C1006" s="56">
        <v>0.5</v>
      </c>
      <c r="D1006" s="57" t="s">
        <v>969</v>
      </c>
      <c r="E1006" s="57" t="str">
        <f>VLOOKUP(D1006,tblProjekt[],2,FALSE)</f>
        <v>Calculator Österreich, allgemein</v>
      </c>
      <c r="F1006" s="58"/>
      <c r="G1006" s="58"/>
      <c r="H1006" s="58"/>
      <c r="I1006" s="58"/>
      <c r="J1006" s="58"/>
      <c r="K1006" s="58"/>
      <c r="L1006" s="59" t="s">
        <v>1074</v>
      </c>
    </row>
    <row r="1007" spans="2:12" x14ac:dyDescent="0.2">
      <c r="B1007" s="55">
        <v>42311</v>
      </c>
      <c r="C1007" s="56">
        <v>0.25</v>
      </c>
      <c r="D1007" s="57" t="s">
        <v>1002</v>
      </c>
      <c r="E1007" s="57" t="str">
        <f>VLOOKUP(D1007,tblProjekt[],2,FALSE)</f>
        <v>Produktionsportal 3</v>
      </c>
      <c r="F1007" s="58"/>
      <c r="G1007" s="58"/>
      <c r="H1007" s="58"/>
      <c r="I1007" s="58"/>
      <c r="J1007" s="58"/>
      <c r="K1007" s="58"/>
      <c r="L1007" s="59" t="s">
        <v>1074</v>
      </c>
    </row>
    <row r="1008" spans="2:12" x14ac:dyDescent="0.2">
      <c r="B1008" s="55">
        <v>42311</v>
      </c>
      <c r="C1008" s="56">
        <v>0.25</v>
      </c>
      <c r="D1008" s="57" t="s">
        <v>84</v>
      </c>
      <c r="E1008" s="57" t="str">
        <f>VLOOKUP(D1008,tblProjekt[],2,FALSE)</f>
        <v>Infrastruktur cognovo</v>
      </c>
      <c r="F1008" s="58"/>
      <c r="G1008" s="58"/>
      <c r="H1008" s="58"/>
      <c r="I1008" s="58"/>
      <c r="J1008" s="58"/>
      <c r="K1008" s="58"/>
      <c r="L1008" s="59" t="s">
        <v>1074</v>
      </c>
    </row>
    <row r="1009" spans="2:12" ht="24" x14ac:dyDescent="0.2">
      <c r="B1009" s="55">
        <v>42311</v>
      </c>
      <c r="C1009" s="56">
        <v>1.25</v>
      </c>
      <c r="D1009" s="57" t="s">
        <v>427</v>
      </c>
      <c r="E1009" s="57" t="str">
        <f>VLOOKUP(D1009,tblProjekt[],2,FALSE)</f>
        <v>Calculator übergreifend</v>
      </c>
      <c r="F1009" s="58">
        <v>213</v>
      </c>
      <c r="G1009" s="58"/>
      <c r="H1009" s="58"/>
      <c r="I1009" s="58"/>
      <c r="J1009" s="58"/>
      <c r="K1009" s="58"/>
      <c r="L1009" s="59" t="s">
        <v>1075</v>
      </c>
    </row>
    <row r="1010" spans="2:12" x14ac:dyDescent="0.2">
      <c r="B1010" s="55">
        <v>42313</v>
      </c>
      <c r="C1010" s="56">
        <v>0.5</v>
      </c>
      <c r="D1010" s="57" t="s">
        <v>969</v>
      </c>
      <c r="E1010" s="57" t="str">
        <f>VLOOKUP(D1010,tblProjekt[],2,FALSE)</f>
        <v>Calculator Österreich, allgemein</v>
      </c>
      <c r="F1010" s="58">
        <v>1</v>
      </c>
      <c r="G1010" s="58"/>
      <c r="H1010" s="58"/>
      <c r="I1010" s="58"/>
      <c r="J1010" s="58"/>
      <c r="K1010" s="58"/>
      <c r="L1010" s="59" t="s">
        <v>1076</v>
      </c>
    </row>
    <row r="1011" spans="2:12" x14ac:dyDescent="0.2">
      <c r="B1011" s="55">
        <v>42320</v>
      </c>
      <c r="C1011" s="56">
        <v>0.25</v>
      </c>
      <c r="D1011" s="57" t="s">
        <v>84</v>
      </c>
      <c r="E1011" s="57" t="str">
        <f>VLOOKUP(D1011,tblProjekt[],2,FALSE)</f>
        <v>Infrastruktur cognovo</v>
      </c>
      <c r="F1011" s="58"/>
      <c r="G1011" s="58"/>
      <c r="H1011" s="58"/>
      <c r="I1011" s="58"/>
      <c r="J1011" s="58"/>
      <c r="K1011" s="58"/>
      <c r="L1011" s="59" t="s">
        <v>1077</v>
      </c>
    </row>
    <row r="1012" spans="2:12" x14ac:dyDescent="0.2">
      <c r="B1012" s="55">
        <v>42320</v>
      </c>
      <c r="C1012" s="56">
        <v>1</v>
      </c>
      <c r="D1012" s="57" t="s">
        <v>84</v>
      </c>
      <c r="E1012" s="57" t="str">
        <f>VLOOKUP(D1012,tblProjekt[],2,FALSE)</f>
        <v>Infrastruktur cognovo</v>
      </c>
      <c r="F1012" s="58"/>
      <c r="G1012" s="58"/>
      <c r="H1012" s="58"/>
      <c r="I1012" s="58"/>
      <c r="J1012" s="58"/>
      <c r="K1012" s="58"/>
      <c r="L1012" s="59" t="s">
        <v>223</v>
      </c>
    </row>
    <row r="1013" spans="2:12" x14ac:dyDescent="0.2">
      <c r="B1013" s="55">
        <v>42320</v>
      </c>
      <c r="C1013" s="56">
        <v>0.75</v>
      </c>
      <c r="D1013" s="57" t="s">
        <v>84</v>
      </c>
      <c r="E1013" s="57" t="str">
        <f>VLOOKUP(D1013,tblProjekt[],2,FALSE)</f>
        <v>Infrastruktur cognovo</v>
      </c>
      <c r="F1013" s="58"/>
      <c r="G1013" s="58"/>
      <c r="H1013" s="58"/>
      <c r="I1013" s="58"/>
      <c r="J1013" s="58"/>
      <c r="K1013" s="58"/>
      <c r="L1013" s="59" t="s">
        <v>1078</v>
      </c>
    </row>
    <row r="1014" spans="2:12" ht="24" x14ac:dyDescent="0.2">
      <c r="B1014" s="55">
        <v>42320</v>
      </c>
      <c r="C1014" s="56">
        <v>1.25</v>
      </c>
      <c r="D1014" s="57" t="s">
        <v>55</v>
      </c>
      <c r="E1014" s="57" t="str">
        <f>VLOOKUP(D1014,tblProjekt[],2,FALSE)</f>
        <v>Biomedica report</v>
      </c>
      <c r="F1014" s="58">
        <v>129</v>
      </c>
      <c r="G1014" s="58"/>
      <c r="H1014" s="58"/>
      <c r="I1014" s="58"/>
      <c r="J1014" s="58"/>
      <c r="K1014" s="58"/>
      <c r="L1014" s="59" t="s">
        <v>1079</v>
      </c>
    </row>
    <row r="1015" spans="2:12" ht="36" x14ac:dyDescent="0.2">
      <c r="B1015" s="55">
        <v>42320</v>
      </c>
      <c r="C1015" s="56">
        <v>1</v>
      </c>
      <c r="D1015" s="57" t="s">
        <v>337</v>
      </c>
      <c r="E1015" s="57" t="str">
        <f>VLOOKUP(D1015,tblProjekt[],2,FALSE)</f>
        <v>Klosterfrau National</v>
      </c>
      <c r="F1015" s="58">
        <v>115</v>
      </c>
      <c r="G1015" s="58"/>
      <c r="H1015" s="58"/>
      <c r="I1015" s="58"/>
      <c r="J1015" s="58"/>
      <c r="K1015" s="58"/>
      <c r="L1015" s="59" t="s">
        <v>1080</v>
      </c>
    </row>
    <row r="1016" spans="2:12" ht="24" x14ac:dyDescent="0.2">
      <c r="B1016" s="55">
        <v>42320</v>
      </c>
      <c r="C1016" s="56">
        <v>0.5</v>
      </c>
      <c r="D1016" s="57" t="s">
        <v>84</v>
      </c>
      <c r="E1016" s="57" t="str">
        <f>VLOOKUP(D1016,tblProjekt[],2,FALSE)</f>
        <v>Infrastruktur cognovo</v>
      </c>
      <c r="F1016" s="58"/>
      <c r="G1016" s="58"/>
      <c r="H1016" s="58"/>
      <c r="I1016" s="58"/>
      <c r="J1016" s="58"/>
      <c r="K1016" s="58"/>
      <c r="L1016" s="59" t="s">
        <v>1081</v>
      </c>
    </row>
    <row r="1017" spans="2:12" ht="24" x14ac:dyDescent="0.2">
      <c r="B1017" s="55">
        <v>42320</v>
      </c>
      <c r="C1017" s="56">
        <v>2</v>
      </c>
      <c r="D1017" s="57" t="s">
        <v>969</v>
      </c>
      <c r="E1017" s="57" t="str">
        <f>VLOOKUP(D1017,tblProjekt[],2,FALSE)</f>
        <v>Calculator Österreich, allgemein</v>
      </c>
      <c r="F1017" s="58"/>
      <c r="G1017" s="58"/>
      <c r="H1017" s="58"/>
      <c r="I1017" s="58"/>
      <c r="J1017" s="58"/>
      <c r="K1017" s="58"/>
      <c r="L1017" s="59" t="s">
        <v>1082</v>
      </c>
    </row>
    <row r="1018" spans="2:12" ht="24" x14ac:dyDescent="0.2">
      <c r="B1018" s="55">
        <v>42320</v>
      </c>
      <c r="C1018" s="56">
        <v>0.5</v>
      </c>
      <c r="D1018" s="57" t="s">
        <v>969</v>
      </c>
      <c r="E1018" s="57" t="str">
        <f>VLOOKUP(D1018,tblProjekt[],2,FALSE)</f>
        <v>Calculator Österreich, allgemein</v>
      </c>
      <c r="F1018" s="58">
        <v>1</v>
      </c>
      <c r="G1018" s="58"/>
      <c r="H1018" s="58"/>
      <c r="I1018" s="58"/>
      <c r="J1018" s="58"/>
      <c r="K1018" s="58"/>
      <c r="L1018" s="59" t="s">
        <v>1083</v>
      </c>
    </row>
    <row r="1019" spans="2:12" x14ac:dyDescent="0.2">
      <c r="B1019" s="55">
        <v>42321</v>
      </c>
      <c r="C1019" s="56">
        <v>3</v>
      </c>
      <c r="D1019" s="57" t="s">
        <v>969</v>
      </c>
      <c r="E1019" s="57" t="str">
        <f>VLOOKUP(D1019,tblProjekt[],2,FALSE)</f>
        <v>Calculator Österreich, allgemein</v>
      </c>
      <c r="F1019" s="72" t="s">
        <v>1084</v>
      </c>
      <c r="G1019" s="58"/>
      <c r="H1019" s="58"/>
      <c r="I1019" s="58"/>
      <c r="J1019" s="58"/>
      <c r="K1019" s="58"/>
      <c r="L1019" s="59" t="s">
        <v>1085</v>
      </c>
    </row>
    <row r="1020" spans="2:12" ht="24" x14ac:dyDescent="0.2">
      <c r="B1020" s="55">
        <v>42321</v>
      </c>
      <c r="C1020" s="56">
        <v>1.75</v>
      </c>
      <c r="D1020" s="57" t="s">
        <v>55</v>
      </c>
      <c r="E1020" s="57" t="str">
        <f>VLOOKUP(D1020,tblProjekt[],2,FALSE)</f>
        <v>Biomedica report</v>
      </c>
      <c r="F1020" s="58">
        <v>129</v>
      </c>
      <c r="G1020" s="58"/>
      <c r="H1020" s="58"/>
      <c r="I1020" s="58"/>
      <c r="J1020" s="58"/>
      <c r="K1020" s="58"/>
      <c r="L1020" s="59" t="s">
        <v>1086</v>
      </c>
    </row>
    <row r="1021" spans="2:12" ht="36" x14ac:dyDescent="0.2">
      <c r="B1021" s="55">
        <v>42321</v>
      </c>
      <c r="C1021" s="56">
        <v>1.5</v>
      </c>
      <c r="D1021" s="57" t="s">
        <v>84</v>
      </c>
      <c r="E1021" s="57" t="str">
        <f>VLOOKUP(D1021,tblProjekt[],2,FALSE)</f>
        <v>Infrastruktur cognovo</v>
      </c>
      <c r="F1021" s="58"/>
      <c r="G1021" s="58"/>
      <c r="H1021" s="58"/>
      <c r="I1021" s="58"/>
      <c r="J1021" s="58"/>
      <c r="K1021" s="58"/>
      <c r="L1021" s="59" t="s">
        <v>1087</v>
      </c>
    </row>
    <row r="1022" spans="2:12" x14ac:dyDescent="0.2">
      <c r="B1022" s="55">
        <v>42327</v>
      </c>
      <c r="C1022" s="56">
        <v>0.5</v>
      </c>
      <c r="D1022" s="57" t="s">
        <v>84</v>
      </c>
      <c r="E1022" s="57" t="str">
        <f>VLOOKUP(D1022,tblProjekt[],2,FALSE)</f>
        <v>Infrastruktur cognovo</v>
      </c>
      <c r="F1022" s="58"/>
      <c r="G1022" s="58"/>
      <c r="H1022" s="58"/>
      <c r="I1022" s="58"/>
      <c r="J1022" s="58"/>
      <c r="K1022" s="58"/>
      <c r="L1022" s="59" t="s">
        <v>223</v>
      </c>
    </row>
    <row r="1023" spans="2:12" x14ac:dyDescent="0.2">
      <c r="B1023" s="55">
        <v>42327</v>
      </c>
      <c r="C1023" s="56">
        <v>0.5</v>
      </c>
      <c r="D1023" s="57" t="s">
        <v>84</v>
      </c>
      <c r="E1023" s="57" t="str">
        <f>VLOOKUP(D1023,tblProjekt[],2,FALSE)</f>
        <v>Infrastruktur cognovo</v>
      </c>
      <c r="F1023" s="58"/>
      <c r="G1023" s="58"/>
      <c r="H1023" s="58"/>
      <c r="I1023" s="58"/>
      <c r="J1023" s="58"/>
      <c r="K1023" s="58"/>
      <c r="L1023" s="59" t="s">
        <v>1078</v>
      </c>
    </row>
    <row r="1024" spans="2:12" x14ac:dyDescent="0.2">
      <c r="B1024" s="55">
        <v>42327</v>
      </c>
      <c r="C1024" s="56">
        <v>1.5</v>
      </c>
      <c r="D1024" s="57" t="s">
        <v>84</v>
      </c>
      <c r="E1024" s="57" t="str">
        <f>VLOOKUP(D1024,tblProjekt[],2,FALSE)</f>
        <v>Infrastruktur cognovo</v>
      </c>
      <c r="F1024" s="58"/>
      <c r="G1024" s="58"/>
      <c r="H1024" s="58"/>
      <c r="I1024" s="58"/>
      <c r="J1024" s="58"/>
      <c r="K1024" s="58"/>
      <c r="L1024" s="59" t="s">
        <v>1088</v>
      </c>
    </row>
    <row r="1025" spans="2:12" ht="24" x14ac:dyDescent="0.2">
      <c r="B1025" s="55">
        <v>42327</v>
      </c>
      <c r="C1025" s="56">
        <v>3.75</v>
      </c>
      <c r="D1025" s="57" t="s">
        <v>17</v>
      </c>
      <c r="E1025" s="57" t="str">
        <f>VLOOKUP(D1025,tblProjekt[],2,FALSE)</f>
        <v>Powerspreadsheet Win7</v>
      </c>
      <c r="F1025" s="58"/>
      <c r="G1025" s="58"/>
      <c r="H1025" s="58"/>
      <c r="I1025" s="58"/>
      <c r="J1025" s="58"/>
      <c r="K1025" s="58"/>
      <c r="L1025" s="59" t="s">
        <v>1089</v>
      </c>
    </row>
    <row r="1026" spans="2:12" x14ac:dyDescent="0.2">
      <c r="B1026" s="55">
        <v>42327</v>
      </c>
      <c r="C1026" s="56">
        <v>0.25</v>
      </c>
      <c r="D1026" s="57" t="s">
        <v>63</v>
      </c>
      <c r="E1026" s="57" t="str">
        <f>VLOOKUP(D1026,tblProjekt[],2,FALSE)</f>
        <v>Klosterfrau Mass Market</v>
      </c>
      <c r="F1026" s="58" t="s">
        <v>1090</v>
      </c>
      <c r="G1026" s="58"/>
      <c r="H1026" s="58"/>
      <c r="I1026" s="58"/>
      <c r="J1026" s="58"/>
      <c r="K1026" s="58"/>
      <c r="L1026" s="59" t="s">
        <v>1091</v>
      </c>
    </row>
    <row r="1027" spans="2:12" x14ac:dyDescent="0.2">
      <c r="B1027" s="55">
        <v>42327</v>
      </c>
      <c r="C1027" s="56">
        <v>0.25</v>
      </c>
      <c r="D1027" s="57" t="s">
        <v>969</v>
      </c>
      <c r="E1027" s="57" t="str">
        <f>VLOOKUP(D1027,tblProjekt[],2,FALSE)</f>
        <v>Calculator Österreich, allgemein</v>
      </c>
      <c r="F1027" s="58">
        <v>8</v>
      </c>
      <c r="G1027" s="58"/>
      <c r="H1027" s="58"/>
      <c r="I1027" s="58"/>
      <c r="J1027" s="58"/>
      <c r="K1027" s="58"/>
      <c r="L1027" s="59" t="s">
        <v>231</v>
      </c>
    </row>
    <row r="1028" spans="2:12" ht="24" x14ac:dyDescent="0.2">
      <c r="B1028" s="55">
        <v>42328</v>
      </c>
      <c r="C1028" s="56">
        <v>1.75</v>
      </c>
      <c r="D1028" s="57" t="s">
        <v>6</v>
      </c>
      <c r="E1028" s="57" t="str">
        <f>VLOOKUP(D1028,tblProjekt[],2,FALSE)</f>
        <v>Produktionsportal 2</v>
      </c>
      <c r="F1028" s="58"/>
      <c r="G1028" s="58"/>
      <c r="H1028" s="58"/>
      <c r="I1028" s="58"/>
      <c r="J1028" s="58"/>
      <c r="K1028" s="58"/>
      <c r="L1028" s="59" t="s">
        <v>1092</v>
      </c>
    </row>
    <row r="1029" spans="2:12" ht="24" x14ac:dyDescent="0.2">
      <c r="B1029" s="55">
        <v>42328</v>
      </c>
      <c r="C1029" s="56">
        <v>0.5</v>
      </c>
      <c r="D1029" s="57" t="s">
        <v>17</v>
      </c>
      <c r="E1029" s="57" t="str">
        <f>VLOOKUP(D1029,tblProjekt[],2,FALSE)</f>
        <v>Powerspreadsheet Win7</v>
      </c>
      <c r="F1029" s="58"/>
      <c r="G1029" s="58"/>
      <c r="H1029" s="58"/>
      <c r="I1029" s="58"/>
      <c r="J1029" s="58"/>
      <c r="K1029" s="58"/>
      <c r="L1029" s="59" t="s">
        <v>1093</v>
      </c>
    </row>
    <row r="1030" spans="2:12" ht="24" x14ac:dyDescent="0.2">
      <c r="B1030" s="55">
        <v>42328</v>
      </c>
      <c r="C1030" s="56">
        <v>1.5</v>
      </c>
      <c r="D1030" s="57" t="s">
        <v>337</v>
      </c>
      <c r="E1030" s="57" t="str">
        <f>VLOOKUP(D1030,tblProjekt[],2,FALSE)</f>
        <v>Klosterfrau National</v>
      </c>
      <c r="F1030" s="58">
        <v>115</v>
      </c>
      <c r="G1030" s="58"/>
      <c r="H1030" s="58"/>
      <c r="I1030" s="58"/>
      <c r="J1030" s="58"/>
      <c r="K1030" s="58"/>
      <c r="L1030" s="59" t="s">
        <v>1094</v>
      </c>
    </row>
    <row r="1031" spans="2:12" x14ac:dyDescent="0.2">
      <c r="B1031" s="55">
        <v>42328</v>
      </c>
      <c r="C1031" s="56">
        <v>2.75</v>
      </c>
      <c r="D1031" s="57" t="s">
        <v>969</v>
      </c>
      <c r="E1031" s="57" t="str">
        <f>VLOOKUP(D1031,tblProjekt[],2,FALSE)</f>
        <v>Calculator Österreich, allgemein</v>
      </c>
      <c r="F1031" s="58">
        <v>4</v>
      </c>
      <c r="G1031" s="58"/>
      <c r="H1031" s="58"/>
      <c r="I1031" s="58"/>
      <c r="J1031" s="58"/>
      <c r="K1031" s="58"/>
      <c r="L1031" s="59" t="s">
        <v>1095</v>
      </c>
    </row>
    <row r="1032" spans="2:12" ht="24" x14ac:dyDescent="0.2">
      <c r="B1032" s="55">
        <v>42328</v>
      </c>
      <c r="C1032" s="56">
        <v>0.25</v>
      </c>
      <c r="D1032" s="57" t="s">
        <v>59</v>
      </c>
      <c r="E1032" s="57" t="str">
        <f>VLOOKUP(D1032,tblProjekt[],2,FALSE)</f>
        <v>Stada reports</v>
      </c>
      <c r="F1032" s="58">
        <v>122</v>
      </c>
      <c r="G1032" s="58"/>
      <c r="H1032" s="58"/>
      <c r="I1032" s="58"/>
      <c r="J1032" s="58"/>
      <c r="K1032" s="58"/>
      <c r="L1032" s="59" t="s">
        <v>1098</v>
      </c>
    </row>
    <row r="1033" spans="2:12" x14ac:dyDescent="0.2">
      <c r="B1033" s="55">
        <v>42329</v>
      </c>
      <c r="C1033" s="56">
        <v>1.5</v>
      </c>
      <c r="D1033" s="57" t="s">
        <v>969</v>
      </c>
      <c r="E1033" s="57" t="str">
        <f>VLOOKUP(D1033,tblProjekt[],2,FALSE)</f>
        <v>Calculator Österreich, allgemein</v>
      </c>
      <c r="F1033" s="58">
        <v>4</v>
      </c>
      <c r="G1033" s="58"/>
      <c r="H1033" s="58"/>
      <c r="I1033" s="58"/>
      <c r="J1033" s="58"/>
      <c r="K1033" s="58"/>
      <c r="L1033" s="59" t="s">
        <v>1095</v>
      </c>
    </row>
    <row r="1034" spans="2:12" x14ac:dyDescent="0.2">
      <c r="B1034" s="55">
        <v>42329</v>
      </c>
      <c r="C1034" s="56">
        <v>0.75</v>
      </c>
      <c r="D1034" s="57" t="s">
        <v>969</v>
      </c>
      <c r="E1034" s="57" t="str">
        <f>VLOOKUP(D1034,tblProjekt[],2,FALSE)</f>
        <v>Calculator Österreich, allgemein</v>
      </c>
      <c r="F1034" s="58">
        <v>6</v>
      </c>
      <c r="G1034" s="58"/>
      <c r="H1034" s="58"/>
      <c r="I1034" s="58"/>
      <c r="J1034" s="58"/>
      <c r="K1034" s="58"/>
      <c r="L1034" s="59" t="s">
        <v>1096</v>
      </c>
    </row>
    <row r="1035" spans="2:12" x14ac:dyDescent="0.2">
      <c r="B1035" s="55">
        <v>42329</v>
      </c>
      <c r="C1035" s="56">
        <v>3</v>
      </c>
      <c r="D1035" s="57" t="s">
        <v>969</v>
      </c>
      <c r="E1035" s="57" t="str">
        <f>VLOOKUP(D1035,tblProjekt[],2,FALSE)</f>
        <v>Calculator Österreich, allgemein</v>
      </c>
      <c r="F1035" s="58">
        <v>5</v>
      </c>
      <c r="G1035" s="58"/>
      <c r="H1035" s="58"/>
      <c r="I1035" s="58"/>
      <c r="J1035" s="58"/>
      <c r="K1035" s="58"/>
      <c r="L1035" s="59" t="s">
        <v>1097</v>
      </c>
    </row>
    <row r="1036" spans="2:12" ht="24" x14ac:dyDescent="0.2">
      <c r="B1036" s="55">
        <v>42330</v>
      </c>
      <c r="C1036" s="56">
        <v>1</v>
      </c>
      <c r="D1036" s="57" t="s">
        <v>59</v>
      </c>
      <c r="E1036" s="57" t="str">
        <f>VLOOKUP(D1036,tblProjekt[],2,FALSE)</f>
        <v>Stada reports</v>
      </c>
      <c r="F1036" s="58">
        <v>122</v>
      </c>
      <c r="G1036" s="58"/>
      <c r="H1036" s="58"/>
      <c r="I1036" s="58"/>
      <c r="J1036" s="58"/>
      <c r="K1036" s="58"/>
      <c r="L1036" s="59" t="s">
        <v>1099</v>
      </c>
    </row>
    <row r="1037" spans="2:12" ht="24" x14ac:dyDescent="0.2">
      <c r="B1037" s="55">
        <v>42330</v>
      </c>
      <c r="C1037" s="56">
        <v>1</v>
      </c>
      <c r="D1037" s="57" t="s">
        <v>43</v>
      </c>
      <c r="E1037" s="57" t="str">
        <f>VLOOKUP(D1037,tblProjekt[],2,FALSE)</f>
        <v>DPMPSN Calculator</v>
      </c>
      <c r="F1037" s="58">
        <v>217</v>
      </c>
      <c r="G1037" s="58"/>
      <c r="H1037" s="58"/>
      <c r="I1037" s="58"/>
      <c r="J1037" s="58"/>
      <c r="K1037" s="58"/>
      <c r="L1037" s="59" t="s">
        <v>1100</v>
      </c>
    </row>
    <row r="1038" spans="2:12" x14ac:dyDescent="0.2">
      <c r="B1038" s="55">
        <v>42333</v>
      </c>
      <c r="C1038" s="56">
        <v>0.75</v>
      </c>
      <c r="D1038" s="57" t="s">
        <v>84</v>
      </c>
      <c r="E1038" s="57" t="str">
        <f>VLOOKUP(D1038,tblProjekt[],2,FALSE)</f>
        <v>Infrastruktur cognovo</v>
      </c>
      <c r="F1038" s="58"/>
      <c r="G1038" s="58"/>
      <c r="H1038" s="58"/>
      <c r="I1038" s="58"/>
      <c r="J1038" s="58"/>
      <c r="K1038" s="58"/>
      <c r="L1038" s="59" t="s">
        <v>223</v>
      </c>
    </row>
    <row r="1039" spans="2:12" x14ac:dyDescent="0.2">
      <c r="B1039" s="55">
        <v>42333</v>
      </c>
      <c r="C1039" s="56">
        <v>0.5</v>
      </c>
      <c r="D1039" s="57" t="s">
        <v>84</v>
      </c>
      <c r="E1039" s="57" t="str">
        <f>VLOOKUP(D1039,tblProjekt[],2,FALSE)</f>
        <v>Infrastruktur cognovo</v>
      </c>
      <c r="F1039" s="58"/>
      <c r="G1039" s="58"/>
      <c r="H1039" s="58"/>
      <c r="I1039" s="58"/>
      <c r="J1039" s="58"/>
      <c r="K1039" s="58"/>
      <c r="L1039" s="59" t="s">
        <v>1078</v>
      </c>
    </row>
    <row r="1040" spans="2:12" x14ac:dyDescent="0.2">
      <c r="B1040" s="55">
        <v>42333</v>
      </c>
      <c r="C1040" s="56">
        <v>0.75</v>
      </c>
      <c r="D1040" s="57" t="s">
        <v>969</v>
      </c>
      <c r="E1040" s="57" t="str">
        <f>VLOOKUP(D1040,tblProjekt[],2,FALSE)</f>
        <v>Calculator Österreich, allgemein</v>
      </c>
      <c r="F1040" s="58" t="s">
        <v>1101</v>
      </c>
      <c r="G1040" s="58"/>
      <c r="H1040" s="58"/>
      <c r="I1040" s="58"/>
      <c r="J1040" s="58"/>
      <c r="K1040" s="58"/>
      <c r="L1040" s="59" t="s">
        <v>1102</v>
      </c>
    </row>
    <row r="1041" spans="2:12" ht="24" x14ac:dyDescent="0.2">
      <c r="B1041" s="55">
        <v>42333</v>
      </c>
      <c r="C1041" s="56">
        <v>0.25</v>
      </c>
      <c r="D1041" s="57" t="s">
        <v>969</v>
      </c>
      <c r="E1041" s="57" t="str">
        <f>VLOOKUP(D1041,tblProjekt[],2,FALSE)</f>
        <v>Calculator Österreich, allgemein</v>
      </c>
      <c r="F1041" s="58"/>
      <c r="G1041" s="58"/>
      <c r="H1041" s="58"/>
      <c r="I1041" s="58"/>
      <c r="J1041" s="58"/>
      <c r="K1041" s="58"/>
      <c r="L1041" s="59" t="s">
        <v>1103</v>
      </c>
    </row>
    <row r="1042" spans="2:12" ht="24" x14ac:dyDescent="0.2">
      <c r="B1042" s="55">
        <v>42333</v>
      </c>
      <c r="C1042" s="56">
        <v>0.75</v>
      </c>
      <c r="D1042" s="57" t="s">
        <v>63</v>
      </c>
      <c r="E1042" s="57" t="str">
        <f>VLOOKUP(D1042,tblProjekt[],2,FALSE)</f>
        <v>Klosterfrau Mass Market</v>
      </c>
      <c r="F1042" s="58">
        <v>121</v>
      </c>
      <c r="G1042" s="58"/>
      <c r="H1042" s="58"/>
      <c r="I1042" s="58"/>
      <c r="J1042" s="58"/>
      <c r="K1042" s="58"/>
      <c r="L1042" s="59" t="s">
        <v>1104</v>
      </c>
    </row>
    <row r="1043" spans="2:12" ht="24" x14ac:dyDescent="0.2">
      <c r="B1043" s="55">
        <v>42333</v>
      </c>
      <c r="C1043" s="56">
        <v>0.5</v>
      </c>
      <c r="D1043" s="57" t="s">
        <v>63</v>
      </c>
      <c r="E1043" s="57" t="str">
        <f>VLOOKUP(D1043,tblProjekt[],2,FALSE)</f>
        <v>Klosterfrau Mass Market</v>
      </c>
      <c r="F1043" s="58">
        <v>120</v>
      </c>
      <c r="G1043" s="58"/>
      <c r="H1043" s="58"/>
      <c r="I1043" s="58"/>
      <c r="J1043" s="58"/>
      <c r="K1043" s="58"/>
      <c r="L1043" s="59" t="s">
        <v>1105</v>
      </c>
    </row>
    <row r="1044" spans="2:12" ht="24" x14ac:dyDescent="0.2">
      <c r="B1044" s="55">
        <v>42333</v>
      </c>
      <c r="C1044" s="56">
        <v>5.5</v>
      </c>
      <c r="D1044" s="57" t="s">
        <v>337</v>
      </c>
      <c r="E1044" s="57" t="str">
        <f>VLOOKUP(D1044,tblProjekt[],2,FALSE)</f>
        <v>Klosterfrau National</v>
      </c>
      <c r="F1044" s="58">
        <v>115</v>
      </c>
      <c r="G1044" s="58"/>
      <c r="H1044" s="58"/>
      <c r="I1044" s="58"/>
      <c r="J1044" s="58"/>
      <c r="K1044" s="58"/>
      <c r="L1044" s="59" t="s">
        <v>1106</v>
      </c>
    </row>
    <row r="1045" spans="2:12" ht="24" x14ac:dyDescent="0.2">
      <c r="B1045" s="55">
        <v>42333</v>
      </c>
      <c r="C1045" s="56">
        <v>1</v>
      </c>
      <c r="D1045" s="57" t="s">
        <v>59</v>
      </c>
      <c r="E1045" s="57" t="str">
        <f>VLOOKUP(D1045,tblProjekt[],2,FALSE)</f>
        <v>Stada reports</v>
      </c>
      <c r="F1045" s="58">
        <v>122</v>
      </c>
      <c r="G1045" s="58"/>
      <c r="H1045" s="58"/>
      <c r="I1045" s="58"/>
      <c r="J1045" s="58"/>
      <c r="K1045" s="58"/>
      <c r="L1045" s="59" t="s">
        <v>1107</v>
      </c>
    </row>
    <row r="1046" spans="2:12" ht="24" x14ac:dyDescent="0.2">
      <c r="B1046" s="55">
        <v>42334</v>
      </c>
      <c r="C1046" s="56">
        <v>2</v>
      </c>
      <c r="D1046" s="57" t="s">
        <v>337</v>
      </c>
      <c r="E1046" s="57" t="str">
        <f>VLOOKUP(D1046,tblProjekt[],2,FALSE)</f>
        <v>Klosterfrau National</v>
      </c>
      <c r="F1046" s="58">
        <v>115</v>
      </c>
      <c r="G1046" s="58"/>
      <c r="H1046" s="58"/>
      <c r="I1046" s="58"/>
      <c r="J1046" s="58"/>
      <c r="K1046" s="58"/>
      <c r="L1046" s="59" t="s">
        <v>1106</v>
      </c>
    </row>
    <row r="1047" spans="2:12" ht="24" x14ac:dyDescent="0.2">
      <c r="B1047" s="55">
        <v>42335</v>
      </c>
      <c r="C1047" s="56">
        <v>1</v>
      </c>
      <c r="D1047" s="57" t="s">
        <v>337</v>
      </c>
      <c r="E1047" s="57" t="str">
        <f>VLOOKUP(D1047,tblProjekt[],2,FALSE)</f>
        <v>Klosterfrau National</v>
      </c>
      <c r="F1047" s="58">
        <v>123</v>
      </c>
      <c r="G1047" s="58"/>
      <c r="H1047" s="58"/>
      <c r="I1047" s="58"/>
      <c r="J1047" s="58"/>
      <c r="K1047" s="58"/>
      <c r="L1047" s="59" t="s">
        <v>1112</v>
      </c>
    </row>
    <row r="1048" spans="2:12" x14ac:dyDescent="0.2">
      <c r="B1048" s="55">
        <v>42335</v>
      </c>
      <c r="C1048" s="56">
        <v>1.25</v>
      </c>
      <c r="D1048" s="57" t="s">
        <v>17</v>
      </c>
      <c r="E1048" s="57" t="str">
        <f>VLOOKUP(D1048,tblProjekt[],2,FALSE)</f>
        <v>Powerspreadsheet Win7</v>
      </c>
      <c r="F1048" s="58"/>
      <c r="G1048" s="58"/>
      <c r="H1048" s="58"/>
      <c r="I1048" s="58"/>
      <c r="J1048" s="58"/>
      <c r="K1048" s="58"/>
      <c r="L1048" s="59" t="s">
        <v>1108</v>
      </c>
    </row>
    <row r="1049" spans="2:12" ht="24" x14ac:dyDescent="0.2">
      <c r="B1049" s="55">
        <v>42335</v>
      </c>
      <c r="C1049" s="56">
        <v>0.25</v>
      </c>
      <c r="D1049" s="57" t="s">
        <v>427</v>
      </c>
      <c r="E1049" s="57" t="str">
        <f>VLOOKUP(D1049,tblProjekt[],2,FALSE)</f>
        <v>Calculator übergreifend</v>
      </c>
      <c r="F1049" s="58"/>
      <c r="G1049" s="58"/>
      <c r="H1049" s="58"/>
      <c r="I1049" s="58"/>
      <c r="J1049" s="58"/>
      <c r="K1049" s="58"/>
      <c r="L1049" s="59" t="s">
        <v>1109</v>
      </c>
    </row>
    <row r="1050" spans="2:12" ht="24" x14ac:dyDescent="0.2">
      <c r="B1050" s="55">
        <v>42335</v>
      </c>
      <c r="C1050" s="56">
        <v>0.75</v>
      </c>
      <c r="D1050" s="57" t="s">
        <v>59</v>
      </c>
      <c r="E1050" s="57" t="str">
        <f>VLOOKUP(D1050,tblProjekt[],2,FALSE)</f>
        <v>Stada reports</v>
      </c>
      <c r="F1050" s="58">
        <v>122</v>
      </c>
      <c r="G1050" s="58"/>
      <c r="H1050" s="58"/>
      <c r="I1050" s="58"/>
      <c r="J1050" s="58"/>
      <c r="K1050" s="58"/>
      <c r="L1050" s="59" t="s">
        <v>1110</v>
      </c>
    </row>
    <row r="1051" spans="2:12" ht="24" x14ac:dyDescent="0.2">
      <c r="B1051" s="55">
        <v>42335</v>
      </c>
      <c r="C1051" s="56">
        <v>2.5</v>
      </c>
      <c r="D1051" s="57" t="s">
        <v>339</v>
      </c>
      <c r="E1051" s="57" t="str">
        <f>VLOOKUP(D1051,tblProjekt[],2,FALSE)</f>
        <v>Klosterfrau Regio</v>
      </c>
      <c r="F1051" s="58">
        <v>115</v>
      </c>
      <c r="G1051" s="58"/>
      <c r="H1051" s="58"/>
      <c r="I1051" s="58"/>
      <c r="J1051" s="58"/>
      <c r="K1051" s="58"/>
      <c r="L1051" s="59" t="s">
        <v>1106</v>
      </c>
    </row>
    <row r="1052" spans="2:12" x14ac:dyDescent="0.2">
      <c r="B1052" s="55">
        <v>42335</v>
      </c>
      <c r="C1052" s="56">
        <v>0.25</v>
      </c>
      <c r="D1052" s="57" t="s">
        <v>339</v>
      </c>
      <c r="E1052" s="57" t="str">
        <f>VLOOKUP(D1052,tblProjekt[],2,FALSE)</f>
        <v>Klosterfrau Regio</v>
      </c>
      <c r="F1052" s="58">
        <v>123</v>
      </c>
      <c r="G1052" s="58"/>
      <c r="H1052" s="58"/>
      <c r="I1052" s="58"/>
      <c r="J1052" s="58"/>
      <c r="K1052" s="58"/>
      <c r="L1052" s="59" t="s">
        <v>1111</v>
      </c>
    </row>
    <row r="1053" spans="2:12" ht="24" x14ac:dyDescent="0.2">
      <c r="B1053" s="55">
        <v>42335</v>
      </c>
      <c r="C1053" s="56">
        <v>1</v>
      </c>
      <c r="D1053" s="57" t="s">
        <v>43</v>
      </c>
      <c r="E1053" s="57" t="str">
        <f>VLOOKUP(D1053,tblProjekt[],2,FALSE)</f>
        <v>DPMPSN Calculator</v>
      </c>
      <c r="F1053" s="58">
        <v>218</v>
      </c>
      <c r="G1053" s="58"/>
      <c r="H1053" s="58"/>
      <c r="I1053" s="58"/>
      <c r="J1053" s="58"/>
      <c r="K1053" s="58"/>
      <c r="L1053" s="59" t="s">
        <v>1113</v>
      </c>
    </row>
    <row r="1054" spans="2:12" x14ac:dyDescent="0.2">
      <c r="B1054" s="55">
        <v>42335</v>
      </c>
      <c r="C1054" s="56">
        <v>1</v>
      </c>
      <c r="D1054" s="57" t="s">
        <v>43</v>
      </c>
      <c r="E1054" s="57" t="str">
        <f>VLOOKUP(D1054,tblProjekt[],2,FALSE)</f>
        <v>DPMPSN Calculator</v>
      </c>
      <c r="F1054" s="58">
        <v>217.21799999999999</v>
      </c>
      <c r="G1054" s="58"/>
      <c r="H1054" s="58"/>
      <c r="I1054" s="58"/>
      <c r="J1054" s="58"/>
      <c r="K1054" s="58"/>
      <c r="L1054" s="59" t="s">
        <v>1114</v>
      </c>
    </row>
    <row r="1055" spans="2:12" x14ac:dyDescent="0.2">
      <c r="B1055" s="55">
        <v>42338</v>
      </c>
      <c r="C1055" s="56">
        <v>0.25</v>
      </c>
      <c r="D1055" s="57" t="s">
        <v>84</v>
      </c>
      <c r="E1055" s="57" t="str">
        <f>VLOOKUP(D1055,tblProjekt[],2,FALSE)</f>
        <v>Infrastruktur cognovo</v>
      </c>
      <c r="F1055" s="58"/>
      <c r="G1055" s="58"/>
      <c r="H1055" s="58"/>
      <c r="I1055" s="58"/>
      <c r="J1055" s="58"/>
      <c r="K1055" s="58"/>
      <c r="L1055" s="59" t="s">
        <v>1115</v>
      </c>
    </row>
    <row r="1056" spans="2:12" ht="48" x14ac:dyDescent="0.2">
      <c r="B1056" s="55">
        <v>42338</v>
      </c>
      <c r="C1056" s="56">
        <v>0.5</v>
      </c>
      <c r="D1056" s="57" t="s">
        <v>339</v>
      </c>
      <c r="E1056" s="57" t="str">
        <f>VLOOKUP(D1056,tblProjekt[],2,FALSE)</f>
        <v>Klosterfrau Regio</v>
      </c>
      <c r="F1056" s="58">
        <v>115</v>
      </c>
      <c r="G1056" s="58"/>
      <c r="H1056" s="58"/>
      <c r="I1056" s="58"/>
      <c r="J1056" s="58"/>
      <c r="K1056" s="58"/>
      <c r="L1056" s="59" t="s">
        <v>1116</v>
      </c>
    </row>
    <row r="1057" spans="2:12" ht="24" x14ac:dyDescent="0.2">
      <c r="B1057" s="55">
        <v>42338</v>
      </c>
      <c r="C1057" s="56">
        <v>0.75</v>
      </c>
      <c r="D1057" s="57" t="s">
        <v>84</v>
      </c>
      <c r="E1057" s="57" t="str">
        <f>VLOOKUP(D1057,tblProjekt[],2,FALSE)</f>
        <v>Infrastruktur cognovo</v>
      </c>
      <c r="F1057" s="58"/>
      <c r="G1057" s="58"/>
      <c r="H1057" s="58"/>
      <c r="I1057" s="58"/>
      <c r="J1057" s="58"/>
      <c r="K1057" s="58"/>
      <c r="L1057" s="59" t="s">
        <v>1117</v>
      </c>
    </row>
    <row r="1058" spans="2:12" x14ac:dyDescent="0.2">
      <c r="B1058" s="55">
        <v>42338</v>
      </c>
      <c r="C1058" s="56">
        <v>0.5</v>
      </c>
      <c r="D1058" s="57" t="s">
        <v>6</v>
      </c>
      <c r="E1058" s="57" t="str">
        <f>VLOOKUP(D1058,tblProjekt[],2,FALSE)</f>
        <v>Produktionsportal 2</v>
      </c>
      <c r="F1058" s="58" t="s">
        <v>1118</v>
      </c>
      <c r="G1058" s="58"/>
      <c r="H1058" s="58"/>
      <c r="I1058" s="58"/>
      <c r="J1058" s="58"/>
      <c r="K1058" s="58"/>
      <c r="L1058" s="59" t="s">
        <v>538</v>
      </c>
    </row>
    <row r="1059" spans="2:12" x14ac:dyDescent="0.2">
      <c r="B1059" s="55">
        <v>42338</v>
      </c>
      <c r="C1059" s="56">
        <v>0.25</v>
      </c>
      <c r="D1059" s="57" t="s">
        <v>43</v>
      </c>
      <c r="E1059" s="57" t="str">
        <f>VLOOKUP(D1059,tblProjekt[],2,FALSE)</f>
        <v>DPMPSN Calculator</v>
      </c>
      <c r="F1059" s="58">
        <v>217</v>
      </c>
      <c r="G1059" s="58"/>
      <c r="H1059" s="58"/>
      <c r="I1059" s="58"/>
      <c r="J1059" s="58"/>
      <c r="K1059" s="58"/>
      <c r="L1059" s="59" t="s">
        <v>1119</v>
      </c>
    </row>
    <row r="1060" spans="2:12" x14ac:dyDescent="0.2">
      <c r="B1060" s="55">
        <v>42341</v>
      </c>
      <c r="C1060" s="56">
        <v>0.25</v>
      </c>
      <c r="D1060" s="57" t="s">
        <v>84</v>
      </c>
      <c r="E1060" s="57" t="str">
        <f>VLOOKUP(D1060,tblProjekt[],2,FALSE)</f>
        <v>Infrastruktur cognovo</v>
      </c>
      <c r="F1060" s="58"/>
      <c r="G1060" s="58"/>
      <c r="H1060" s="58"/>
      <c r="I1060" s="58"/>
      <c r="J1060" s="58"/>
      <c r="K1060" s="58"/>
      <c r="L1060" s="59" t="s">
        <v>1120</v>
      </c>
    </row>
    <row r="1061" spans="2:12" x14ac:dyDescent="0.2">
      <c r="B1061" s="55">
        <v>42341</v>
      </c>
      <c r="C1061" s="56">
        <v>0.25</v>
      </c>
      <c r="D1061" s="57" t="s">
        <v>17</v>
      </c>
      <c r="E1061" s="57" t="str">
        <f>VLOOKUP(D1061,tblProjekt[],2,FALSE)</f>
        <v>Powerspreadsheet Win7</v>
      </c>
      <c r="F1061" s="58"/>
      <c r="G1061" s="58"/>
      <c r="H1061" s="58"/>
      <c r="I1061" s="58"/>
      <c r="J1061" s="58"/>
      <c r="K1061" s="58"/>
      <c r="L1061" s="59" t="s">
        <v>1121</v>
      </c>
    </row>
    <row r="1062" spans="2:12" x14ac:dyDescent="0.2">
      <c r="B1062" s="55">
        <v>42341</v>
      </c>
      <c r="C1062" s="56">
        <v>0.5</v>
      </c>
      <c r="D1062" s="57" t="s">
        <v>427</v>
      </c>
      <c r="E1062" s="57" t="str">
        <f>VLOOKUP(D1062,tblProjekt[],2,FALSE)</f>
        <v>Calculator übergreifend</v>
      </c>
      <c r="F1062" s="58"/>
      <c r="G1062" s="58"/>
      <c r="H1062" s="58"/>
      <c r="I1062" s="58"/>
      <c r="J1062" s="58"/>
      <c r="K1062" s="58"/>
      <c r="L1062" s="59" t="s">
        <v>1121</v>
      </c>
    </row>
    <row r="1063" spans="2:12" x14ac:dyDescent="0.2">
      <c r="B1063" s="55">
        <v>42341</v>
      </c>
      <c r="C1063" s="56">
        <v>0.5</v>
      </c>
      <c r="D1063" s="57" t="s">
        <v>969</v>
      </c>
      <c r="E1063" s="57" t="str">
        <f>VLOOKUP(D1063,tblProjekt[],2,FALSE)</f>
        <v>Calculator Österreich, allgemein</v>
      </c>
      <c r="F1063" s="58"/>
      <c r="G1063" s="58"/>
      <c r="H1063" s="58"/>
      <c r="I1063" s="58"/>
      <c r="J1063" s="58"/>
      <c r="K1063" s="58"/>
      <c r="L1063" s="59" t="s">
        <v>1121</v>
      </c>
    </row>
    <row r="1064" spans="2:12" x14ac:dyDescent="0.2">
      <c r="B1064" s="55">
        <v>42341</v>
      </c>
      <c r="C1064" s="56">
        <v>0.25</v>
      </c>
      <c r="D1064" s="57" t="s">
        <v>6</v>
      </c>
      <c r="E1064" s="57" t="str">
        <f>VLOOKUP(D1064,tblProjekt[],2,FALSE)</f>
        <v>Produktionsportal 2</v>
      </c>
      <c r="F1064" s="58"/>
      <c r="G1064" s="58"/>
      <c r="H1064" s="58"/>
      <c r="I1064" s="58"/>
      <c r="J1064" s="58"/>
      <c r="K1064" s="58"/>
      <c r="L1064" s="59" t="s">
        <v>1121</v>
      </c>
    </row>
    <row r="1065" spans="2:12" x14ac:dyDescent="0.2">
      <c r="B1065" s="55">
        <v>42341</v>
      </c>
      <c r="C1065" s="56">
        <v>0.25</v>
      </c>
      <c r="D1065" s="57" t="s">
        <v>84</v>
      </c>
      <c r="E1065" s="57" t="str">
        <f>VLOOKUP(D1065,tblProjekt[],2,FALSE)</f>
        <v>Infrastruktur cognovo</v>
      </c>
      <c r="F1065" s="58"/>
      <c r="G1065" s="58"/>
      <c r="H1065" s="58"/>
      <c r="I1065" s="58"/>
      <c r="J1065" s="58"/>
      <c r="K1065" s="58"/>
      <c r="L1065" s="59" t="s">
        <v>1121</v>
      </c>
    </row>
    <row r="1066" spans="2:12" ht="24" x14ac:dyDescent="0.2">
      <c r="B1066" s="55">
        <v>42341</v>
      </c>
      <c r="C1066" s="56">
        <v>4.75</v>
      </c>
      <c r="D1066" s="57" t="s">
        <v>43</v>
      </c>
      <c r="E1066" s="57" t="str">
        <f>VLOOKUP(D1066,tblProjekt[],2,FALSE)</f>
        <v>DPMPSN Calculator</v>
      </c>
      <c r="F1066" s="58">
        <v>217</v>
      </c>
      <c r="G1066" s="58"/>
      <c r="H1066" s="58"/>
      <c r="I1066" s="58"/>
      <c r="J1066" s="58"/>
      <c r="K1066" s="58"/>
      <c r="L1066" s="59" t="s">
        <v>1122</v>
      </c>
    </row>
    <row r="1067" spans="2:12" ht="24" x14ac:dyDescent="0.2">
      <c r="B1067" s="55">
        <v>42341</v>
      </c>
      <c r="C1067" s="56">
        <v>0.25</v>
      </c>
      <c r="D1067" s="57" t="s">
        <v>63</v>
      </c>
      <c r="E1067" s="57" t="str">
        <f>VLOOKUP(D1067,tblProjekt[],2,FALSE)</f>
        <v>Klosterfrau Mass Market</v>
      </c>
      <c r="F1067" s="58">
        <v>127</v>
      </c>
      <c r="G1067" s="58"/>
      <c r="H1067" s="58"/>
      <c r="I1067" s="58"/>
      <c r="J1067" s="58"/>
      <c r="K1067" s="58"/>
      <c r="L1067" s="59" t="s">
        <v>1123</v>
      </c>
    </row>
    <row r="1068" spans="2:12" x14ac:dyDescent="0.2">
      <c r="B1068" s="55">
        <v>42342</v>
      </c>
      <c r="C1068" s="56">
        <v>0.75</v>
      </c>
      <c r="D1068" s="57" t="s">
        <v>84</v>
      </c>
      <c r="E1068" s="57" t="str">
        <f>VLOOKUP(D1068,tblProjekt[],2,FALSE)</f>
        <v>Infrastruktur cognovo</v>
      </c>
      <c r="F1068" s="58"/>
      <c r="G1068" s="58"/>
      <c r="H1068" s="58"/>
      <c r="I1068" s="58"/>
      <c r="J1068" s="58"/>
      <c r="K1068" s="58"/>
      <c r="L1068" s="59" t="s">
        <v>223</v>
      </c>
    </row>
    <row r="1069" spans="2:12" x14ac:dyDescent="0.2">
      <c r="B1069" s="55">
        <v>42342</v>
      </c>
      <c r="C1069" s="56">
        <v>0.75</v>
      </c>
      <c r="D1069" s="57" t="s">
        <v>969</v>
      </c>
      <c r="E1069" s="57" t="str">
        <f>VLOOKUP(D1069,tblProjekt[],2,FALSE)</f>
        <v>Calculator Österreich, allgemein</v>
      </c>
      <c r="F1069" s="58">
        <v>1</v>
      </c>
      <c r="G1069" s="58"/>
      <c r="H1069" s="58"/>
      <c r="I1069" s="58"/>
      <c r="J1069" s="58"/>
      <c r="K1069" s="58"/>
      <c r="L1069" s="59" t="s">
        <v>1124</v>
      </c>
    </row>
    <row r="1070" spans="2:12" ht="24" x14ac:dyDescent="0.2">
      <c r="B1070" s="55">
        <v>42342</v>
      </c>
      <c r="C1070" s="56">
        <v>0.5</v>
      </c>
      <c r="D1070" s="57" t="s">
        <v>63</v>
      </c>
      <c r="E1070" s="57" t="str">
        <f>VLOOKUP(D1070,tblProjekt[],2,FALSE)</f>
        <v>Klosterfrau Mass Market</v>
      </c>
      <c r="F1070" s="58">
        <v>127</v>
      </c>
      <c r="G1070" s="58"/>
      <c r="H1070" s="58"/>
      <c r="I1070" s="58"/>
      <c r="J1070" s="58"/>
      <c r="K1070" s="58"/>
      <c r="L1070" s="59" t="s">
        <v>1125</v>
      </c>
    </row>
    <row r="1071" spans="2:12" ht="24" x14ac:dyDescent="0.2">
      <c r="B1071" s="55">
        <v>42342</v>
      </c>
      <c r="C1071" s="56">
        <v>1</v>
      </c>
      <c r="D1071" s="57" t="s">
        <v>55</v>
      </c>
      <c r="E1071" s="57" t="str">
        <f>VLOOKUP(D1071,tblProjekt[],2,FALSE)</f>
        <v>Biomedica report</v>
      </c>
      <c r="F1071" s="58">
        <v>129</v>
      </c>
      <c r="G1071" s="58"/>
      <c r="H1071" s="58"/>
      <c r="I1071" s="58"/>
      <c r="J1071" s="58"/>
      <c r="K1071" s="58"/>
      <c r="L1071" s="59" t="s">
        <v>1126</v>
      </c>
    </row>
    <row r="1072" spans="2:12" ht="24" x14ac:dyDescent="0.2">
      <c r="B1072" s="55">
        <v>42342</v>
      </c>
      <c r="C1072" s="56">
        <v>1.5</v>
      </c>
      <c r="D1072" s="57" t="s">
        <v>43</v>
      </c>
      <c r="E1072" s="57" t="str">
        <f>VLOOKUP(D1072,tblProjekt[],2,FALSE)</f>
        <v>DPMPSN Calculator</v>
      </c>
      <c r="F1072" s="58" t="s">
        <v>1127</v>
      </c>
      <c r="G1072" s="58"/>
      <c r="H1072" s="58"/>
      <c r="I1072" s="58"/>
      <c r="J1072" s="58"/>
      <c r="K1072" s="58"/>
      <c r="L1072" s="59" t="s">
        <v>1128</v>
      </c>
    </row>
    <row r="1073" spans="2:12" ht="36" x14ac:dyDescent="0.2">
      <c r="B1073" s="55">
        <v>42342</v>
      </c>
      <c r="C1073" s="56">
        <v>0.5</v>
      </c>
      <c r="D1073" s="57" t="s">
        <v>6</v>
      </c>
      <c r="E1073" s="57" t="str">
        <f>VLOOKUP(D1073,tblProjekt[],2,FALSE)</f>
        <v>Produktionsportal 2</v>
      </c>
      <c r="F1073" s="58">
        <v>68</v>
      </c>
      <c r="G1073" s="58"/>
      <c r="H1073" s="58"/>
      <c r="I1073" s="58"/>
      <c r="J1073" s="58"/>
      <c r="K1073" s="58"/>
      <c r="L1073" s="59" t="s">
        <v>1129</v>
      </c>
    </row>
    <row r="1074" spans="2:12" x14ac:dyDescent="0.2">
      <c r="B1074" s="55">
        <v>42342</v>
      </c>
      <c r="C1074" s="56">
        <v>1.5</v>
      </c>
      <c r="D1074" s="57" t="s">
        <v>43</v>
      </c>
      <c r="E1074" s="57" t="str">
        <f>VLOOKUP(D1074,tblProjekt[],2,FALSE)</f>
        <v>DPMPSN Calculator</v>
      </c>
      <c r="F1074" s="58">
        <v>217</v>
      </c>
      <c r="G1074" s="58"/>
      <c r="H1074" s="58"/>
      <c r="I1074" s="58"/>
      <c r="J1074" s="58"/>
      <c r="K1074" s="58"/>
      <c r="L1074" s="59" t="s">
        <v>1130</v>
      </c>
    </row>
    <row r="1075" spans="2:12" x14ac:dyDescent="0.2">
      <c r="B1075" s="55">
        <v>42343</v>
      </c>
      <c r="C1075" s="56">
        <v>2</v>
      </c>
      <c r="D1075" s="57" t="s">
        <v>6</v>
      </c>
      <c r="E1075" s="57" t="str">
        <f>VLOOKUP(D1075,tblProjekt[],2,FALSE)</f>
        <v>Produktionsportal 2</v>
      </c>
      <c r="F1075" s="58" t="s">
        <v>1131</v>
      </c>
      <c r="G1075" s="58"/>
      <c r="H1075" s="58"/>
      <c r="I1075" s="58"/>
      <c r="J1075" s="58"/>
      <c r="K1075" s="58"/>
      <c r="L1075" s="59" t="s">
        <v>1132</v>
      </c>
    </row>
    <row r="1076" spans="2:12" x14ac:dyDescent="0.2">
      <c r="B1076" s="55">
        <v>42343</v>
      </c>
      <c r="C1076" s="56">
        <v>0.5</v>
      </c>
      <c r="D1076" s="57" t="s">
        <v>1002</v>
      </c>
      <c r="E1076" s="57" t="str">
        <f>VLOOKUP(D1076,tblProjekt[],2,FALSE)</f>
        <v>Produktionsportal 3</v>
      </c>
      <c r="F1076" s="58">
        <v>52</v>
      </c>
      <c r="G1076" s="58"/>
      <c r="H1076" s="58"/>
      <c r="I1076" s="58"/>
      <c r="J1076" s="58"/>
      <c r="K1076" s="58"/>
      <c r="L1076" s="59" t="s">
        <v>1133</v>
      </c>
    </row>
    <row r="1077" spans="2:12" x14ac:dyDescent="0.2">
      <c r="B1077" s="55">
        <v>42347</v>
      </c>
      <c r="C1077" s="56">
        <v>0.25</v>
      </c>
      <c r="D1077" s="57" t="s">
        <v>84</v>
      </c>
      <c r="E1077" s="57" t="str">
        <f>VLOOKUP(D1077,tblProjekt[],2,FALSE)</f>
        <v>Infrastruktur cognovo</v>
      </c>
      <c r="F1077" s="58"/>
      <c r="G1077" s="58"/>
      <c r="H1077" s="58"/>
      <c r="I1077" s="58"/>
      <c r="J1077" s="58"/>
      <c r="K1077" s="58"/>
      <c r="L1077" s="59" t="s">
        <v>223</v>
      </c>
    </row>
    <row r="1078" spans="2:12" x14ac:dyDescent="0.2">
      <c r="B1078" s="55">
        <v>42347</v>
      </c>
      <c r="C1078" s="56">
        <v>0.25</v>
      </c>
      <c r="D1078" s="57" t="s">
        <v>55</v>
      </c>
      <c r="E1078" s="57" t="str">
        <f>VLOOKUP(D1078,tblProjekt[],2,FALSE)</f>
        <v>Biomedica report</v>
      </c>
      <c r="F1078" s="58">
        <v>129</v>
      </c>
      <c r="G1078" s="58"/>
      <c r="H1078" s="58"/>
      <c r="I1078" s="58"/>
      <c r="J1078" s="58"/>
      <c r="K1078" s="58"/>
      <c r="L1078" s="59" t="s">
        <v>1134</v>
      </c>
    </row>
    <row r="1079" spans="2:12" ht="36" x14ac:dyDescent="0.2">
      <c r="B1079" s="55">
        <v>42347</v>
      </c>
      <c r="C1079" s="56">
        <v>0.5</v>
      </c>
      <c r="D1079" s="57" t="s">
        <v>969</v>
      </c>
      <c r="E1079" s="57" t="str">
        <f>VLOOKUP(D1079,tblProjekt[],2,FALSE)</f>
        <v>Calculator Österreich, allgemein</v>
      </c>
      <c r="F1079" s="58"/>
      <c r="G1079" s="58"/>
      <c r="H1079" s="58"/>
      <c r="I1079" s="58"/>
      <c r="J1079" s="58"/>
      <c r="K1079" s="58"/>
      <c r="L1079" s="59" t="s">
        <v>1135</v>
      </c>
    </row>
    <row r="1080" spans="2:12" x14ac:dyDescent="0.2">
      <c r="B1080" s="55">
        <v>42347</v>
      </c>
      <c r="C1080" s="56">
        <v>0.5</v>
      </c>
      <c r="D1080" s="57" t="s">
        <v>84</v>
      </c>
      <c r="E1080" s="57" t="str">
        <f>VLOOKUP(D1080,tblProjekt[],2,FALSE)</f>
        <v>Infrastruktur cognovo</v>
      </c>
      <c r="F1080" s="58"/>
      <c r="G1080" s="58"/>
      <c r="H1080" s="58"/>
      <c r="I1080" s="58"/>
      <c r="J1080" s="58"/>
      <c r="K1080" s="58"/>
      <c r="L1080" s="59" t="s">
        <v>1136</v>
      </c>
    </row>
    <row r="1081" spans="2:12" ht="24" x14ac:dyDescent="0.2">
      <c r="B1081" s="55">
        <v>42347</v>
      </c>
      <c r="C1081" s="56">
        <v>2.5</v>
      </c>
      <c r="D1081" s="57" t="s">
        <v>6</v>
      </c>
      <c r="E1081" s="57" t="str">
        <f>VLOOKUP(D1081,tblProjekt[],2,FALSE)</f>
        <v>Produktionsportal 2</v>
      </c>
      <c r="F1081" s="58">
        <v>70</v>
      </c>
      <c r="G1081" s="58"/>
      <c r="H1081" s="58"/>
      <c r="I1081" s="58"/>
      <c r="J1081" s="58"/>
      <c r="K1081" s="58"/>
      <c r="L1081" s="59" t="s">
        <v>1137</v>
      </c>
    </row>
    <row r="1082" spans="2:12" x14ac:dyDescent="0.2">
      <c r="B1082" s="55">
        <v>42347</v>
      </c>
      <c r="C1082" s="56">
        <v>1.75</v>
      </c>
      <c r="D1082" s="57" t="s">
        <v>6</v>
      </c>
      <c r="E1082" s="57" t="str">
        <f>VLOOKUP(D1082,tblProjekt[],2,FALSE)</f>
        <v>Produktionsportal 2</v>
      </c>
      <c r="F1082" s="58">
        <v>70</v>
      </c>
      <c r="G1082" s="58"/>
      <c r="H1082" s="58"/>
      <c r="I1082" s="58"/>
      <c r="J1082" s="58"/>
      <c r="K1082" s="58"/>
      <c r="L1082" s="59" t="s">
        <v>1138</v>
      </c>
    </row>
    <row r="1083" spans="2:12" x14ac:dyDescent="0.2">
      <c r="B1083" s="55">
        <v>42347</v>
      </c>
      <c r="C1083" s="56">
        <v>0.5</v>
      </c>
      <c r="D1083" s="57" t="s">
        <v>84</v>
      </c>
      <c r="E1083" s="57" t="str">
        <f>VLOOKUP(D1083,tblProjekt[],2,FALSE)</f>
        <v>Infrastruktur cognovo</v>
      </c>
      <c r="F1083" s="58">
        <v>6</v>
      </c>
      <c r="G1083" s="58"/>
      <c r="H1083" s="58"/>
      <c r="I1083" s="58"/>
      <c r="J1083" s="58"/>
      <c r="K1083" s="58"/>
      <c r="L1083" s="59" t="s">
        <v>1139</v>
      </c>
    </row>
    <row r="1084" spans="2:12" x14ac:dyDescent="0.2">
      <c r="B1084" s="55">
        <v>42348</v>
      </c>
      <c r="C1084" s="56">
        <v>0.25</v>
      </c>
      <c r="D1084" s="57" t="s">
        <v>84</v>
      </c>
      <c r="E1084" s="57" t="str">
        <f>VLOOKUP(D1084,tblProjekt[],2,FALSE)</f>
        <v>Infrastruktur cognovo</v>
      </c>
      <c r="F1084" s="58"/>
      <c r="G1084" s="58"/>
      <c r="H1084" s="58"/>
      <c r="I1084" s="58"/>
      <c r="J1084" s="58"/>
      <c r="K1084" s="58"/>
      <c r="L1084" s="59" t="s">
        <v>223</v>
      </c>
    </row>
    <row r="1085" spans="2:12" x14ac:dyDescent="0.2">
      <c r="B1085" s="55">
        <v>42348</v>
      </c>
      <c r="C1085" s="56">
        <v>1.25</v>
      </c>
      <c r="D1085" s="57" t="s">
        <v>6</v>
      </c>
      <c r="E1085" s="57" t="str">
        <f>VLOOKUP(D1085,tblProjekt[],2,FALSE)</f>
        <v>Produktionsportal 2</v>
      </c>
      <c r="F1085" s="58">
        <v>68</v>
      </c>
      <c r="G1085" s="58"/>
      <c r="H1085" s="58"/>
      <c r="I1085" s="58"/>
      <c r="J1085" s="58"/>
      <c r="K1085" s="58"/>
      <c r="L1085" s="59" t="s">
        <v>1140</v>
      </c>
    </row>
    <row r="1086" spans="2:12" x14ac:dyDescent="0.2">
      <c r="B1086" s="55">
        <v>42348</v>
      </c>
      <c r="C1086" s="56">
        <v>0.75</v>
      </c>
      <c r="D1086" s="57" t="s">
        <v>6</v>
      </c>
      <c r="E1086" s="57" t="str">
        <f>VLOOKUP(D1086,tblProjekt[],2,FALSE)</f>
        <v>Produktionsportal 2</v>
      </c>
      <c r="F1086" s="58">
        <v>69</v>
      </c>
      <c r="G1086" s="58"/>
      <c r="H1086" s="58"/>
      <c r="I1086" s="58"/>
      <c r="J1086" s="58"/>
      <c r="K1086" s="58"/>
      <c r="L1086" s="59" t="s">
        <v>1141</v>
      </c>
    </row>
    <row r="1087" spans="2:12" ht="24" x14ac:dyDescent="0.2">
      <c r="B1087" s="55">
        <v>42348</v>
      </c>
      <c r="C1087" s="56">
        <v>1.5</v>
      </c>
      <c r="D1087" s="57" t="s">
        <v>6</v>
      </c>
      <c r="E1087" s="57" t="str">
        <f>VLOOKUP(D1087,tblProjekt[],2,FALSE)</f>
        <v>Produktionsportal 2</v>
      </c>
      <c r="F1087" s="58" t="s">
        <v>1142</v>
      </c>
      <c r="G1087" s="58"/>
      <c r="H1087" s="58"/>
      <c r="I1087" s="58"/>
      <c r="J1087" s="58"/>
      <c r="K1087" s="58"/>
      <c r="L1087" s="59" t="s">
        <v>1143</v>
      </c>
    </row>
    <row r="1088" spans="2:12" x14ac:dyDescent="0.2">
      <c r="B1088" s="55">
        <v>42348</v>
      </c>
      <c r="C1088" s="56">
        <v>4</v>
      </c>
      <c r="D1088" s="57" t="s">
        <v>6</v>
      </c>
      <c r="E1088" s="57" t="str">
        <f>VLOOKUP(D1088,tblProjekt[],2,FALSE)</f>
        <v>Produktionsportal 2</v>
      </c>
      <c r="F1088" s="58">
        <v>68</v>
      </c>
      <c r="G1088" s="58"/>
      <c r="H1088" s="58"/>
      <c r="I1088" s="58"/>
      <c r="J1088" s="58"/>
      <c r="K1088" s="58"/>
      <c r="L1088" s="59" t="s">
        <v>1144</v>
      </c>
    </row>
    <row r="1089" spans="2:12" x14ac:dyDescent="0.2">
      <c r="B1089" s="55">
        <v>42351</v>
      </c>
      <c r="C1089" s="56">
        <v>0.25</v>
      </c>
      <c r="D1089" s="57" t="s">
        <v>969</v>
      </c>
      <c r="E1089" s="57" t="str">
        <f>VLOOKUP(D1089,tblProjekt[],2,FALSE)</f>
        <v>Calculator Österreich, allgemein</v>
      </c>
      <c r="F1089" s="58">
        <v>10</v>
      </c>
      <c r="G1089" s="58"/>
      <c r="H1089" s="58"/>
      <c r="I1089" s="58"/>
      <c r="J1089" s="58"/>
      <c r="K1089" s="58"/>
      <c r="L1089" s="59" t="s">
        <v>416</v>
      </c>
    </row>
    <row r="1090" spans="2:12" x14ac:dyDescent="0.2">
      <c r="B1090" s="55">
        <v>42352</v>
      </c>
      <c r="C1090" s="56">
        <v>0.5</v>
      </c>
      <c r="D1090" s="57" t="s">
        <v>84</v>
      </c>
      <c r="E1090" s="57" t="str">
        <f>VLOOKUP(D1090,tblProjekt[],2,FALSE)</f>
        <v>Infrastruktur cognovo</v>
      </c>
      <c r="F1090" s="58"/>
      <c r="G1090" s="58"/>
      <c r="H1090" s="58"/>
      <c r="I1090" s="58"/>
      <c r="J1090" s="58"/>
      <c r="K1090" s="58"/>
      <c r="L1090" s="59" t="s">
        <v>610</v>
      </c>
    </row>
    <row r="1091" spans="2:12" x14ac:dyDescent="0.2">
      <c r="B1091" s="55">
        <v>42352</v>
      </c>
      <c r="C1091" s="56">
        <v>0.5</v>
      </c>
      <c r="D1091" s="57" t="s">
        <v>6</v>
      </c>
      <c r="E1091" s="57" t="str">
        <f>VLOOKUP(D1091,tblProjekt[],2,FALSE)</f>
        <v>Produktionsportal 2</v>
      </c>
      <c r="F1091" s="58">
        <v>70</v>
      </c>
      <c r="G1091" s="58"/>
      <c r="H1091" s="58"/>
      <c r="I1091" s="58"/>
      <c r="J1091" s="58"/>
      <c r="K1091" s="58"/>
      <c r="L1091" s="59" t="s">
        <v>1145</v>
      </c>
    </row>
    <row r="1092" spans="2:12" x14ac:dyDescent="0.2">
      <c r="B1092" s="55">
        <v>42352</v>
      </c>
      <c r="C1092" s="56">
        <v>3</v>
      </c>
      <c r="D1092" s="57" t="s">
        <v>6</v>
      </c>
      <c r="E1092" s="57" t="str">
        <f>VLOOKUP(D1092,tblProjekt[],2,FALSE)</f>
        <v>Produktionsportal 2</v>
      </c>
      <c r="F1092" s="58">
        <v>68</v>
      </c>
      <c r="G1092" s="58"/>
      <c r="H1092" s="58"/>
      <c r="I1092" s="58"/>
      <c r="J1092" s="58"/>
      <c r="K1092" s="58"/>
      <c r="L1092" s="59" t="s">
        <v>1146</v>
      </c>
    </row>
    <row r="1093" spans="2:12" x14ac:dyDescent="0.2">
      <c r="B1093" s="55">
        <v>42352</v>
      </c>
      <c r="C1093" s="56">
        <v>0.25</v>
      </c>
      <c r="D1093" s="57" t="s">
        <v>84</v>
      </c>
      <c r="E1093" s="57" t="str">
        <f>VLOOKUP(D1093,tblProjekt[],2,FALSE)</f>
        <v>Infrastruktur cognovo</v>
      </c>
      <c r="F1093" s="58"/>
      <c r="G1093" s="58"/>
      <c r="H1093" s="58"/>
      <c r="I1093" s="58"/>
      <c r="J1093" s="58"/>
      <c r="K1093" s="58"/>
      <c r="L1093" s="59" t="s">
        <v>910</v>
      </c>
    </row>
    <row r="1094" spans="2:12" x14ac:dyDescent="0.2">
      <c r="B1094" s="55">
        <v>42352</v>
      </c>
      <c r="C1094" s="56">
        <v>0.25</v>
      </c>
      <c r="D1094" s="57" t="s">
        <v>17</v>
      </c>
      <c r="E1094" s="57" t="str">
        <f>VLOOKUP(D1094,tblProjekt[],2,FALSE)</f>
        <v>Powerspreadsheet Win7</v>
      </c>
      <c r="F1094" s="58"/>
      <c r="G1094" s="58"/>
      <c r="H1094" s="58"/>
      <c r="I1094" s="58"/>
      <c r="J1094" s="58"/>
      <c r="K1094" s="58"/>
      <c r="L1094" s="59" t="s">
        <v>1108</v>
      </c>
    </row>
    <row r="1095" spans="2:12" x14ac:dyDescent="0.2">
      <c r="B1095" s="55">
        <v>42352</v>
      </c>
      <c r="C1095" s="56">
        <v>0.25</v>
      </c>
      <c r="D1095" s="57" t="s">
        <v>969</v>
      </c>
      <c r="E1095" s="57" t="str">
        <f>VLOOKUP(D1095,tblProjekt[],2,FALSE)</f>
        <v>Calculator Österreich, allgemein</v>
      </c>
      <c r="F1095" s="58"/>
      <c r="G1095" s="58"/>
      <c r="H1095" s="58"/>
      <c r="I1095" s="58"/>
      <c r="J1095" s="58"/>
      <c r="K1095" s="58"/>
      <c r="L1095" s="59" t="s">
        <v>1147</v>
      </c>
    </row>
    <row r="1096" spans="2:12" x14ac:dyDescent="0.2">
      <c r="B1096" s="55">
        <v>42352</v>
      </c>
      <c r="C1096" s="56">
        <v>0.5</v>
      </c>
      <c r="D1096" s="57" t="s">
        <v>969</v>
      </c>
      <c r="E1096" s="57" t="str">
        <f>VLOOKUP(D1096,tblProjekt[],2,FALSE)</f>
        <v>Calculator Österreich, allgemein</v>
      </c>
      <c r="F1096" s="58" t="s">
        <v>1148</v>
      </c>
      <c r="G1096" s="58"/>
      <c r="H1096" s="58"/>
      <c r="I1096" s="58"/>
      <c r="J1096" s="58"/>
      <c r="K1096" s="58"/>
      <c r="L1096" s="59" t="s">
        <v>1102</v>
      </c>
    </row>
    <row r="1097" spans="2:12" x14ac:dyDescent="0.2">
      <c r="B1097" s="55">
        <v>42352</v>
      </c>
      <c r="C1097" s="56">
        <v>1</v>
      </c>
      <c r="D1097" s="57" t="s">
        <v>969</v>
      </c>
      <c r="E1097" s="57" t="str">
        <f>VLOOKUP(D1097,tblProjekt[],2,FALSE)</f>
        <v>Calculator Österreich, allgemein</v>
      </c>
      <c r="F1097" s="58">
        <v>11</v>
      </c>
      <c r="G1097" s="58"/>
      <c r="H1097" s="58"/>
      <c r="I1097" s="58"/>
      <c r="J1097" s="58"/>
      <c r="K1097" s="58"/>
      <c r="L1097" s="59" t="s">
        <v>1149</v>
      </c>
    </row>
    <row r="1098" spans="2:12" x14ac:dyDescent="0.2">
      <c r="B1098" s="55">
        <v>42353</v>
      </c>
      <c r="C1098" s="56">
        <v>2</v>
      </c>
      <c r="D1098" s="57" t="s">
        <v>969</v>
      </c>
      <c r="E1098" s="57" t="str">
        <f>VLOOKUP(D1098,tblProjekt[],2,FALSE)</f>
        <v>Calculator Österreich, allgemein</v>
      </c>
      <c r="F1098" s="58">
        <v>11</v>
      </c>
      <c r="G1098" s="58"/>
      <c r="H1098" s="58"/>
      <c r="I1098" s="58"/>
      <c r="J1098" s="58"/>
      <c r="K1098" s="58"/>
      <c r="L1098" s="59" t="s">
        <v>1150</v>
      </c>
    </row>
    <row r="1099" spans="2:12" x14ac:dyDescent="0.2">
      <c r="B1099" s="55">
        <v>42353</v>
      </c>
      <c r="C1099" s="56">
        <v>1</v>
      </c>
      <c r="D1099" s="57" t="s">
        <v>6</v>
      </c>
      <c r="E1099" s="57" t="str">
        <f>VLOOKUP(D1099,tblProjekt[],2,FALSE)</f>
        <v>Produktionsportal 2</v>
      </c>
      <c r="F1099" s="58">
        <v>68</v>
      </c>
      <c r="G1099" s="58"/>
      <c r="H1099" s="58"/>
      <c r="I1099" s="58"/>
      <c r="J1099" s="58"/>
      <c r="K1099" s="58"/>
      <c r="L1099" s="59" t="s">
        <v>1146</v>
      </c>
    </row>
    <row r="1100" spans="2:12" x14ac:dyDescent="0.2">
      <c r="B1100" s="55">
        <v>42354</v>
      </c>
      <c r="C1100" s="56">
        <v>0.5</v>
      </c>
      <c r="D1100" s="57" t="s">
        <v>84</v>
      </c>
      <c r="E1100" s="57" t="str">
        <f>VLOOKUP(D1100,tblProjekt[],2,FALSE)</f>
        <v>Infrastruktur cognovo</v>
      </c>
      <c r="F1100" s="58"/>
      <c r="G1100" s="58"/>
      <c r="H1100" s="58"/>
      <c r="I1100" s="58"/>
      <c r="J1100" s="58"/>
      <c r="K1100" s="58"/>
      <c r="L1100" s="59" t="s">
        <v>610</v>
      </c>
    </row>
    <row r="1101" spans="2:12" x14ac:dyDescent="0.2">
      <c r="B1101" s="55">
        <v>42354</v>
      </c>
      <c r="C1101" s="56">
        <v>2.5</v>
      </c>
      <c r="D1101" s="57" t="s">
        <v>969</v>
      </c>
      <c r="E1101" s="57" t="str">
        <f>VLOOKUP(D1101,tblProjekt[],2,FALSE)</f>
        <v>Calculator Österreich, allgemein</v>
      </c>
      <c r="F1101" s="58">
        <v>11</v>
      </c>
      <c r="G1101" s="58"/>
      <c r="H1101" s="58"/>
      <c r="I1101" s="58"/>
      <c r="J1101" s="58"/>
      <c r="K1101" s="58"/>
      <c r="L1101" s="59" t="s">
        <v>732</v>
      </c>
    </row>
    <row r="1102" spans="2:12" x14ac:dyDescent="0.2">
      <c r="B1102" s="55">
        <v>42355</v>
      </c>
      <c r="C1102" s="56">
        <v>0.5</v>
      </c>
      <c r="D1102" s="57" t="s">
        <v>84</v>
      </c>
      <c r="E1102" s="57" t="str">
        <f>VLOOKUP(D1102,tblProjekt[],2,FALSE)</f>
        <v>Infrastruktur cognovo</v>
      </c>
      <c r="F1102" s="58"/>
      <c r="G1102" s="58"/>
      <c r="H1102" s="58"/>
      <c r="I1102" s="58"/>
      <c r="J1102" s="58"/>
      <c r="K1102" s="58"/>
      <c r="L1102" s="59" t="s">
        <v>1151</v>
      </c>
    </row>
    <row r="1103" spans="2:12" ht="24" x14ac:dyDescent="0.2">
      <c r="B1103" s="55">
        <v>42355</v>
      </c>
      <c r="C1103" s="56">
        <v>5.25</v>
      </c>
      <c r="D1103" s="57" t="s">
        <v>969</v>
      </c>
      <c r="E1103" s="57" t="str">
        <f>VLOOKUP(D1103,tblProjekt[],2,FALSE)</f>
        <v>Calculator Österreich, allgemein</v>
      </c>
      <c r="F1103" s="58"/>
      <c r="G1103" s="58"/>
      <c r="H1103" s="58"/>
      <c r="I1103" s="58"/>
      <c r="J1103" s="58"/>
      <c r="K1103" s="58"/>
      <c r="L1103" s="59" t="s">
        <v>1154</v>
      </c>
    </row>
    <row r="1104" spans="2:12" ht="24" x14ac:dyDescent="0.2">
      <c r="B1104" s="55">
        <v>42355</v>
      </c>
      <c r="C1104" s="56">
        <v>2.75</v>
      </c>
      <c r="D1104" s="57" t="s">
        <v>17</v>
      </c>
      <c r="E1104" s="57" t="str">
        <f>VLOOKUP(D1104,tblProjekt[],2,FALSE)</f>
        <v>Powerspreadsheet Win7</v>
      </c>
      <c r="F1104" s="58"/>
      <c r="G1104" s="58"/>
      <c r="H1104" s="58"/>
      <c r="I1104" s="58"/>
      <c r="J1104" s="58"/>
      <c r="K1104" s="58"/>
      <c r="L1104" s="59" t="s">
        <v>1152</v>
      </c>
    </row>
    <row r="1105" spans="2:12" x14ac:dyDescent="0.2">
      <c r="B1105" s="55">
        <v>42356</v>
      </c>
      <c r="C1105" s="56">
        <v>4</v>
      </c>
      <c r="D1105" s="57" t="s">
        <v>969</v>
      </c>
      <c r="E1105" s="57" t="str">
        <f>VLOOKUP(D1105,tblProjekt[],2,FALSE)</f>
        <v>Calculator Österreich, allgemein</v>
      </c>
      <c r="F1105" s="58"/>
      <c r="G1105" s="58"/>
      <c r="H1105" s="58"/>
      <c r="I1105" s="58"/>
      <c r="J1105" s="58"/>
      <c r="K1105" s="58"/>
      <c r="L1105" s="59" t="s">
        <v>1153</v>
      </c>
    </row>
    <row r="1106" spans="2:12" x14ac:dyDescent="0.2">
      <c r="B1106" s="55">
        <v>42356</v>
      </c>
      <c r="C1106" s="56">
        <v>2</v>
      </c>
      <c r="D1106" s="57" t="s">
        <v>6</v>
      </c>
      <c r="E1106" s="57" t="str">
        <f>VLOOKUP(D1106,tblProjekt[],2,FALSE)</f>
        <v>Produktionsportal 2</v>
      </c>
      <c r="F1106" s="58">
        <v>68</v>
      </c>
      <c r="G1106" s="58"/>
      <c r="H1106" s="58"/>
      <c r="I1106" s="58"/>
      <c r="J1106" s="58"/>
      <c r="K1106" s="58"/>
      <c r="L1106" s="59" t="s">
        <v>1146</v>
      </c>
    </row>
    <row r="1107" spans="2:12" ht="24" x14ac:dyDescent="0.2">
      <c r="B1107" s="55">
        <v>42356</v>
      </c>
      <c r="C1107" s="56">
        <v>1</v>
      </c>
      <c r="D1107" s="57" t="s">
        <v>1002</v>
      </c>
      <c r="E1107" s="57" t="str">
        <f>VLOOKUP(D1107,tblProjekt[],2,FALSE)</f>
        <v>Produktionsportal 3</v>
      </c>
      <c r="F1107" s="58"/>
      <c r="G1107" s="58"/>
      <c r="H1107" s="58"/>
      <c r="I1107" s="58"/>
      <c r="J1107" s="58"/>
      <c r="K1107" s="58"/>
      <c r="L1107" s="59" t="s">
        <v>1155</v>
      </c>
    </row>
    <row r="1108" spans="2:12" x14ac:dyDescent="0.2">
      <c r="B1108" s="55">
        <v>42356</v>
      </c>
      <c r="C1108" s="56">
        <v>1.5</v>
      </c>
      <c r="D1108" s="57" t="s">
        <v>17</v>
      </c>
      <c r="E1108" s="57" t="str">
        <f>VLOOKUP(D1108,tblProjekt[],2,FALSE)</f>
        <v>Powerspreadsheet Win7</v>
      </c>
      <c r="F1108" s="58"/>
      <c r="G1108" s="58"/>
      <c r="H1108" s="58"/>
      <c r="I1108" s="58"/>
      <c r="J1108" s="58"/>
      <c r="K1108" s="58"/>
      <c r="L1108" s="59" t="s">
        <v>1156</v>
      </c>
    </row>
    <row r="1109" spans="2:12" x14ac:dyDescent="0.2">
      <c r="B1109" s="55">
        <v>42357</v>
      </c>
      <c r="C1109" s="56">
        <v>1.5</v>
      </c>
      <c r="D1109" s="57" t="s">
        <v>969</v>
      </c>
      <c r="E1109" s="57" t="str">
        <f>VLOOKUP(D1109,tblProjekt[],2,FALSE)</f>
        <v>Calculator Österreich, allgemein</v>
      </c>
      <c r="F1109" s="58"/>
      <c r="G1109" s="58"/>
      <c r="H1109" s="58"/>
      <c r="I1109" s="58"/>
      <c r="J1109" s="58"/>
      <c r="K1109" s="58"/>
      <c r="L1109" s="59" t="s">
        <v>1157</v>
      </c>
    </row>
    <row r="1110" spans="2:12" x14ac:dyDescent="0.2">
      <c r="B1110" s="55">
        <v>42359</v>
      </c>
      <c r="C1110" s="56">
        <v>3</v>
      </c>
      <c r="D1110" s="57" t="s">
        <v>6</v>
      </c>
      <c r="E1110" s="57" t="str">
        <f>VLOOKUP(D1110,tblProjekt[],2,FALSE)</f>
        <v>Produktionsportal 2</v>
      </c>
      <c r="F1110" s="58">
        <v>68</v>
      </c>
      <c r="G1110" s="58"/>
      <c r="H1110" s="58"/>
      <c r="I1110" s="58"/>
      <c r="J1110" s="58"/>
      <c r="K1110" s="58"/>
      <c r="L1110" s="59" t="s">
        <v>1146</v>
      </c>
    </row>
    <row r="1111" spans="2:12" ht="48" x14ac:dyDescent="0.2">
      <c r="B1111" s="55">
        <v>42359</v>
      </c>
      <c r="C1111" s="56">
        <v>4</v>
      </c>
      <c r="D1111" s="57" t="s">
        <v>969</v>
      </c>
      <c r="E1111" s="57" t="str">
        <f>VLOOKUP(D1111,tblProjekt[],2,FALSE)</f>
        <v>Calculator Österreich, allgemein</v>
      </c>
      <c r="F1111" s="58"/>
      <c r="G1111" s="58"/>
      <c r="H1111" s="58"/>
      <c r="I1111" s="58"/>
      <c r="J1111" s="58"/>
      <c r="K1111" s="58"/>
      <c r="L1111" s="59" t="s">
        <v>1158</v>
      </c>
    </row>
    <row r="1112" spans="2:12" ht="24" x14ac:dyDescent="0.2">
      <c r="B1112" s="55">
        <v>42360</v>
      </c>
      <c r="C1112" s="56">
        <v>8.5</v>
      </c>
      <c r="D1112" s="57" t="s">
        <v>6</v>
      </c>
      <c r="E1112" s="57" t="str">
        <f>VLOOKUP(D1112,tblProjekt[],2,FALSE)</f>
        <v>Produktionsportal 2</v>
      </c>
      <c r="F1112" s="58">
        <v>68</v>
      </c>
      <c r="G1112" s="58"/>
      <c r="H1112" s="58"/>
      <c r="I1112" s="58"/>
      <c r="J1112" s="58"/>
      <c r="K1112" s="58"/>
      <c r="L1112" s="59" t="s">
        <v>1159</v>
      </c>
    </row>
    <row r="1113" spans="2:12" x14ac:dyDescent="0.2">
      <c r="B1113" s="55">
        <v>42360</v>
      </c>
      <c r="C1113" s="56">
        <v>0.5</v>
      </c>
      <c r="D1113" s="57" t="s">
        <v>84</v>
      </c>
      <c r="E1113" s="57" t="str">
        <f>VLOOKUP(D1113,tblProjekt[],2,FALSE)</f>
        <v>Infrastruktur cognovo</v>
      </c>
      <c r="F1113" s="58"/>
      <c r="G1113" s="58"/>
      <c r="H1113" s="58"/>
      <c r="I1113" s="58"/>
      <c r="J1113" s="58"/>
      <c r="K1113" s="58"/>
      <c r="L1113" s="59" t="s">
        <v>1160</v>
      </c>
    </row>
    <row r="1114" spans="2:12" ht="24" x14ac:dyDescent="0.2">
      <c r="B1114" s="55">
        <v>42360</v>
      </c>
      <c r="C1114" s="56">
        <v>0.5</v>
      </c>
      <c r="D1114" s="57" t="s">
        <v>63</v>
      </c>
      <c r="E1114" s="57" t="str">
        <f>VLOOKUP(D1114,tblProjekt[],2,FALSE)</f>
        <v>Klosterfrau Mass Market</v>
      </c>
      <c r="F1114" s="58">
        <v>130</v>
      </c>
      <c r="G1114" s="58"/>
      <c r="H1114" s="58"/>
      <c r="I1114" s="58"/>
      <c r="J1114" s="58"/>
      <c r="K1114" s="58"/>
      <c r="L1114" s="59" t="s">
        <v>1161</v>
      </c>
    </row>
    <row r="1115" spans="2:12" x14ac:dyDescent="0.2">
      <c r="B1115" s="55">
        <v>42361</v>
      </c>
      <c r="C1115" s="56">
        <v>2.5</v>
      </c>
      <c r="D1115" s="57" t="s">
        <v>6</v>
      </c>
      <c r="E1115" s="57" t="str">
        <f>VLOOKUP(D1115,tblProjekt[],2,FALSE)</f>
        <v>Produktionsportal 2</v>
      </c>
      <c r="F1115" s="58">
        <v>68</v>
      </c>
      <c r="G1115" s="58"/>
      <c r="H1115" s="58"/>
      <c r="I1115" s="58"/>
      <c r="J1115" s="58"/>
      <c r="K1115" s="58"/>
      <c r="L1115" s="59" t="s">
        <v>1162</v>
      </c>
    </row>
    <row r="1116" spans="2:12" ht="24" x14ac:dyDescent="0.2">
      <c r="B1116" s="55">
        <v>42361</v>
      </c>
      <c r="C1116" s="56">
        <v>2.25</v>
      </c>
      <c r="D1116" s="57" t="s">
        <v>6</v>
      </c>
      <c r="E1116" s="57" t="str">
        <f>VLOOKUP(D1116,tblProjekt[],2,FALSE)</f>
        <v>Produktionsportal 2</v>
      </c>
      <c r="F1116" s="58">
        <v>69</v>
      </c>
      <c r="G1116" s="58"/>
      <c r="H1116" s="58"/>
      <c r="I1116" s="58"/>
      <c r="J1116" s="58"/>
      <c r="K1116" s="58"/>
      <c r="L1116" s="59" t="s">
        <v>1163</v>
      </c>
    </row>
    <row r="1117" spans="2:12" ht="24" x14ac:dyDescent="0.2">
      <c r="B1117" s="55">
        <v>42361</v>
      </c>
      <c r="C1117" s="56">
        <v>0.25</v>
      </c>
      <c r="D1117" s="57" t="s">
        <v>969</v>
      </c>
      <c r="E1117" s="57" t="str">
        <f>VLOOKUP(D1117,tblProjekt[],2,FALSE)</f>
        <v>Calculator Österreich, allgemein</v>
      </c>
      <c r="F1117" s="58"/>
      <c r="G1117" s="58"/>
      <c r="H1117" s="58"/>
      <c r="I1117" s="58"/>
      <c r="J1117" s="58"/>
      <c r="K1117" s="58"/>
      <c r="L1117" s="59" t="s">
        <v>1164</v>
      </c>
    </row>
    <row r="1118" spans="2:12" ht="24" x14ac:dyDescent="0.2">
      <c r="B1118" s="55">
        <v>42366</v>
      </c>
      <c r="C1118" s="56">
        <v>4.5</v>
      </c>
      <c r="D1118" s="57" t="s">
        <v>6</v>
      </c>
      <c r="E1118" s="57" t="str">
        <f>VLOOKUP(D1118,tblProjekt[],2,FALSE)</f>
        <v>Produktionsportal 2</v>
      </c>
      <c r="F1118" s="58">
        <v>69</v>
      </c>
      <c r="G1118" s="58"/>
      <c r="H1118" s="58"/>
      <c r="I1118" s="58"/>
      <c r="J1118" s="58"/>
      <c r="K1118" s="58"/>
      <c r="L1118" s="59" t="s">
        <v>1165</v>
      </c>
    </row>
    <row r="1119" spans="2:12" x14ac:dyDescent="0.2">
      <c r="B1119" s="55">
        <v>42367</v>
      </c>
      <c r="C1119" s="56">
        <v>0.75</v>
      </c>
      <c r="D1119" s="57" t="s">
        <v>6</v>
      </c>
      <c r="E1119" s="57" t="str">
        <f>VLOOKUP(D1119,tblProjekt[],2,FALSE)</f>
        <v>Produktionsportal 2</v>
      </c>
      <c r="F1119" s="58" t="s">
        <v>1118</v>
      </c>
      <c r="G1119" s="58"/>
      <c r="H1119" s="58"/>
      <c r="I1119" s="58"/>
      <c r="J1119" s="58"/>
      <c r="K1119" s="58"/>
      <c r="L1119" s="59" t="s">
        <v>1166</v>
      </c>
    </row>
    <row r="1120" spans="2:12" x14ac:dyDescent="0.2">
      <c r="B1120" s="55">
        <v>42368</v>
      </c>
      <c r="C1120" s="56">
        <v>1</v>
      </c>
      <c r="D1120" s="57" t="s">
        <v>6</v>
      </c>
      <c r="E1120" s="57" t="str">
        <f>VLOOKUP(D1120,tblProjekt[],2,FALSE)</f>
        <v>Produktionsportal 2</v>
      </c>
      <c r="F1120" s="58">
        <v>69</v>
      </c>
      <c r="G1120" s="58"/>
      <c r="H1120" s="58"/>
      <c r="I1120" s="58"/>
      <c r="J1120" s="58"/>
      <c r="K1120" s="58"/>
      <c r="L1120" s="59" t="s">
        <v>1167</v>
      </c>
    </row>
    <row r="1121" spans="2:12" x14ac:dyDescent="0.2">
      <c r="B1121" s="55">
        <v>42368</v>
      </c>
      <c r="C1121" s="56">
        <v>1.25</v>
      </c>
      <c r="D1121" s="57" t="s">
        <v>6</v>
      </c>
      <c r="E1121" s="57" t="str">
        <f>VLOOKUP(D1121,tblProjekt[],2,FALSE)</f>
        <v>Produktionsportal 2</v>
      </c>
      <c r="F1121" s="58"/>
      <c r="G1121" s="58"/>
      <c r="H1121" s="58"/>
      <c r="I1121" s="58"/>
      <c r="J1121" s="58"/>
      <c r="K1121" s="58"/>
      <c r="L1121" s="59" t="s">
        <v>1168</v>
      </c>
    </row>
    <row r="1122" spans="2:12" x14ac:dyDescent="0.2">
      <c r="B1122" s="55">
        <v>42373</v>
      </c>
      <c r="C1122" s="56">
        <v>1</v>
      </c>
      <c r="D1122" s="57" t="s">
        <v>84</v>
      </c>
      <c r="E1122" s="57" t="str">
        <f>VLOOKUP(D1122,tblProjekt[],2,FALSE)</f>
        <v>Infrastruktur cognovo</v>
      </c>
      <c r="F1122" s="58"/>
      <c r="G1122" s="58"/>
      <c r="H1122" s="58"/>
      <c r="I1122" s="58"/>
      <c r="J1122" s="58"/>
      <c r="K1122" s="58"/>
      <c r="L1122" s="59" t="s">
        <v>610</v>
      </c>
    </row>
    <row r="1123" spans="2:12" ht="24" x14ac:dyDescent="0.2">
      <c r="B1123" s="55">
        <v>42373</v>
      </c>
      <c r="C1123" s="56">
        <v>4.25</v>
      </c>
      <c r="D1123" s="57" t="s">
        <v>6</v>
      </c>
      <c r="E1123" s="57" t="str">
        <f>VLOOKUP(D1123,tblProjekt[],2,FALSE)</f>
        <v>Produktionsportal 2</v>
      </c>
      <c r="F1123" s="58">
        <v>76</v>
      </c>
      <c r="G1123" s="58"/>
      <c r="H1123" s="58"/>
      <c r="I1123" s="58"/>
      <c r="J1123" s="58"/>
      <c r="K1123" s="58"/>
      <c r="L1123" s="59" t="s">
        <v>1169</v>
      </c>
    </row>
    <row r="1124" spans="2:12" x14ac:dyDescent="0.2">
      <c r="B1124" s="55">
        <v>42373</v>
      </c>
      <c r="C1124" s="56">
        <v>1</v>
      </c>
      <c r="D1124" s="57" t="s">
        <v>84</v>
      </c>
      <c r="E1124" s="57" t="str">
        <f>VLOOKUP(D1124,tblProjekt[],2,FALSE)</f>
        <v>Infrastruktur cognovo</v>
      </c>
      <c r="F1124" s="58"/>
      <c r="G1124" s="58"/>
      <c r="H1124" s="58"/>
      <c r="I1124" s="58"/>
      <c r="J1124" s="58"/>
      <c r="K1124" s="58"/>
      <c r="L1124" s="59" t="s">
        <v>1170</v>
      </c>
    </row>
    <row r="1125" spans="2:12" x14ac:dyDescent="0.2">
      <c r="B1125" s="55">
        <v>42373</v>
      </c>
      <c r="C1125" s="56">
        <v>0.5</v>
      </c>
      <c r="D1125" s="57" t="s">
        <v>1002</v>
      </c>
      <c r="E1125" s="57" t="str">
        <f>VLOOKUP(D1125,tblProjekt[],2,FALSE)</f>
        <v>Produktionsportal 3</v>
      </c>
      <c r="F1125" s="58"/>
      <c r="G1125" s="58"/>
      <c r="H1125" s="58"/>
      <c r="I1125" s="58"/>
      <c r="J1125" s="58"/>
      <c r="K1125" s="58"/>
      <c r="L1125" s="59" t="s">
        <v>1171</v>
      </c>
    </row>
    <row r="1126" spans="2:12" x14ac:dyDescent="0.2">
      <c r="B1126" s="55">
        <v>42373</v>
      </c>
      <c r="C1126" s="56">
        <v>0.25</v>
      </c>
      <c r="D1126" s="57" t="s">
        <v>969</v>
      </c>
      <c r="E1126" s="57" t="str">
        <f>VLOOKUP(D1126,tblProjekt[],2,FALSE)</f>
        <v>Calculator Österreich, allgemein</v>
      </c>
      <c r="F1126" s="58"/>
      <c r="G1126" s="58"/>
      <c r="H1126" s="58"/>
      <c r="I1126" s="58"/>
      <c r="J1126" s="58"/>
      <c r="K1126" s="58"/>
      <c r="L1126" s="59" t="s">
        <v>1171</v>
      </c>
    </row>
    <row r="1127" spans="2:12" x14ac:dyDescent="0.2">
      <c r="B1127" s="55">
        <v>42373</v>
      </c>
      <c r="C1127" s="56">
        <v>0.25</v>
      </c>
      <c r="D1127" s="57" t="s">
        <v>427</v>
      </c>
      <c r="E1127" s="57" t="str">
        <f>VLOOKUP(D1127,tblProjekt[],2,FALSE)</f>
        <v>Calculator übergreifend</v>
      </c>
      <c r="F1127" s="58"/>
      <c r="G1127" s="58"/>
      <c r="H1127" s="58"/>
      <c r="I1127" s="58"/>
      <c r="J1127" s="58"/>
      <c r="K1127" s="58"/>
      <c r="L1127" s="59" t="s">
        <v>1171</v>
      </c>
    </row>
    <row r="1128" spans="2:12" x14ac:dyDescent="0.2">
      <c r="B1128" s="55">
        <v>42373</v>
      </c>
      <c r="C1128" s="56">
        <v>0.25</v>
      </c>
      <c r="D1128" s="57" t="s">
        <v>17</v>
      </c>
      <c r="E1128" s="57" t="str">
        <f>VLOOKUP(D1128,tblProjekt[],2,FALSE)</f>
        <v>Powerspreadsheet Win7</v>
      </c>
      <c r="F1128" s="58"/>
      <c r="G1128" s="58"/>
      <c r="H1128" s="58"/>
      <c r="I1128" s="58"/>
      <c r="J1128" s="58"/>
      <c r="K1128" s="58"/>
      <c r="L1128" s="59" t="s">
        <v>1171</v>
      </c>
    </row>
    <row r="1129" spans="2:12" x14ac:dyDescent="0.2">
      <c r="B1129" s="55">
        <v>42373</v>
      </c>
      <c r="C1129" s="56">
        <v>0.25</v>
      </c>
      <c r="D1129" s="57" t="s">
        <v>84</v>
      </c>
      <c r="E1129" s="57" t="str">
        <f>VLOOKUP(D1129,tblProjekt[],2,FALSE)</f>
        <v>Infrastruktur cognovo</v>
      </c>
      <c r="F1129" s="58"/>
      <c r="G1129" s="58"/>
      <c r="H1129" s="58"/>
      <c r="I1129" s="58"/>
      <c r="J1129" s="58"/>
      <c r="K1129" s="58"/>
      <c r="L1129" s="59" t="s">
        <v>1171</v>
      </c>
    </row>
    <row r="1130" spans="2:12" x14ac:dyDescent="0.2">
      <c r="B1130" s="55">
        <v>42008</v>
      </c>
      <c r="C1130" s="56">
        <v>0.25</v>
      </c>
      <c r="D1130" s="57" t="s">
        <v>6</v>
      </c>
      <c r="E1130" s="57" t="str">
        <f>VLOOKUP(D1130,tblProjekt[],2,FALSE)</f>
        <v>Produktionsportal 2</v>
      </c>
      <c r="F1130" s="58"/>
      <c r="G1130" s="58"/>
      <c r="H1130" s="58"/>
      <c r="I1130" s="58"/>
      <c r="J1130" s="58"/>
      <c r="K1130" s="58"/>
      <c r="L1130" s="59" t="s">
        <v>1171</v>
      </c>
    </row>
    <row r="1131" spans="2:12" ht="24" x14ac:dyDescent="0.2">
      <c r="B1131" s="55">
        <v>42373</v>
      </c>
      <c r="C1131" s="56">
        <v>0.25</v>
      </c>
      <c r="D1131" s="57" t="s">
        <v>969</v>
      </c>
      <c r="E1131" s="57" t="str">
        <f>VLOOKUP(D1131,tblProjekt[],2,FALSE)</f>
        <v>Calculator Österreich, allgemein</v>
      </c>
      <c r="F1131" s="58"/>
      <c r="G1131" s="58"/>
      <c r="H1131" s="58"/>
      <c r="I1131" s="58"/>
      <c r="J1131" s="58"/>
      <c r="K1131" s="58"/>
      <c r="L1131" s="59" t="s">
        <v>1172</v>
      </c>
    </row>
    <row r="1132" spans="2:12" ht="24" x14ac:dyDescent="0.2">
      <c r="B1132" s="55">
        <v>42374</v>
      </c>
      <c r="C1132" s="56">
        <v>1.25</v>
      </c>
      <c r="D1132" s="57" t="s">
        <v>1002</v>
      </c>
      <c r="E1132" s="57" t="str">
        <f>VLOOKUP(D1132,tblProjekt[],2,FALSE)</f>
        <v>Produktionsportal 3</v>
      </c>
      <c r="F1132" s="58">
        <v>1</v>
      </c>
      <c r="G1132" s="58"/>
      <c r="H1132" s="58"/>
      <c r="I1132" s="58"/>
      <c r="J1132" s="58"/>
      <c r="K1132" s="58"/>
      <c r="L1132" s="59" t="s">
        <v>1173</v>
      </c>
    </row>
    <row r="1133" spans="2:12" x14ac:dyDescent="0.2">
      <c r="B1133" s="55">
        <v>42374</v>
      </c>
      <c r="C1133" s="56">
        <v>3.5</v>
      </c>
      <c r="D1133" s="57" t="s">
        <v>84</v>
      </c>
      <c r="E1133" s="57" t="str">
        <f>VLOOKUP(D1133,tblProjekt[],2,FALSE)</f>
        <v>Infrastruktur cognovo</v>
      </c>
      <c r="F1133" s="58"/>
      <c r="G1133" s="58"/>
      <c r="H1133" s="58"/>
      <c r="I1133" s="58"/>
      <c r="J1133" s="58"/>
      <c r="K1133" s="58"/>
      <c r="L1133" s="59" t="s">
        <v>1174</v>
      </c>
    </row>
    <row r="1134" spans="2:12" ht="24" x14ac:dyDescent="0.2">
      <c r="B1134" s="55">
        <v>42374</v>
      </c>
      <c r="C1134" s="56">
        <v>1.75</v>
      </c>
      <c r="D1134" s="57" t="s">
        <v>1002</v>
      </c>
      <c r="E1134" s="57" t="str">
        <f>VLOOKUP(D1134,tblProjekt[],2,FALSE)</f>
        <v>Produktionsportal 3</v>
      </c>
      <c r="F1134" s="58">
        <v>1</v>
      </c>
      <c r="G1134" s="58"/>
      <c r="H1134" s="58"/>
      <c r="I1134" s="58"/>
      <c r="J1134" s="58"/>
      <c r="K1134" s="58"/>
      <c r="L1134" s="59" t="s">
        <v>1182</v>
      </c>
    </row>
    <row r="1135" spans="2:12" x14ac:dyDescent="0.2">
      <c r="B1135" s="55">
        <v>42375</v>
      </c>
      <c r="C1135" s="56">
        <v>7.75</v>
      </c>
      <c r="D1135" s="57" t="s">
        <v>84</v>
      </c>
      <c r="E1135" s="57" t="str">
        <f>VLOOKUP(D1135,tblProjekt[],2,FALSE)</f>
        <v>Infrastruktur cognovo</v>
      </c>
      <c r="F1135" s="58"/>
      <c r="G1135" s="58"/>
      <c r="H1135" s="58"/>
      <c r="I1135" s="58"/>
      <c r="J1135" s="58"/>
      <c r="K1135" s="58"/>
      <c r="L1135" s="59" t="s">
        <v>1175</v>
      </c>
    </row>
    <row r="1136" spans="2:12" x14ac:dyDescent="0.2">
      <c r="B1136" s="55">
        <v>42376</v>
      </c>
      <c r="C1136" s="56">
        <v>1.25</v>
      </c>
      <c r="D1136" s="57" t="s">
        <v>1002</v>
      </c>
      <c r="E1136" s="57" t="str">
        <f>VLOOKUP(D1136,tblProjekt[],2,FALSE)</f>
        <v>Produktionsportal 3</v>
      </c>
      <c r="F1136" s="58"/>
      <c r="G1136" s="58"/>
      <c r="H1136" s="58"/>
      <c r="I1136" s="58"/>
      <c r="J1136" s="58"/>
      <c r="K1136" s="58"/>
      <c r="L1136" s="59" t="s">
        <v>1176</v>
      </c>
    </row>
    <row r="1137" spans="2:12" ht="24" x14ac:dyDescent="0.2">
      <c r="B1137" s="55">
        <v>42376</v>
      </c>
      <c r="C1137" s="56">
        <v>0.5</v>
      </c>
      <c r="D1137" s="57" t="s">
        <v>969</v>
      </c>
      <c r="E1137" s="57" t="str">
        <f>VLOOKUP(D1137,tblProjekt[],2,FALSE)</f>
        <v>Calculator Österreich, allgemein</v>
      </c>
      <c r="F1137" s="58"/>
      <c r="G1137" s="58"/>
      <c r="H1137" s="58"/>
      <c r="I1137" s="58"/>
      <c r="J1137" s="58"/>
      <c r="K1137" s="58"/>
      <c r="L1137" s="59" t="s">
        <v>1177</v>
      </c>
    </row>
    <row r="1138" spans="2:12" ht="24" x14ac:dyDescent="0.2">
      <c r="B1138" s="55">
        <v>42376</v>
      </c>
      <c r="C1138" s="56">
        <v>2</v>
      </c>
      <c r="D1138" s="57" t="s">
        <v>84</v>
      </c>
      <c r="E1138" s="57" t="str">
        <f>VLOOKUP(D1138,tblProjekt[],2,FALSE)</f>
        <v>Infrastruktur cognovo</v>
      </c>
      <c r="F1138" s="58"/>
      <c r="G1138" s="58"/>
      <c r="H1138" s="58"/>
      <c r="I1138" s="58"/>
      <c r="J1138" s="58"/>
      <c r="K1138" s="58"/>
      <c r="L1138" s="59" t="s">
        <v>1178</v>
      </c>
    </row>
    <row r="1139" spans="2:12" x14ac:dyDescent="0.2">
      <c r="B1139" s="55">
        <v>42376</v>
      </c>
      <c r="C1139" s="56">
        <v>0.25</v>
      </c>
      <c r="D1139" s="57" t="s">
        <v>55</v>
      </c>
      <c r="E1139" s="57" t="str">
        <f>VLOOKUP(D1139,tblProjekt[],2,FALSE)</f>
        <v>Biomedica report</v>
      </c>
      <c r="F1139" s="58">
        <v>129</v>
      </c>
      <c r="G1139" s="58"/>
      <c r="H1139" s="58"/>
      <c r="I1139" s="58"/>
      <c r="J1139" s="58"/>
      <c r="K1139" s="58"/>
      <c r="L1139" s="59" t="s">
        <v>1179</v>
      </c>
    </row>
    <row r="1140" spans="2:12" x14ac:dyDescent="0.2">
      <c r="B1140" s="55">
        <v>42376</v>
      </c>
      <c r="C1140" s="56">
        <v>0.25</v>
      </c>
      <c r="D1140" s="57" t="s">
        <v>59</v>
      </c>
      <c r="E1140" s="57" t="str">
        <f>VLOOKUP(D1140,tblProjekt[],2,FALSE)</f>
        <v>Stada reports</v>
      </c>
      <c r="F1140" s="58">
        <v>116</v>
      </c>
      <c r="G1140" s="58"/>
      <c r="H1140" s="58"/>
      <c r="I1140" s="58"/>
      <c r="J1140" s="58"/>
      <c r="K1140" s="58"/>
      <c r="L1140" s="59" t="s">
        <v>1180</v>
      </c>
    </row>
    <row r="1141" spans="2:12" ht="24" x14ac:dyDescent="0.2">
      <c r="B1141" s="55">
        <v>42376</v>
      </c>
      <c r="C1141" s="56">
        <v>1.25</v>
      </c>
      <c r="D1141" s="57" t="s">
        <v>84</v>
      </c>
      <c r="E1141" s="57" t="str">
        <f>VLOOKUP(D1141,tblProjekt[],2,FALSE)</f>
        <v>Infrastruktur cognovo</v>
      </c>
      <c r="F1141" s="58"/>
      <c r="G1141" s="58"/>
      <c r="H1141" s="58"/>
      <c r="I1141" s="58"/>
      <c r="J1141" s="58"/>
      <c r="K1141" s="58"/>
      <c r="L1141" s="59" t="s">
        <v>1181</v>
      </c>
    </row>
    <row r="1142" spans="2:12" ht="24" x14ac:dyDescent="0.2">
      <c r="B1142" s="55">
        <v>42377</v>
      </c>
      <c r="C1142" s="56">
        <v>4.25</v>
      </c>
      <c r="D1142" s="57" t="s">
        <v>1002</v>
      </c>
      <c r="E1142" s="57" t="str">
        <f>VLOOKUP(D1142,tblProjekt[],2,FALSE)</f>
        <v>Produktionsportal 3</v>
      </c>
      <c r="F1142" s="58">
        <v>1</v>
      </c>
      <c r="G1142" s="58"/>
      <c r="H1142" s="58"/>
      <c r="I1142" s="58"/>
      <c r="J1142" s="58"/>
      <c r="K1142" s="58"/>
      <c r="L1142" s="59" t="s">
        <v>1183</v>
      </c>
    </row>
    <row r="1143" spans="2:12" ht="24" x14ac:dyDescent="0.2">
      <c r="B1143" s="55">
        <v>42380</v>
      </c>
      <c r="C1143" s="56">
        <v>7</v>
      </c>
      <c r="D1143" s="57" t="s">
        <v>1002</v>
      </c>
      <c r="E1143" s="57" t="str">
        <f>VLOOKUP(D1143,tblProjekt[],2,FALSE)</f>
        <v>Produktionsportal 3</v>
      </c>
      <c r="F1143" s="58">
        <v>1</v>
      </c>
      <c r="G1143" s="58"/>
      <c r="H1143" s="58"/>
      <c r="I1143" s="58"/>
      <c r="J1143" s="58"/>
      <c r="K1143" s="58"/>
      <c r="L1143" s="59" t="s">
        <v>1183</v>
      </c>
    </row>
    <row r="1144" spans="2:12" ht="24" x14ac:dyDescent="0.2">
      <c r="B1144" s="55">
        <v>42381</v>
      </c>
      <c r="C1144" s="56">
        <v>5.75</v>
      </c>
      <c r="D1144" s="57" t="s">
        <v>1002</v>
      </c>
      <c r="E1144" s="57" t="str">
        <f>VLOOKUP(D1144,tblProjekt[],2,FALSE)</f>
        <v>Produktionsportal 3</v>
      </c>
      <c r="F1144" s="58">
        <v>1</v>
      </c>
      <c r="G1144" s="58"/>
      <c r="H1144" s="58"/>
      <c r="I1144" s="58"/>
      <c r="J1144" s="58"/>
      <c r="K1144" s="58"/>
      <c r="L1144" s="59" t="s">
        <v>1183</v>
      </c>
    </row>
    <row r="1145" spans="2:12" ht="36" x14ac:dyDescent="0.2">
      <c r="B1145" s="55">
        <v>42381</v>
      </c>
      <c r="C1145" s="56">
        <v>0.25</v>
      </c>
      <c r="D1145" s="57" t="s">
        <v>43</v>
      </c>
      <c r="E1145" s="57" t="str">
        <f>VLOOKUP(D1145,tblProjekt[],2,FALSE)</f>
        <v>DPMPSN Calculator</v>
      </c>
      <c r="F1145" s="58"/>
      <c r="G1145" s="58"/>
      <c r="H1145" s="58"/>
      <c r="I1145" s="58"/>
      <c r="J1145" s="58"/>
      <c r="K1145" s="58"/>
      <c r="L1145" s="59" t="s">
        <v>1184</v>
      </c>
    </row>
    <row r="1146" spans="2:12" ht="24" x14ac:dyDescent="0.2">
      <c r="B1146" s="55">
        <v>42382</v>
      </c>
      <c r="C1146" s="56">
        <v>8.25</v>
      </c>
      <c r="D1146" s="57" t="s">
        <v>1002</v>
      </c>
      <c r="E1146" s="57" t="str">
        <f>VLOOKUP(D1146,tblProjekt[],2,FALSE)</f>
        <v>Produktionsportal 3</v>
      </c>
      <c r="F1146" s="58">
        <v>1</v>
      </c>
      <c r="G1146" s="58"/>
      <c r="H1146" s="58"/>
      <c r="I1146" s="58"/>
      <c r="J1146" s="58"/>
      <c r="K1146" s="58"/>
      <c r="L1146" s="59" t="s">
        <v>1183</v>
      </c>
    </row>
    <row r="1147" spans="2:12" ht="24" x14ac:dyDescent="0.2">
      <c r="B1147" s="55">
        <v>42382</v>
      </c>
      <c r="C1147" s="56">
        <v>0.5</v>
      </c>
      <c r="D1147" s="57" t="s">
        <v>969</v>
      </c>
      <c r="E1147" s="57" t="str">
        <f>VLOOKUP(D1147,tblProjekt[],2,FALSE)</f>
        <v>Calculator Österreich, allgemein</v>
      </c>
      <c r="F1147" s="58"/>
      <c r="G1147" s="58"/>
      <c r="H1147" s="58"/>
      <c r="I1147" s="58"/>
      <c r="J1147" s="58"/>
      <c r="K1147" s="58"/>
      <c r="L1147" s="59" t="s">
        <v>1185</v>
      </c>
    </row>
    <row r="1148" spans="2:12" ht="24" x14ac:dyDescent="0.2">
      <c r="B1148" s="55">
        <v>42383</v>
      </c>
      <c r="C1148" s="56">
        <v>2</v>
      </c>
      <c r="D1148" s="57" t="s">
        <v>1002</v>
      </c>
      <c r="E1148" s="57" t="str">
        <f>VLOOKUP(D1148,tblProjekt[],2,FALSE)</f>
        <v>Produktionsportal 3</v>
      </c>
      <c r="F1148" s="58">
        <v>1</v>
      </c>
      <c r="G1148" s="58"/>
      <c r="H1148" s="58"/>
      <c r="I1148" s="58"/>
      <c r="J1148" s="58"/>
      <c r="K1148" s="58"/>
      <c r="L1148" s="59" t="s">
        <v>1192</v>
      </c>
    </row>
    <row r="1149" spans="2:12" ht="24" x14ac:dyDescent="0.2">
      <c r="B1149" s="55">
        <v>42383</v>
      </c>
      <c r="C1149" s="56">
        <v>2.5</v>
      </c>
      <c r="D1149" s="57" t="s">
        <v>1002</v>
      </c>
      <c r="E1149" s="57" t="str">
        <f>VLOOKUP(D1149,tblProjekt[],2,FALSE)</f>
        <v>Produktionsportal 3</v>
      </c>
      <c r="F1149" s="58">
        <v>1</v>
      </c>
      <c r="G1149" s="58"/>
      <c r="H1149" s="58"/>
      <c r="I1149" s="58"/>
      <c r="J1149" s="58"/>
      <c r="K1149" s="58"/>
      <c r="L1149" s="59" t="s">
        <v>1191</v>
      </c>
    </row>
    <row r="1150" spans="2:12" x14ac:dyDescent="0.2">
      <c r="B1150" s="55">
        <v>42383</v>
      </c>
      <c r="C1150" s="56">
        <v>0.5</v>
      </c>
      <c r="D1150" s="57" t="s">
        <v>1002</v>
      </c>
      <c r="E1150" s="57" t="str">
        <f>VLOOKUP(D1150,tblProjekt[],2,FALSE)</f>
        <v>Produktionsportal 3</v>
      </c>
      <c r="F1150" s="58" t="s">
        <v>1190</v>
      </c>
      <c r="G1150" s="58"/>
      <c r="H1150" s="58"/>
      <c r="I1150" s="58"/>
      <c r="J1150" s="58"/>
      <c r="K1150" s="58"/>
      <c r="L1150" s="59" t="s">
        <v>1189</v>
      </c>
    </row>
    <row r="1151" spans="2:12" x14ac:dyDescent="0.2">
      <c r="B1151" s="55">
        <v>42383</v>
      </c>
      <c r="C1151" s="56">
        <v>2.25</v>
      </c>
      <c r="D1151" s="57" t="s">
        <v>1002</v>
      </c>
      <c r="E1151" s="57" t="str">
        <f>VLOOKUP(D1151,tblProjekt[],2,FALSE)</f>
        <v>Produktionsportal 3</v>
      </c>
      <c r="F1151" s="58">
        <v>1</v>
      </c>
      <c r="G1151" s="58"/>
      <c r="H1151" s="58"/>
      <c r="I1151" s="58"/>
      <c r="J1151" s="58"/>
      <c r="K1151" s="58"/>
      <c r="L1151" s="59" t="s">
        <v>1186</v>
      </c>
    </row>
    <row r="1152" spans="2:12" ht="36" x14ac:dyDescent="0.2">
      <c r="B1152" s="55">
        <v>42384</v>
      </c>
      <c r="C1152" s="56">
        <v>4.5</v>
      </c>
      <c r="D1152" s="57" t="s">
        <v>969</v>
      </c>
      <c r="E1152" s="57" t="str">
        <f>VLOOKUP(D1152,tblProjekt[],2,FALSE)</f>
        <v>Calculator Österreich, allgemein</v>
      </c>
      <c r="F1152" s="58"/>
      <c r="G1152" s="58"/>
      <c r="H1152" s="58"/>
      <c r="I1152" s="58"/>
      <c r="J1152" s="58"/>
      <c r="K1152" s="58"/>
      <c r="L1152" s="59" t="s">
        <v>1187</v>
      </c>
    </row>
    <row r="1153" spans="2:12" ht="24" x14ac:dyDescent="0.2">
      <c r="B1153" s="55">
        <v>42384</v>
      </c>
      <c r="C1153" s="56">
        <v>2</v>
      </c>
      <c r="D1153" s="57" t="s">
        <v>1002</v>
      </c>
      <c r="E1153" s="57" t="str">
        <f>VLOOKUP(D1153,tblProjekt[],2,FALSE)</f>
        <v>Produktionsportal 3</v>
      </c>
      <c r="F1153" s="58">
        <v>1</v>
      </c>
      <c r="G1153" s="58"/>
      <c r="H1153" s="58"/>
      <c r="I1153" s="58"/>
      <c r="J1153" s="58"/>
      <c r="K1153" s="58"/>
      <c r="L1153" s="59" t="s">
        <v>1188</v>
      </c>
    </row>
    <row r="1154" spans="2:12" x14ac:dyDescent="0.2">
      <c r="B1154" s="55">
        <v>42384</v>
      </c>
      <c r="C1154" s="56">
        <v>2</v>
      </c>
      <c r="D1154" s="57" t="s">
        <v>6</v>
      </c>
      <c r="E1154" s="57" t="str">
        <f>VLOOKUP(D1154,tblProjekt[],2,FALSE)</f>
        <v>Produktionsportal 2</v>
      </c>
      <c r="F1154" s="58">
        <v>68</v>
      </c>
      <c r="G1154" s="58"/>
      <c r="H1154" s="58"/>
      <c r="I1154" s="58"/>
      <c r="J1154" s="58"/>
      <c r="K1154" s="58"/>
      <c r="L1154" s="59" t="s">
        <v>1189</v>
      </c>
    </row>
    <row r="1155" spans="2:12" ht="24" x14ac:dyDescent="0.2">
      <c r="B1155" s="55">
        <v>42387</v>
      </c>
      <c r="C1155" s="56">
        <v>0.75</v>
      </c>
      <c r="D1155" s="57" t="s">
        <v>1002</v>
      </c>
      <c r="E1155" s="57" t="str">
        <f>VLOOKUP(D1155,tblProjekt[],2,FALSE)</f>
        <v>Produktionsportal 3</v>
      </c>
      <c r="F1155" s="58"/>
      <c r="G1155" s="58"/>
      <c r="H1155" s="58"/>
      <c r="I1155" s="58"/>
      <c r="J1155" s="58"/>
      <c r="K1155" s="58"/>
      <c r="L1155" s="59" t="s">
        <v>1193</v>
      </c>
    </row>
    <row r="1156" spans="2:12" ht="24" x14ac:dyDescent="0.2">
      <c r="B1156" s="55">
        <v>42387</v>
      </c>
      <c r="C1156" s="56">
        <v>0.25</v>
      </c>
      <c r="D1156" s="57" t="s">
        <v>6</v>
      </c>
      <c r="E1156" s="57" t="str">
        <f>VLOOKUP(D1156,tblProjekt[],2,FALSE)</f>
        <v>Produktionsportal 2</v>
      </c>
      <c r="F1156" s="58">
        <v>68</v>
      </c>
      <c r="G1156" s="58"/>
      <c r="H1156" s="58"/>
      <c r="I1156" s="58"/>
      <c r="J1156" s="58"/>
      <c r="K1156" s="58"/>
      <c r="L1156" s="59" t="s">
        <v>1194</v>
      </c>
    </row>
    <row r="1157" spans="2:12" x14ac:dyDescent="0.2">
      <c r="B1157" s="55">
        <v>42387</v>
      </c>
      <c r="C1157" s="56">
        <v>0.25</v>
      </c>
      <c r="D1157" s="57" t="s">
        <v>1002</v>
      </c>
      <c r="E1157" s="57" t="str">
        <f>VLOOKUP(D1157,tblProjekt[],2,FALSE)</f>
        <v>Produktionsportal 3</v>
      </c>
      <c r="F1157" s="58">
        <v>3</v>
      </c>
      <c r="G1157" s="58"/>
      <c r="H1157" s="58"/>
      <c r="I1157" s="58"/>
      <c r="J1157" s="58"/>
      <c r="K1157" s="58"/>
      <c r="L1157" s="59" t="s">
        <v>1195</v>
      </c>
    </row>
    <row r="1158" spans="2:12" x14ac:dyDescent="0.2">
      <c r="B1158" s="55">
        <v>42387</v>
      </c>
      <c r="C1158" s="56">
        <v>0.5</v>
      </c>
      <c r="D1158" s="57" t="s">
        <v>84</v>
      </c>
      <c r="E1158" s="57" t="str">
        <f>VLOOKUP(D1158,tblProjekt[],2,FALSE)</f>
        <v>Infrastruktur cognovo</v>
      </c>
      <c r="F1158" s="58"/>
      <c r="G1158" s="58"/>
      <c r="H1158" s="58"/>
      <c r="I1158" s="58"/>
      <c r="J1158" s="58"/>
      <c r="K1158" s="58"/>
      <c r="L1158" s="59" t="s">
        <v>223</v>
      </c>
    </row>
    <row r="1159" spans="2:12" x14ac:dyDescent="0.2">
      <c r="B1159" s="55">
        <v>42387</v>
      </c>
      <c r="C1159" s="56">
        <v>0.25</v>
      </c>
      <c r="D1159" s="57" t="s">
        <v>43</v>
      </c>
      <c r="E1159" s="57" t="str">
        <f>VLOOKUP(D1159,tblProjekt[],2,FALSE)</f>
        <v>DPMPSN Calculator</v>
      </c>
      <c r="F1159" s="58" t="s">
        <v>1196</v>
      </c>
      <c r="G1159" s="58"/>
      <c r="H1159" s="58"/>
      <c r="I1159" s="58"/>
      <c r="J1159" s="58"/>
      <c r="K1159" s="58"/>
      <c r="L1159" s="59" t="s">
        <v>1091</v>
      </c>
    </row>
    <row r="1160" spans="2:12" ht="24" x14ac:dyDescent="0.2">
      <c r="B1160" s="55">
        <v>42387</v>
      </c>
      <c r="C1160" s="56">
        <v>0.5</v>
      </c>
      <c r="D1160" s="57" t="s">
        <v>84</v>
      </c>
      <c r="E1160" s="57" t="str">
        <f>VLOOKUP(D1160,tblProjekt[],2,FALSE)</f>
        <v>Infrastruktur cognovo</v>
      </c>
      <c r="F1160" s="58">
        <v>22</v>
      </c>
      <c r="G1160" s="58"/>
      <c r="H1160" s="58"/>
      <c r="I1160" s="58"/>
      <c r="J1160" s="58"/>
      <c r="K1160" s="58"/>
      <c r="L1160" s="59" t="s">
        <v>1197</v>
      </c>
    </row>
    <row r="1161" spans="2:12" x14ac:dyDescent="0.2">
      <c r="B1161" s="55">
        <v>42387</v>
      </c>
      <c r="C1161" s="56">
        <v>0.5</v>
      </c>
      <c r="D1161" s="57" t="s">
        <v>84</v>
      </c>
      <c r="E1161" s="57" t="str">
        <f>VLOOKUP(D1161,tblProjekt[],2,FALSE)</f>
        <v>Infrastruktur cognovo</v>
      </c>
      <c r="F1161" s="58"/>
      <c r="G1161" s="58"/>
      <c r="H1161" s="58"/>
      <c r="I1161" s="58"/>
      <c r="J1161" s="58"/>
      <c r="K1161" s="58"/>
      <c r="L1161" s="59" t="s">
        <v>933</v>
      </c>
    </row>
    <row r="1162" spans="2:12" ht="24" x14ac:dyDescent="0.2">
      <c r="B1162" s="55">
        <v>42387</v>
      </c>
      <c r="C1162" s="56">
        <v>0.75</v>
      </c>
      <c r="D1162" s="57" t="s">
        <v>43</v>
      </c>
      <c r="E1162" s="57" t="str">
        <f>VLOOKUP(D1162,tblProjekt[],2,FALSE)</f>
        <v>DPMPSN Calculator</v>
      </c>
      <c r="F1162" s="58" t="s">
        <v>1196</v>
      </c>
      <c r="G1162" s="58"/>
      <c r="H1162" s="58"/>
      <c r="I1162" s="58"/>
      <c r="J1162" s="58"/>
      <c r="K1162" s="58"/>
      <c r="L1162" s="59" t="s">
        <v>1198</v>
      </c>
    </row>
    <row r="1163" spans="2:12" x14ac:dyDescent="0.2">
      <c r="B1163" s="55">
        <v>42387</v>
      </c>
      <c r="C1163" s="56">
        <v>3.25</v>
      </c>
      <c r="D1163" s="57" t="s">
        <v>84</v>
      </c>
      <c r="E1163" s="57" t="str">
        <f>VLOOKUP(D1163,tblProjekt[],2,FALSE)</f>
        <v>Infrastruktur cognovo</v>
      </c>
      <c r="F1163" s="58"/>
      <c r="G1163" s="58"/>
      <c r="H1163" s="58"/>
      <c r="I1163" s="58"/>
      <c r="J1163" s="58"/>
      <c r="K1163" s="58"/>
      <c r="L1163" s="59" t="s">
        <v>1213</v>
      </c>
    </row>
    <row r="1164" spans="2:12" ht="24" x14ac:dyDescent="0.2">
      <c r="B1164" s="55">
        <v>42388</v>
      </c>
      <c r="C1164" s="56">
        <v>1</v>
      </c>
      <c r="D1164" s="57" t="s">
        <v>969</v>
      </c>
      <c r="E1164" s="57" t="str">
        <f>VLOOKUP(D1164,tblProjekt[],2,FALSE)</f>
        <v>Calculator Österreich, allgemein</v>
      </c>
      <c r="F1164" s="58"/>
      <c r="G1164" s="58"/>
      <c r="H1164" s="58"/>
      <c r="I1164" s="58"/>
      <c r="J1164" s="58"/>
      <c r="K1164" s="58"/>
      <c r="L1164" s="59" t="s">
        <v>1199</v>
      </c>
    </row>
    <row r="1165" spans="2:12" ht="24" x14ac:dyDescent="0.2">
      <c r="B1165" s="55">
        <v>42388</v>
      </c>
      <c r="C1165" s="56">
        <v>1.75</v>
      </c>
      <c r="D1165" s="57" t="s">
        <v>43</v>
      </c>
      <c r="E1165" s="57" t="str">
        <f>VLOOKUP(D1165,tblProjekt[],2,FALSE)</f>
        <v>DPMPSN Calculator</v>
      </c>
      <c r="F1165" s="58" t="s">
        <v>1196</v>
      </c>
      <c r="G1165" s="58"/>
      <c r="H1165" s="58"/>
      <c r="I1165" s="58"/>
      <c r="J1165" s="58"/>
      <c r="K1165" s="58"/>
      <c r="L1165" s="59" t="s">
        <v>1200</v>
      </c>
    </row>
    <row r="1166" spans="2:12" ht="24" x14ac:dyDescent="0.2">
      <c r="B1166" s="55">
        <v>42388</v>
      </c>
      <c r="C1166" s="56">
        <v>0.25</v>
      </c>
      <c r="D1166" s="57" t="s">
        <v>969</v>
      </c>
      <c r="E1166" s="57" t="str">
        <f>VLOOKUP(D1166,tblProjekt[],2,FALSE)</f>
        <v>Calculator Österreich, allgemein</v>
      </c>
      <c r="F1166" s="58"/>
      <c r="G1166" s="58"/>
      <c r="H1166" s="58"/>
      <c r="I1166" s="58"/>
      <c r="J1166" s="58"/>
      <c r="K1166" s="58"/>
      <c r="L1166" s="59" t="s">
        <v>1201</v>
      </c>
    </row>
    <row r="1167" spans="2:12" ht="24" x14ac:dyDescent="0.2">
      <c r="B1167" s="55">
        <v>42388</v>
      </c>
      <c r="C1167" s="56">
        <v>0.75</v>
      </c>
      <c r="D1167" s="57" t="s">
        <v>1002</v>
      </c>
      <c r="E1167" s="57" t="str">
        <f>VLOOKUP(D1167,tblProjekt[],2,FALSE)</f>
        <v>Produktionsportal 3</v>
      </c>
      <c r="F1167" s="58">
        <v>4</v>
      </c>
      <c r="G1167" s="58"/>
      <c r="H1167" s="58"/>
      <c r="I1167" s="58"/>
      <c r="J1167" s="58"/>
      <c r="K1167" s="58"/>
      <c r="L1167" s="59" t="s">
        <v>1202</v>
      </c>
    </row>
    <row r="1168" spans="2:12" ht="36" x14ac:dyDescent="0.2">
      <c r="B1168" s="55">
        <v>42388</v>
      </c>
      <c r="C1168" s="56">
        <v>3.25</v>
      </c>
      <c r="D1168" s="57" t="s">
        <v>43</v>
      </c>
      <c r="E1168" s="57" t="str">
        <f>VLOOKUP(D1168,tblProjekt[],2,FALSE)</f>
        <v>DPMPSN Calculator</v>
      </c>
      <c r="F1168" s="58">
        <v>221</v>
      </c>
      <c r="G1168" s="58"/>
      <c r="H1168" s="58"/>
      <c r="I1168" s="58"/>
      <c r="J1168" s="58"/>
      <c r="K1168" s="58"/>
      <c r="L1168" s="59" t="s">
        <v>1203</v>
      </c>
    </row>
    <row r="1169" spans="2:12" x14ac:dyDescent="0.2">
      <c r="B1169" s="55">
        <v>42389</v>
      </c>
      <c r="C1169" s="56">
        <v>2</v>
      </c>
      <c r="D1169" s="57" t="s">
        <v>43</v>
      </c>
      <c r="E1169" s="57" t="str">
        <f>VLOOKUP(D1169,tblProjekt[],2,FALSE)</f>
        <v>DPMPSN Calculator</v>
      </c>
      <c r="F1169" s="58">
        <v>221</v>
      </c>
      <c r="G1169" s="58"/>
      <c r="H1169" s="58"/>
      <c r="I1169" s="58"/>
      <c r="J1169" s="58"/>
      <c r="K1169" s="58"/>
      <c r="L1169" s="59" t="s">
        <v>1204</v>
      </c>
    </row>
    <row r="1170" spans="2:12" x14ac:dyDescent="0.2">
      <c r="B1170" s="55">
        <v>42389</v>
      </c>
      <c r="C1170" s="56">
        <v>0.5</v>
      </c>
      <c r="D1170" s="57" t="s">
        <v>84</v>
      </c>
      <c r="E1170" s="57" t="str">
        <f>VLOOKUP(D1170,tblProjekt[],2,FALSE)</f>
        <v>Infrastruktur cognovo</v>
      </c>
      <c r="F1170" s="58"/>
      <c r="G1170" s="58"/>
      <c r="H1170" s="58"/>
      <c r="I1170" s="58"/>
      <c r="J1170" s="58"/>
      <c r="K1170" s="58"/>
      <c r="L1170" s="59" t="s">
        <v>223</v>
      </c>
    </row>
    <row r="1171" spans="2:12" ht="24" x14ac:dyDescent="0.2">
      <c r="B1171" s="55">
        <v>42389</v>
      </c>
      <c r="C1171" s="56">
        <v>0.75</v>
      </c>
      <c r="D1171" s="57" t="s">
        <v>43</v>
      </c>
      <c r="E1171" s="57" t="str">
        <f>VLOOKUP(D1171,tblProjekt[],2,FALSE)</f>
        <v>DPMPSN Calculator</v>
      </c>
      <c r="F1171" s="58">
        <v>221</v>
      </c>
      <c r="G1171" s="58"/>
      <c r="H1171" s="58"/>
      <c r="I1171" s="58"/>
      <c r="J1171" s="58"/>
      <c r="K1171" s="58"/>
      <c r="L1171" s="59" t="s">
        <v>1205</v>
      </c>
    </row>
    <row r="1172" spans="2:12" ht="24" x14ac:dyDescent="0.2">
      <c r="B1172" s="55">
        <v>42389</v>
      </c>
      <c r="C1172" s="56">
        <v>3.5</v>
      </c>
      <c r="D1172" s="57" t="s">
        <v>1002</v>
      </c>
      <c r="E1172" s="57" t="str">
        <f>VLOOKUP(D1172,tblProjekt[],2,FALSE)</f>
        <v>Produktionsportal 3</v>
      </c>
      <c r="F1172" s="58">
        <v>4</v>
      </c>
      <c r="G1172" s="58"/>
      <c r="H1172" s="58"/>
      <c r="I1172" s="58"/>
      <c r="J1172" s="58"/>
      <c r="K1172" s="58"/>
      <c r="L1172" s="59" t="s">
        <v>1206</v>
      </c>
    </row>
    <row r="1173" spans="2:12" x14ac:dyDescent="0.2">
      <c r="B1173" s="55">
        <v>42390</v>
      </c>
      <c r="C1173" s="56">
        <v>0.5</v>
      </c>
      <c r="D1173" s="57" t="s">
        <v>84</v>
      </c>
      <c r="E1173" s="57" t="str">
        <f>VLOOKUP(D1173,tblProjekt[],2,FALSE)</f>
        <v>Infrastruktur cognovo</v>
      </c>
      <c r="F1173" s="58"/>
      <c r="G1173" s="58"/>
      <c r="H1173" s="58"/>
      <c r="I1173" s="58"/>
      <c r="J1173" s="58"/>
      <c r="K1173" s="58"/>
      <c r="L1173" s="59" t="s">
        <v>223</v>
      </c>
    </row>
    <row r="1174" spans="2:12" x14ac:dyDescent="0.2">
      <c r="B1174" s="55">
        <v>42390</v>
      </c>
      <c r="C1174" s="56">
        <v>0.25</v>
      </c>
      <c r="D1174" s="57" t="s">
        <v>84</v>
      </c>
      <c r="E1174" s="57" t="str">
        <f>VLOOKUP(D1174,tblProjekt[],2,FALSE)</f>
        <v>Infrastruktur cognovo</v>
      </c>
      <c r="F1174" s="58"/>
      <c r="G1174" s="58"/>
      <c r="H1174" s="58"/>
      <c r="I1174" s="58"/>
      <c r="J1174" s="58"/>
      <c r="K1174" s="58"/>
      <c r="L1174" s="59" t="s">
        <v>1207</v>
      </c>
    </row>
    <row r="1175" spans="2:12" x14ac:dyDescent="0.2">
      <c r="B1175" s="55">
        <v>42390</v>
      </c>
      <c r="C1175" s="56">
        <v>0.5</v>
      </c>
      <c r="D1175" s="57" t="s">
        <v>43</v>
      </c>
      <c r="E1175" s="57" t="str">
        <f>VLOOKUP(D1175,tblProjekt[],2,FALSE)</f>
        <v>DPMPSN Calculator</v>
      </c>
      <c r="F1175" s="58">
        <v>221</v>
      </c>
      <c r="G1175" s="58"/>
      <c r="H1175" s="58"/>
      <c r="I1175" s="58"/>
      <c r="J1175" s="58"/>
      <c r="K1175" s="58"/>
      <c r="L1175" s="59" t="s">
        <v>1208</v>
      </c>
    </row>
    <row r="1176" spans="2:12" x14ac:dyDescent="0.2">
      <c r="B1176" s="55">
        <v>42390</v>
      </c>
      <c r="C1176" s="56">
        <v>1</v>
      </c>
      <c r="D1176" s="57" t="s">
        <v>6</v>
      </c>
      <c r="E1176" s="57" t="str">
        <f>VLOOKUP(D1176,tblProjekt[],2,FALSE)</f>
        <v>Produktionsportal 2</v>
      </c>
      <c r="F1176" s="58">
        <v>68</v>
      </c>
      <c r="G1176" s="58"/>
      <c r="H1176" s="58"/>
      <c r="I1176" s="58"/>
      <c r="J1176" s="58"/>
      <c r="K1176" s="58"/>
      <c r="L1176" s="59" t="s">
        <v>1209</v>
      </c>
    </row>
    <row r="1177" spans="2:12" ht="24" x14ac:dyDescent="0.2">
      <c r="B1177" s="55">
        <v>42390</v>
      </c>
      <c r="C1177" s="56">
        <v>0.75</v>
      </c>
      <c r="D1177" s="57" t="s">
        <v>43</v>
      </c>
      <c r="E1177" s="57" t="str">
        <f>VLOOKUP(D1177,tblProjekt[],2,FALSE)</f>
        <v>DPMPSN Calculator</v>
      </c>
      <c r="F1177" s="58" t="s">
        <v>1196</v>
      </c>
      <c r="G1177" s="58"/>
      <c r="H1177" s="58"/>
      <c r="I1177" s="58"/>
      <c r="J1177" s="58"/>
      <c r="K1177" s="58"/>
      <c r="L1177" s="59" t="s">
        <v>1200</v>
      </c>
    </row>
    <row r="1178" spans="2:12" ht="36" x14ac:dyDescent="0.2">
      <c r="B1178" s="55">
        <v>42390</v>
      </c>
      <c r="C1178" s="56">
        <v>1</v>
      </c>
      <c r="D1178" s="57" t="s">
        <v>969</v>
      </c>
      <c r="E1178" s="57" t="str">
        <f>VLOOKUP(D1178,tblProjekt[],2,FALSE)</f>
        <v>Calculator Österreich, allgemein</v>
      </c>
      <c r="F1178" s="58"/>
      <c r="G1178" s="58"/>
      <c r="H1178" s="58"/>
      <c r="I1178" s="58"/>
      <c r="J1178" s="58"/>
      <c r="K1178" s="58"/>
      <c r="L1178" s="59" t="s">
        <v>1210</v>
      </c>
    </row>
    <row r="1179" spans="2:12" ht="36" x14ac:dyDescent="0.2">
      <c r="B1179" s="55">
        <v>42390</v>
      </c>
      <c r="C1179" s="56">
        <v>1.5</v>
      </c>
      <c r="D1179" s="57" t="s">
        <v>6</v>
      </c>
      <c r="E1179" s="57" t="str">
        <f>VLOOKUP(D1179,tblProjekt[],2,FALSE)</f>
        <v>Produktionsportal 2</v>
      </c>
      <c r="F1179" s="58">
        <v>69</v>
      </c>
      <c r="G1179" s="58"/>
      <c r="H1179" s="58"/>
      <c r="I1179" s="58"/>
      <c r="J1179" s="58"/>
      <c r="K1179" s="58"/>
      <c r="L1179" s="59" t="s">
        <v>1211</v>
      </c>
    </row>
    <row r="1180" spans="2:12" ht="36" x14ac:dyDescent="0.2">
      <c r="B1180" s="55">
        <v>42390</v>
      </c>
      <c r="C1180" s="56">
        <v>3</v>
      </c>
      <c r="D1180" s="57" t="s">
        <v>6</v>
      </c>
      <c r="E1180" s="57" t="str">
        <f>VLOOKUP(D1180,tblProjekt[],2,FALSE)</f>
        <v>Produktionsportal 2</v>
      </c>
      <c r="F1180" s="58">
        <v>69</v>
      </c>
      <c r="G1180" s="58"/>
      <c r="H1180" s="58"/>
      <c r="I1180" s="58"/>
      <c r="J1180" s="58"/>
      <c r="K1180" s="58"/>
      <c r="L1180" s="59" t="s">
        <v>1212</v>
      </c>
    </row>
    <row r="1181" spans="2:12" x14ac:dyDescent="0.2">
      <c r="B1181" s="55">
        <v>42391</v>
      </c>
      <c r="C1181" s="56">
        <v>0.25</v>
      </c>
      <c r="D1181" s="57" t="s">
        <v>84</v>
      </c>
      <c r="E1181" s="57" t="str">
        <f>VLOOKUP(D1181,tblProjekt[],2,FALSE)</f>
        <v>Infrastruktur cognovo</v>
      </c>
      <c r="F1181" s="58"/>
      <c r="G1181" s="58"/>
      <c r="H1181" s="58"/>
      <c r="I1181" s="58"/>
      <c r="J1181" s="58"/>
      <c r="K1181" s="58"/>
      <c r="L1181" s="59" t="s">
        <v>223</v>
      </c>
    </row>
    <row r="1182" spans="2:12" ht="36" x14ac:dyDescent="0.2">
      <c r="B1182" s="55">
        <v>42391</v>
      </c>
      <c r="C1182" s="56">
        <v>1</v>
      </c>
      <c r="D1182" s="57" t="s">
        <v>6</v>
      </c>
      <c r="E1182" s="57" t="str">
        <f>VLOOKUP(D1182,tblProjekt[],2,FALSE)</f>
        <v>Produktionsportal 2</v>
      </c>
      <c r="F1182" s="58">
        <v>69</v>
      </c>
      <c r="G1182" s="58"/>
      <c r="H1182" s="58"/>
      <c r="I1182" s="58"/>
      <c r="J1182" s="58"/>
      <c r="K1182" s="58"/>
      <c r="L1182" s="59" t="s">
        <v>1212</v>
      </c>
    </row>
    <row r="1183" spans="2:12" ht="36" x14ac:dyDescent="0.2">
      <c r="B1183" s="55">
        <v>42391</v>
      </c>
      <c r="C1183" s="56">
        <v>1.25</v>
      </c>
      <c r="D1183" s="57" t="s">
        <v>43</v>
      </c>
      <c r="E1183" s="57" t="str">
        <f>VLOOKUP(D1183,tblProjekt[],2,FALSE)</f>
        <v>DPMPSN Calculator</v>
      </c>
      <c r="F1183" s="58" t="s">
        <v>1214</v>
      </c>
      <c r="G1183" s="58"/>
      <c r="H1183" s="58"/>
      <c r="I1183" s="58"/>
      <c r="J1183" s="58"/>
      <c r="K1183" s="58"/>
      <c r="L1183" s="59" t="s">
        <v>1215</v>
      </c>
    </row>
    <row r="1184" spans="2:12" ht="24" x14ac:dyDescent="0.2">
      <c r="B1184" s="55">
        <v>42391</v>
      </c>
      <c r="C1184" s="56">
        <v>0.5</v>
      </c>
      <c r="D1184" s="57" t="s">
        <v>63</v>
      </c>
      <c r="E1184" s="57" t="str">
        <f>VLOOKUP(D1184,tblProjekt[],2,FALSE)</f>
        <v>Klosterfrau Mass Market</v>
      </c>
      <c r="F1184" s="58">
        <v>136</v>
      </c>
      <c r="G1184" s="58"/>
      <c r="H1184" s="58"/>
      <c r="I1184" s="58"/>
      <c r="J1184" s="58"/>
      <c r="K1184" s="58"/>
      <c r="L1184" s="59" t="s">
        <v>1216</v>
      </c>
    </row>
    <row r="1185" spans="2:12" ht="24" x14ac:dyDescent="0.2">
      <c r="B1185" s="55">
        <v>42391</v>
      </c>
      <c r="C1185" s="56">
        <v>3</v>
      </c>
      <c r="D1185" s="57" t="s">
        <v>84</v>
      </c>
      <c r="E1185" s="57" t="str">
        <f>VLOOKUP(D1185,tblProjekt[],2,FALSE)</f>
        <v>Infrastruktur cognovo</v>
      </c>
      <c r="F1185" s="58"/>
      <c r="G1185" s="58"/>
      <c r="H1185" s="58"/>
      <c r="I1185" s="58"/>
      <c r="J1185" s="58"/>
      <c r="K1185" s="58"/>
      <c r="L1185" s="59" t="s">
        <v>1217</v>
      </c>
    </row>
    <row r="1186" spans="2:12" x14ac:dyDescent="0.2">
      <c r="B1186" s="55">
        <v>42394</v>
      </c>
      <c r="C1186" s="56">
        <v>0.5</v>
      </c>
      <c r="D1186" s="57" t="s">
        <v>84</v>
      </c>
      <c r="E1186" s="57" t="str">
        <f>VLOOKUP(D1186,tblProjekt[],2,FALSE)</f>
        <v>Infrastruktur cognovo</v>
      </c>
      <c r="F1186" s="58"/>
      <c r="G1186" s="58"/>
      <c r="H1186" s="58"/>
      <c r="I1186" s="58"/>
      <c r="J1186" s="58"/>
      <c r="K1186" s="58"/>
      <c r="L1186" s="59" t="s">
        <v>1218</v>
      </c>
    </row>
    <row r="1187" spans="2:12" ht="24" x14ac:dyDescent="0.2">
      <c r="B1187" s="55">
        <v>42394</v>
      </c>
      <c r="C1187" s="56">
        <v>0.25</v>
      </c>
      <c r="D1187" s="57" t="s">
        <v>84</v>
      </c>
      <c r="E1187" s="57" t="str">
        <f>VLOOKUP(D1187,tblProjekt[],2,FALSE)</f>
        <v>Infrastruktur cognovo</v>
      </c>
      <c r="F1187" s="58"/>
      <c r="G1187" s="58"/>
      <c r="H1187" s="58"/>
      <c r="I1187" s="58"/>
      <c r="J1187" s="58"/>
      <c r="K1187" s="58"/>
      <c r="L1187" s="59" t="s">
        <v>1219</v>
      </c>
    </row>
    <row r="1188" spans="2:12" ht="48" x14ac:dyDescent="0.2">
      <c r="B1188" s="55">
        <v>42394</v>
      </c>
      <c r="C1188" s="56">
        <v>2.5</v>
      </c>
      <c r="D1188" s="57" t="s">
        <v>6</v>
      </c>
      <c r="E1188" s="57" t="str">
        <f>VLOOKUP(D1188,tblProjekt[],2,FALSE)</f>
        <v>Produktionsportal 2</v>
      </c>
      <c r="F1188" s="58">
        <v>68</v>
      </c>
      <c r="G1188" s="58"/>
      <c r="H1188" s="58"/>
      <c r="I1188" s="58"/>
      <c r="J1188" s="58"/>
      <c r="K1188" s="58"/>
      <c r="L1188" s="59" t="s">
        <v>1220</v>
      </c>
    </row>
    <row r="1189" spans="2:12" ht="24" x14ac:dyDescent="0.2">
      <c r="B1189" s="55">
        <v>42394</v>
      </c>
      <c r="C1189" s="56">
        <v>1</v>
      </c>
      <c r="D1189" s="57" t="s">
        <v>705</v>
      </c>
      <c r="E1189" s="57" t="str">
        <f>VLOOKUP(D1189,tblProjekt[],2,FALSE)</f>
        <v>XMM Calculator</v>
      </c>
      <c r="F1189" s="58">
        <v>226</v>
      </c>
      <c r="G1189" s="58"/>
      <c r="H1189" s="58"/>
      <c r="I1189" s="58"/>
      <c r="J1189" s="58"/>
      <c r="K1189" s="58"/>
      <c r="L1189" s="59" t="s">
        <v>1221</v>
      </c>
    </row>
    <row r="1190" spans="2:12" x14ac:dyDescent="0.2">
      <c r="B1190" s="55">
        <v>42394</v>
      </c>
      <c r="C1190" s="56">
        <v>1.75</v>
      </c>
      <c r="D1190" s="57" t="s">
        <v>84</v>
      </c>
      <c r="E1190" s="57" t="str">
        <f>VLOOKUP(D1190,tblProjekt[],2,FALSE)</f>
        <v>Infrastruktur cognovo</v>
      </c>
      <c r="F1190" s="58"/>
      <c r="G1190" s="58"/>
      <c r="H1190" s="58"/>
      <c r="I1190" s="58"/>
      <c r="J1190" s="58"/>
      <c r="K1190" s="58"/>
      <c r="L1190" s="59" t="s">
        <v>1222</v>
      </c>
    </row>
    <row r="1191" spans="2:12" x14ac:dyDescent="0.2">
      <c r="B1191" s="55">
        <v>42395</v>
      </c>
      <c r="C1191" s="56">
        <v>0.5</v>
      </c>
      <c r="D1191" s="57" t="s">
        <v>43</v>
      </c>
      <c r="E1191" s="57" t="str">
        <f>VLOOKUP(D1191,tblProjekt[],2,FALSE)</f>
        <v>DPMPSN Calculator</v>
      </c>
      <c r="F1191" s="58">
        <v>224</v>
      </c>
      <c r="G1191" s="58"/>
      <c r="H1191" s="58"/>
      <c r="I1191" s="58"/>
      <c r="J1191" s="58"/>
      <c r="K1191" s="58"/>
      <c r="L1191" s="59" t="s">
        <v>416</v>
      </c>
    </row>
    <row r="1192" spans="2:12" x14ac:dyDescent="0.2">
      <c r="B1192" s="55">
        <v>42395</v>
      </c>
      <c r="C1192" s="56">
        <v>1.75</v>
      </c>
      <c r="D1192" s="57" t="s">
        <v>84</v>
      </c>
      <c r="E1192" s="57" t="str">
        <f>VLOOKUP(D1192,tblProjekt[],2,FALSE)</f>
        <v>Infrastruktur cognovo</v>
      </c>
      <c r="F1192" s="58"/>
      <c r="G1192" s="58"/>
      <c r="H1192" s="58"/>
      <c r="I1192" s="58"/>
      <c r="J1192" s="58"/>
      <c r="K1192" s="58"/>
      <c r="L1192" s="59" t="s">
        <v>1222</v>
      </c>
    </row>
    <row r="1193" spans="2:12" x14ac:dyDescent="0.2">
      <c r="B1193" s="55">
        <v>42395</v>
      </c>
      <c r="C1193" s="56">
        <v>0.75</v>
      </c>
      <c r="D1193" s="57" t="s">
        <v>705</v>
      </c>
      <c r="E1193" s="57" t="str">
        <f>VLOOKUP(D1193,tblProjekt[],2,FALSE)</f>
        <v>XMM Calculator</v>
      </c>
      <c r="F1193" s="58">
        <v>226</v>
      </c>
      <c r="G1193" s="58"/>
      <c r="H1193" s="58"/>
      <c r="I1193" s="58"/>
      <c r="J1193" s="58"/>
      <c r="K1193" s="58"/>
      <c r="L1193" s="59" t="s">
        <v>1223</v>
      </c>
    </row>
    <row r="1194" spans="2:12" ht="24" x14ac:dyDescent="0.2">
      <c r="B1194" s="55">
        <v>42395</v>
      </c>
      <c r="C1194" s="56">
        <v>0.25</v>
      </c>
      <c r="D1194" s="57" t="s">
        <v>6</v>
      </c>
      <c r="E1194" s="57" t="str">
        <f>VLOOKUP(D1194,tblProjekt[],2,FALSE)</f>
        <v>Produktionsportal 2</v>
      </c>
      <c r="F1194" s="58">
        <v>68</v>
      </c>
      <c r="G1194" s="58"/>
      <c r="H1194" s="58"/>
      <c r="I1194" s="58"/>
      <c r="J1194" s="58"/>
      <c r="K1194" s="58"/>
      <c r="L1194" s="59" t="s">
        <v>1224</v>
      </c>
    </row>
    <row r="1195" spans="2:12" ht="24" x14ac:dyDescent="0.2">
      <c r="B1195" s="55">
        <v>42395</v>
      </c>
      <c r="C1195" s="56">
        <v>0.5</v>
      </c>
      <c r="D1195" s="57" t="s">
        <v>705</v>
      </c>
      <c r="E1195" s="57" t="str">
        <f>VLOOKUP(D1195,tblProjekt[],2,FALSE)</f>
        <v>XMM Calculator</v>
      </c>
      <c r="F1195" s="58">
        <v>226</v>
      </c>
      <c r="G1195" s="58"/>
      <c r="H1195" s="58"/>
      <c r="I1195" s="58"/>
      <c r="J1195" s="58"/>
      <c r="K1195" s="58"/>
      <c r="L1195" s="59" t="s">
        <v>1225</v>
      </c>
    </row>
    <row r="1196" spans="2:12" x14ac:dyDescent="0.2">
      <c r="B1196" s="55">
        <v>42395</v>
      </c>
      <c r="C1196" s="56">
        <v>1.5</v>
      </c>
      <c r="D1196" s="57" t="s">
        <v>43</v>
      </c>
      <c r="E1196" s="57" t="str">
        <f>VLOOKUP(D1196,tblProjekt[],2,FALSE)</f>
        <v>DPMPSN Calculator</v>
      </c>
      <c r="F1196" s="58">
        <v>224</v>
      </c>
      <c r="G1196" s="58"/>
      <c r="H1196" s="58"/>
      <c r="I1196" s="58"/>
      <c r="J1196" s="58"/>
      <c r="K1196" s="58"/>
      <c r="L1196" s="59" t="s">
        <v>416</v>
      </c>
    </row>
    <row r="1197" spans="2:12" ht="24" x14ac:dyDescent="0.2">
      <c r="B1197" s="55">
        <v>42395</v>
      </c>
      <c r="C1197" s="56">
        <v>0.75</v>
      </c>
      <c r="D1197" s="57" t="s">
        <v>84</v>
      </c>
      <c r="E1197" s="57" t="str">
        <f>VLOOKUP(D1197,tblProjekt[],2,FALSE)</f>
        <v>Infrastruktur cognovo</v>
      </c>
      <c r="F1197" s="58"/>
      <c r="G1197" s="58"/>
      <c r="H1197" s="58"/>
      <c r="I1197" s="58"/>
      <c r="J1197" s="58"/>
      <c r="K1197" s="58"/>
      <c r="L1197" s="59" t="s">
        <v>1226</v>
      </c>
    </row>
    <row r="1198" spans="2:12" x14ac:dyDescent="0.2">
      <c r="B1198" s="55">
        <v>42396</v>
      </c>
      <c r="C1198" s="56">
        <v>0.25</v>
      </c>
      <c r="D1198" s="57" t="s">
        <v>84</v>
      </c>
      <c r="E1198" s="57" t="str">
        <f>VLOOKUP(D1198,tblProjekt[],2,FALSE)</f>
        <v>Infrastruktur cognovo</v>
      </c>
      <c r="F1198" s="58"/>
      <c r="G1198" s="58"/>
      <c r="H1198" s="58"/>
      <c r="I1198" s="58"/>
      <c r="J1198" s="58"/>
      <c r="K1198" s="58"/>
      <c r="L1198" s="59" t="s">
        <v>223</v>
      </c>
    </row>
    <row r="1199" spans="2:12" ht="24" x14ac:dyDescent="0.2">
      <c r="B1199" s="55">
        <v>42396</v>
      </c>
      <c r="C1199" s="56">
        <v>0.25</v>
      </c>
      <c r="D1199" s="57" t="s">
        <v>705</v>
      </c>
      <c r="E1199" s="57" t="str">
        <f>VLOOKUP(D1199,tblProjekt[],2,FALSE)</f>
        <v>XMM Calculator</v>
      </c>
      <c r="F1199" s="58">
        <v>226</v>
      </c>
      <c r="G1199" s="58"/>
      <c r="H1199" s="58"/>
      <c r="I1199" s="58"/>
      <c r="J1199" s="58"/>
      <c r="K1199" s="58"/>
      <c r="L1199" s="59" t="s">
        <v>1233</v>
      </c>
    </row>
    <row r="1200" spans="2:12" ht="24" x14ac:dyDescent="0.2">
      <c r="B1200" s="55">
        <v>42396</v>
      </c>
      <c r="C1200" s="56">
        <v>3.5</v>
      </c>
      <c r="D1200" s="57" t="s">
        <v>1002</v>
      </c>
      <c r="E1200" s="57" t="str">
        <f>VLOOKUP(D1200,tblProjekt[],2,FALSE)</f>
        <v>Produktionsportal 3</v>
      </c>
      <c r="F1200" s="58">
        <v>6</v>
      </c>
      <c r="G1200" s="58"/>
      <c r="H1200" s="58"/>
      <c r="I1200" s="58"/>
      <c r="J1200" s="58"/>
      <c r="K1200" s="58"/>
      <c r="L1200" s="59" t="s">
        <v>1227</v>
      </c>
    </row>
    <row r="1201" spans="2:12" ht="24" x14ac:dyDescent="0.2">
      <c r="B1201" s="55">
        <v>42396</v>
      </c>
      <c r="C1201" s="56">
        <v>0.75</v>
      </c>
      <c r="D1201" s="57" t="s">
        <v>1002</v>
      </c>
      <c r="E1201" s="57" t="str">
        <f>VLOOKUP(D1201,tblProjekt[],2,FALSE)</f>
        <v>Produktionsportal 3</v>
      </c>
      <c r="F1201" s="58">
        <v>7</v>
      </c>
      <c r="G1201" s="58"/>
      <c r="H1201" s="58"/>
      <c r="I1201" s="58"/>
      <c r="J1201" s="58"/>
      <c r="K1201" s="58"/>
      <c r="L1201" s="59" t="s">
        <v>1228</v>
      </c>
    </row>
    <row r="1202" spans="2:12" x14ac:dyDescent="0.2">
      <c r="B1202" s="55">
        <v>42396</v>
      </c>
      <c r="C1202" s="56">
        <v>0.25</v>
      </c>
      <c r="D1202" s="57" t="s">
        <v>84</v>
      </c>
      <c r="E1202" s="57" t="str">
        <f>VLOOKUP(D1202,tblProjekt[],2,FALSE)</f>
        <v>Infrastruktur cognovo</v>
      </c>
      <c r="F1202" s="58"/>
      <c r="G1202" s="58"/>
      <c r="H1202" s="58"/>
      <c r="I1202" s="58"/>
      <c r="J1202" s="58"/>
      <c r="K1202" s="58"/>
      <c r="L1202" s="59" t="s">
        <v>1229</v>
      </c>
    </row>
    <row r="1203" spans="2:12" x14ac:dyDescent="0.2">
      <c r="B1203" s="55">
        <v>42397</v>
      </c>
      <c r="C1203" s="56">
        <v>0.5</v>
      </c>
      <c r="D1203" s="57" t="s">
        <v>43</v>
      </c>
      <c r="E1203" s="57" t="str">
        <f>VLOOKUP(D1203,tblProjekt[],2,FALSE)</f>
        <v>DPMPSN Calculator</v>
      </c>
      <c r="F1203" s="58">
        <v>224</v>
      </c>
      <c r="G1203" s="58"/>
      <c r="H1203" s="58"/>
      <c r="I1203" s="58"/>
      <c r="J1203" s="58"/>
      <c r="K1203" s="58"/>
      <c r="L1203" s="59" t="s">
        <v>416</v>
      </c>
    </row>
    <row r="1204" spans="2:12" ht="24" x14ac:dyDescent="0.2">
      <c r="B1204" s="55">
        <v>42397</v>
      </c>
      <c r="C1204" s="56">
        <v>1.75</v>
      </c>
      <c r="D1204" s="57" t="s">
        <v>1002</v>
      </c>
      <c r="E1204" s="57" t="str">
        <f>VLOOKUP(D1204,tblProjekt[],2,FALSE)</f>
        <v>Produktionsportal 3</v>
      </c>
      <c r="F1204" s="58">
        <v>6</v>
      </c>
      <c r="G1204" s="58"/>
      <c r="H1204" s="58"/>
      <c r="I1204" s="58"/>
      <c r="J1204" s="58"/>
      <c r="K1204" s="58"/>
      <c r="L1204" s="59" t="s">
        <v>1230</v>
      </c>
    </row>
    <row r="1205" spans="2:12" ht="24" x14ac:dyDescent="0.2">
      <c r="B1205" s="55">
        <v>42397</v>
      </c>
      <c r="C1205" s="56">
        <v>0.5</v>
      </c>
      <c r="D1205" s="57" t="s">
        <v>427</v>
      </c>
      <c r="E1205" s="57" t="str">
        <f>VLOOKUP(D1205,tblProjekt[],2,FALSE)</f>
        <v>Calculator übergreifend</v>
      </c>
      <c r="F1205" s="58"/>
      <c r="G1205" s="58"/>
      <c r="H1205" s="58"/>
      <c r="I1205" s="58"/>
      <c r="J1205" s="58"/>
      <c r="K1205" s="58"/>
      <c r="L1205" s="59" t="s">
        <v>1231</v>
      </c>
    </row>
    <row r="1206" spans="2:12" x14ac:dyDescent="0.2">
      <c r="B1206" s="55">
        <v>42397</v>
      </c>
      <c r="C1206" s="56">
        <v>1.5</v>
      </c>
      <c r="D1206" s="57" t="s">
        <v>6</v>
      </c>
      <c r="E1206" s="57" t="str">
        <f>VLOOKUP(D1206,tblProjekt[],2,FALSE)</f>
        <v>Produktionsportal 2</v>
      </c>
      <c r="F1206" s="58">
        <v>78</v>
      </c>
      <c r="G1206" s="58"/>
      <c r="H1206" s="58"/>
      <c r="I1206" s="58"/>
      <c r="J1206" s="58"/>
      <c r="K1206" s="58"/>
      <c r="L1206" s="59" t="s">
        <v>1232</v>
      </c>
    </row>
    <row r="1207" spans="2:12" ht="24" x14ac:dyDescent="0.2">
      <c r="B1207" s="55">
        <v>42397</v>
      </c>
      <c r="C1207" s="56">
        <v>0.5</v>
      </c>
      <c r="D1207" s="57" t="s">
        <v>705</v>
      </c>
      <c r="E1207" s="57" t="str">
        <f>VLOOKUP(D1207,tblProjekt[],2,FALSE)</f>
        <v>XMM Calculator</v>
      </c>
      <c r="F1207" s="58">
        <v>226</v>
      </c>
      <c r="G1207" s="58"/>
      <c r="H1207" s="58"/>
      <c r="I1207" s="58"/>
      <c r="J1207" s="58"/>
      <c r="K1207" s="58"/>
      <c r="L1207" s="59" t="s">
        <v>1234</v>
      </c>
    </row>
    <row r="1208" spans="2:12" x14ac:dyDescent="0.2">
      <c r="B1208" s="55">
        <v>42397</v>
      </c>
      <c r="C1208" s="56">
        <v>0.5</v>
      </c>
      <c r="D1208" s="57" t="s">
        <v>84</v>
      </c>
      <c r="E1208" s="57" t="str">
        <f>VLOOKUP(D1208,tblProjekt[],2,FALSE)</f>
        <v>Infrastruktur cognovo</v>
      </c>
      <c r="F1208" s="58"/>
      <c r="G1208" s="58"/>
      <c r="H1208" s="58"/>
      <c r="I1208" s="58"/>
      <c r="J1208" s="58"/>
      <c r="K1208" s="58"/>
      <c r="L1208" s="59" t="s">
        <v>1235</v>
      </c>
    </row>
    <row r="1209" spans="2:12" x14ac:dyDescent="0.2">
      <c r="B1209" s="55">
        <v>42398</v>
      </c>
      <c r="C1209" s="56">
        <v>0.25</v>
      </c>
      <c r="D1209" s="57" t="s">
        <v>84</v>
      </c>
      <c r="E1209" s="57" t="str">
        <f>VLOOKUP(D1209,tblProjekt[],2,FALSE)</f>
        <v>Infrastruktur cognovo</v>
      </c>
      <c r="F1209" s="58"/>
      <c r="G1209" s="58"/>
      <c r="H1209" s="58"/>
      <c r="I1209" s="58"/>
      <c r="J1209" s="58"/>
      <c r="K1209" s="58"/>
      <c r="L1209" s="59" t="s">
        <v>223</v>
      </c>
    </row>
    <row r="1210" spans="2:12" ht="24" x14ac:dyDescent="0.2">
      <c r="B1210" s="55">
        <v>42398</v>
      </c>
      <c r="C1210" s="56">
        <v>1</v>
      </c>
      <c r="D1210" s="57" t="s">
        <v>43</v>
      </c>
      <c r="E1210" s="57" t="str">
        <f>VLOOKUP(D1210,tblProjekt[],2,FALSE)</f>
        <v>DPMPSN Calculator</v>
      </c>
      <c r="F1210" s="58">
        <v>224</v>
      </c>
      <c r="G1210" s="58"/>
      <c r="H1210" s="58"/>
      <c r="I1210" s="58"/>
      <c r="J1210" s="58"/>
      <c r="K1210" s="58"/>
      <c r="L1210" s="59" t="s">
        <v>1236</v>
      </c>
    </row>
    <row r="1211" spans="2:12" ht="24" x14ac:dyDescent="0.2">
      <c r="B1211" s="55">
        <v>42398</v>
      </c>
      <c r="C1211" s="56">
        <v>6</v>
      </c>
      <c r="D1211" s="57" t="s">
        <v>84</v>
      </c>
      <c r="E1211" s="57" t="str">
        <f>VLOOKUP(D1211,tblProjekt[],2,FALSE)</f>
        <v>Infrastruktur cognovo</v>
      </c>
      <c r="F1211" s="58"/>
      <c r="G1211" s="58"/>
      <c r="H1211" s="58"/>
      <c r="I1211" s="58"/>
      <c r="J1211" s="58"/>
      <c r="K1211" s="58"/>
      <c r="L1211" s="59" t="s">
        <v>1237</v>
      </c>
    </row>
    <row r="1212" spans="2:12" ht="24" x14ac:dyDescent="0.2">
      <c r="B1212" s="55">
        <v>42398</v>
      </c>
      <c r="C1212" s="56">
        <v>0.25</v>
      </c>
      <c r="D1212" s="57" t="s">
        <v>427</v>
      </c>
      <c r="E1212" s="57" t="str">
        <f>VLOOKUP(D1212,tblProjekt[],2,FALSE)</f>
        <v>Calculator übergreifend</v>
      </c>
      <c r="F1212" s="58"/>
      <c r="G1212" s="58"/>
      <c r="H1212" s="58"/>
      <c r="I1212" s="58"/>
      <c r="J1212" s="58"/>
      <c r="K1212" s="58"/>
      <c r="L1212" s="59" t="s">
        <v>1238</v>
      </c>
    </row>
    <row r="1213" spans="2:12" x14ac:dyDescent="0.2">
      <c r="B1213" s="55">
        <v>42408</v>
      </c>
      <c r="C1213" s="56">
        <v>0.5</v>
      </c>
      <c r="D1213" s="57" t="s">
        <v>84</v>
      </c>
      <c r="E1213" s="57" t="str">
        <f>VLOOKUP(D1213,tblProjekt[],2,FALSE)</f>
        <v>Infrastruktur cognovo</v>
      </c>
      <c r="F1213" s="58"/>
      <c r="G1213" s="58"/>
      <c r="H1213" s="58"/>
      <c r="I1213" s="58"/>
      <c r="J1213" s="58"/>
      <c r="K1213" s="58"/>
      <c r="L1213" s="59" t="s">
        <v>610</v>
      </c>
    </row>
    <row r="1214" spans="2:12" ht="24" x14ac:dyDescent="0.2">
      <c r="B1214" s="55">
        <v>42408</v>
      </c>
      <c r="C1214" s="56">
        <v>0.25</v>
      </c>
      <c r="D1214" s="57" t="s">
        <v>427</v>
      </c>
      <c r="E1214" s="57" t="str">
        <f>VLOOKUP(D1214,tblProjekt[],2,FALSE)</f>
        <v>Calculator übergreifend</v>
      </c>
      <c r="F1214" s="58">
        <v>234</v>
      </c>
      <c r="G1214" s="58"/>
      <c r="H1214" s="58"/>
      <c r="I1214" s="58"/>
      <c r="J1214" s="58"/>
      <c r="K1214" s="58"/>
      <c r="L1214" s="59" t="s">
        <v>1239</v>
      </c>
    </row>
    <row r="1215" spans="2:12" x14ac:dyDescent="0.2">
      <c r="B1215" s="55">
        <v>42408</v>
      </c>
      <c r="C1215" s="56">
        <v>0.5</v>
      </c>
      <c r="D1215" s="57" t="s">
        <v>427</v>
      </c>
      <c r="E1215" s="57" t="str">
        <f>VLOOKUP(D1215,tblProjekt[],2,FALSE)</f>
        <v>Calculator übergreifend</v>
      </c>
      <c r="F1215" s="58"/>
      <c r="G1215" s="58"/>
      <c r="H1215" s="58"/>
      <c r="I1215" s="58"/>
      <c r="J1215" s="58"/>
      <c r="K1215" s="58"/>
      <c r="L1215" s="59" t="s">
        <v>1240</v>
      </c>
    </row>
    <row r="1216" spans="2:12" x14ac:dyDescent="0.2">
      <c r="B1216" s="55">
        <v>42408</v>
      </c>
      <c r="C1216" s="56">
        <v>0.5</v>
      </c>
      <c r="D1216" s="57" t="s">
        <v>17</v>
      </c>
      <c r="E1216" s="57" t="str">
        <f>VLOOKUP(D1216,tblProjekt[],2,FALSE)</f>
        <v>Powerspreadsheet Win7</v>
      </c>
      <c r="F1216" s="58"/>
      <c r="G1216" s="58"/>
      <c r="H1216" s="58"/>
      <c r="I1216" s="58"/>
      <c r="J1216" s="58"/>
      <c r="K1216" s="58"/>
      <c r="L1216" s="59" t="s">
        <v>1240</v>
      </c>
    </row>
    <row r="1217" spans="2:12" x14ac:dyDescent="0.2">
      <c r="B1217" s="55">
        <v>42408</v>
      </c>
      <c r="C1217" s="56">
        <v>0.25</v>
      </c>
      <c r="D1217" s="57" t="s">
        <v>6</v>
      </c>
      <c r="E1217" s="57" t="str">
        <f>VLOOKUP(D1217,tblProjekt[],2,FALSE)</f>
        <v>Produktionsportal 2</v>
      </c>
      <c r="F1217" s="58"/>
      <c r="G1217" s="58"/>
      <c r="H1217" s="58"/>
      <c r="I1217" s="58"/>
      <c r="J1217" s="58"/>
      <c r="K1217" s="58"/>
      <c r="L1217" s="59" t="s">
        <v>1240</v>
      </c>
    </row>
    <row r="1218" spans="2:12" x14ac:dyDescent="0.2">
      <c r="B1218" s="55">
        <v>42408</v>
      </c>
      <c r="C1218" s="56">
        <v>0.25</v>
      </c>
      <c r="D1218" s="57" t="s">
        <v>1002</v>
      </c>
      <c r="E1218" s="57" t="str">
        <f>VLOOKUP(D1218,tblProjekt[],2,FALSE)</f>
        <v>Produktionsportal 3</v>
      </c>
      <c r="F1218" s="58"/>
      <c r="G1218" s="58"/>
      <c r="H1218" s="58"/>
      <c r="I1218" s="58"/>
      <c r="J1218" s="58"/>
      <c r="K1218" s="58"/>
      <c r="L1218" s="59" t="s">
        <v>1240</v>
      </c>
    </row>
    <row r="1219" spans="2:12" x14ac:dyDescent="0.2">
      <c r="B1219" s="55">
        <v>42408</v>
      </c>
      <c r="C1219" s="56">
        <v>0.25</v>
      </c>
      <c r="D1219" s="57" t="s">
        <v>14</v>
      </c>
      <c r="E1219" s="57" t="str">
        <f>VLOOKUP(D1219,tblProjekt[],2,FALSE)</f>
        <v>CHA Calculator</v>
      </c>
      <c r="F1219" s="58"/>
      <c r="G1219" s="58"/>
      <c r="H1219" s="58"/>
      <c r="I1219" s="58"/>
      <c r="J1219" s="58"/>
      <c r="K1219" s="58"/>
      <c r="L1219" s="59" t="s">
        <v>1240</v>
      </c>
    </row>
    <row r="1220" spans="2:12" x14ac:dyDescent="0.2">
      <c r="B1220" s="55">
        <v>42408</v>
      </c>
      <c r="C1220" s="56">
        <v>0.25</v>
      </c>
      <c r="D1220" s="57" t="s">
        <v>969</v>
      </c>
      <c r="E1220" s="57" t="str">
        <f>VLOOKUP(D1220,tblProjekt[],2,FALSE)</f>
        <v>Calculator Österreich, allgemein</v>
      </c>
      <c r="F1220" s="58"/>
      <c r="G1220" s="58"/>
      <c r="H1220" s="58"/>
      <c r="I1220" s="58"/>
      <c r="J1220" s="58"/>
      <c r="K1220" s="58"/>
      <c r="L1220" s="59" t="s">
        <v>1240</v>
      </c>
    </row>
    <row r="1221" spans="2:12" x14ac:dyDescent="0.2">
      <c r="B1221" s="55">
        <v>42408</v>
      </c>
      <c r="C1221" s="56">
        <v>0.5</v>
      </c>
      <c r="D1221" s="57" t="s">
        <v>84</v>
      </c>
      <c r="E1221" s="57" t="str">
        <f>VLOOKUP(D1221,tblProjekt[],2,FALSE)</f>
        <v>Infrastruktur cognovo</v>
      </c>
      <c r="F1221" s="58"/>
      <c r="G1221" s="58"/>
      <c r="H1221" s="58"/>
      <c r="I1221" s="58"/>
      <c r="J1221" s="58"/>
      <c r="K1221" s="58"/>
      <c r="L1221" s="59" t="s">
        <v>1240</v>
      </c>
    </row>
    <row r="1222" spans="2:12" ht="36" x14ac:dyDescent="0.2">
      <c r="B1222" s="55">
        <v>42408</v>
      </c>
      <c r="C1222" s="56">
        <v>1.75</v>
      </c>
      <c r="D1222" s="57" t="s">
        <v>6</v>
      </c>
      <c r="E1222" s="57" t="str">
        <f>VLOOKUP(D1222,tblProjekt[],2,FALSE)</f>
        <v>Produktionsportal 2</v>
      </c>
      <c r="F1222" s="58">
        <v>80</v>
      </c>
      <c r="G1222" s="58"/>
      <c r="H1222" s="58"/>
      <c r="I1222" s="58"/>
      <c r="J1222" s="58"/>
      <c r="K1222" s="58"/>
      <c r="L1222" s="59" t="s">
        <v>1241</v>
      </c>
    </row>
    <row r="1223" spans="2:12" ht="24" x14ac:dyDescent="0.2">
      <c r="B1223" s="55">
        <v>42408</v>
      </c>
      <c r="C1223" s="56">
        <v>0.5</v>
      </c>
      <c r="D1223" s="57" t="s">
        <v>14</v>
      </c>
      <c r="E1223" s="57" t="str">
        <f>VLOOKUP(D1223,tblProjekt[],2,FALSE)</f>
        <v>CHA Calculator</v>
      </c>
      <c r="F1223" s="58">
        <v>41</v>
      </c>
      <c r="G1223" s="58"/>
      <c r="H1223" s="58"/>
      <c r="I1223" s="58"/>
      <c r="J1223" s="58"/>
      <c r="K1223" s="58"/>
      <c r="L1223" s="59" t="s">
        <v>1242</v>
      </c>
    </row>
    <row r="1224" spans="2:12" ht="36" x14ac:dyDescent="0.2">
      <c r="B1224" s="55">
        <v>42408</v>
      </c>
      <c r="C1224" s="56">
        <v>1.25</v>
      </c>
      <c r="D1224" s="57" t="s">
        <v>427</v>
      </c>
      <c r="E1224" s="57" t="str">
        <f>VLOOKUP(D1224,tblProjekt[],2,FALSE)</f>
        <v>Calculator übergreifend</v>
      </c>
      <c r="F1224" s="58">
        <v>233</v>
      </c>
      <c r="G1224" s="58"/>
      <c r="H1224" s="58"/>
      <c r="I1224" s="58"/>
      <c r="J1224" s="58"/>
      <c r="K1224" s="58"/>
      <c r="L1224" s="59" t="s">
        <v>1243</v>
      </c>
    </row>
    <row r="1225" spans="2:12" x14ac:dyDescent="0.2">
      <c r="B1225" s="55">
        <v>42409</v>
      </c>
      <c r="C1225" s="56">
        <v>0.25</v>
      </c>
      <c r="D1225" s="57" t="s">
        <v>84</v>
      </c>
      <c r="E1225" s="57" t="str">
        <f>VLOOKUP(D1225,tblProjekt[],2,FALSE)</f>
        <v>Infrastruktur cognovo</v>
      </c>
      <c r="F1225" s="58"/>
      <c r="G1225" s="58"/>
      <c r="H1225" s="58"/>
      <c r="I1225" s="58"/>
      <c r="J1225" s="58"/>
      <c r="K1225" s="58"/>
      <c r="L1225" s="59" t="s">
        <v>223</v>
      </c>
    </row>
    <row r="1226" spans="2:12" x14ac:dyDescent="0.2">
      <c r="B1226" s="55">
        <v>42409</v>
      </c>
      <c r="C1226" s="56">
        <v>0.25</v>
      </c>
      <c r="D1226" s="57" t="s">
        <v>84</v>
      </c>
      <c r="E1226" s="57" t="str">
        <f>VLOOKUP(D1226,tblProjekt[],2,FALSE)</f>
        <v>Infrastruktur cognovo</v>
      </c>
      <c r="F1226" s="58"/>
      <c r="G1226" s="58"/>
      <c r="H1226" s="58"/>
      <c r="I1226" s="58"/>
      <c r="J1226" s="58"/>
      <c r="K1226" s="58"/>
      <c r="L1226" s="59" t="s">
        <v>1229</v>
      </c>
    </row>
    <row r="1227" spans="2:12" ht="24" x14ac:dyDescent="0.2">
      <c r="B1227" s="55">
        <v>42409</v>
      </c>
      <c r="C1227" s="56">
        <v>3.75</v>
      </c>
      <c r="D1227" s="57" t="s">
        <v>427</v>
      </c>
      <c r="E1227" s="57" t="str">
        <f>VLOOKUP(D1227,tblProjekt[],2,FALSE)</f>
        <v>Calculator übergreifend</v>
      </c>
      <c r="F1227" s="58">
        <v>234</v>
      </c>
      <c r="G1227" s="58"/>
      <c r="H1227" s="58"/>
      <c r="I1227" s="58"/>
      <c r="J1227" s="58"/>
      <c r="K1227" s="58"/>
      <c r="L1227" s="59" t="s">
        <v>1244</v>
      </c>
    </row>
    <row r="1228" spans="2:12" x14ac:dyDescent="0.2">
      <c r="B1228" s="55">
        <v>42409</v>
      </c>
      <c r="C1228" s="56">
        <v>0.5</v>
      </c>
      <c r="D1228" s="57" t="s">
        <v>14</v>
      </c>
      <c r="E1228" s="57" t="str">
        <f>VLOOKUP(D1228,tblProjekt[],2,FALSE)</f>
        <v>CHA Calculator</v>
      </c>
      <c r="F1228" s="58">
        <v>41</v>
      </c>
      <c r="G1228" s="58"/>
      <c r="H1228" s="58"/>
      <c r="I1228" s="58"/>
      <c r="J1228" s="58"/>
      <c r="K1228" s="58"/>
      <c r="L1228" s="59" t="s">
        <v>1245</v>
      </c>
    </row>
    <row r="1229" spans="2:12" ht="24" x14ac:dyDescent="0.2">
      <c r="B1229" s="55">
        <v>42409</v>
      </c>
      <c r="C1229" s="56">
        <v>0.5</v>
      </c>
      <c r="D1229" s="57" t="s">
        <v>427</v>
      </c>
      <c r="E1229" s="57" t="str">
        <f>VLOOKUP(D1229,tblProjekt[],2,FALSE)</f>
        <v>Calculator übergreifend</v>
      </c>
      <c r="F1229" s="58">
        <v>215</v>
      </c>
      <c r="G1229" s="58"/>
      <c r="H1229" s="58"/>
      <c r="I1229" s="58"/>
      <c r="J1229" s="58"/>
      <c r="K1229" s="58"/>
      <c r="L1229" s="59" t="s">
        <v>1246</v>
      </c>
    </row>
    <row r="1230" spans="2:12" x14ac:dyDescent="0.2">
      <c r="B1230" s="55">
        <v>42409</v>
      </c>
      <c r="C1230" s="56">
        <v>2</v>
      </c>
      <c r="D1230" s="57" t="s">
        <v>427</v>
      </c>
      <c r="E1230" s="57" t="str">
        <f>VLOOKUP(D1230,tblProjekt[],2,FALSE)</f>
        <v>Calculator übergreifend</v>
      </c>
      <c r="F1230" s="58">
        <v>214</v>
      </c>
      <c r="G1230" s="58"/>
      <c r="H1230" s="58"/>
      <c r="I1230" s="58"/>
      <c r="J1230" s="58"/>
      <c r="K1230" s="58"/>
      <c r="L1230" s="59" t="s">
        <v>1247</v>
      </c>
    </row>
    <row r="1231" spans="2:12" x14ac:dyDescent="0.2">
      <c r="B1231" s="55">
        <v>42410</v>
      </c>
      <c r="C1231" s="56">
        <v>0.5</v>
      </c>
      <c r="D1231" s="57" t="s">
        <v>84</v>
      </c>
      <c r="E1231" s="57" t="str">
        <f>VLOOKUP(D1231,tblProjekt[],2,FALSE)</f>
        <v>Infrastruktur cognovo</v>
      </c>
      <c r="F1231" s="58"/>
      <c r="G1231" s="58"/>
      <c r="H1231" s="58"/>
      <c r="I1231" s="58"/>
      <c r="J1231" s="58"/>
      <c r="K1231" s="58"/>
      <c r="L1231" s="59" t="s">
        <v>223</v>
      </c>
    </row>
    <row r="1232" spans="2:12" x14ac:dyDescent="0.2">
      <c r="B1232" s="55">
        <v>42410</v>
      </c>
      <c r="C1232" s="56">
        <v>2.75</v>
      </c>
      <c r="D1232" s="57" t="s">
        <v>84</v>
      </c>
      <c r="E1232" s="57" t="str">
        <f>VLOOKUP(D1232,tblProjekt[],2,FALSE)</f>
        <v>Infrastruktur cognovo</v>
      </c>
      <c r="F1232" s="58">
        <v>1</v>
      </c>
      <c r="G1232" s="58"/>
      <c r="H1232" s="58"/>
      <c r="I1232" s="58"/>
      <c r="J1232" s="58"/>
      <c r="K1232" s="58"/>
      <c r="L1232" s="59" t="s">
        <v>1248</v>
      </c>
    </row>
    <row r="1233" spans="2:12" ht="36" x14ac:dyDescent="0.2">
      <c r="B1233" s="55">
        <v>42410</v>
      </c>
      <c r="C1233" s="56">
        <v>2.5</v>
      </c>
      <c r="D1233" s="57" t="s">
        <v>6</v>
      </c>
      <c r="E1233" s="57" t="str">
        <f>VLOOKUP(D1233,tblProjekt[],2,FALSE)</f>
        <v>Produktionsportal 2</v>
      </c>
      <c r="F1233" s="58">
        <v>81</v>
      </c>
      <c r="G1233" s="58"/>
      <c r="H1233" s="58"/>
      <c r="I1233" s="58"/>
      <c r="J1233" s="58"/>
      <c r="K1233" s="58"/>
      <c r="L1233" s="59" t="s">
        <v>1249</v>
      </c>
    </row>
    <row r="1234" spans="2:12" ht="24" x14ac:dyDescent="0.2">
      <c r="B1234" s="55">
        <v>42410</v>
      </c>
      <c r="C1234" s="56">
        <v>0.75</v>
      </c>
      <c r="D1234" s="57" t="s">
        <v>6</v>
      </c>
      <c r="E1234" s="57" t="str">
        <f>VLOOKUP(D1234,tblProjekt[],2,FALSE)</f>
        <v>Produktionsportal 2</v>
      </c>
      <c r="F1234" s="58">
        <v>79</v>
      </c>
      <c r="G1234" s="58"/>
      <c r="H1234" s="58"/>
      <c r="I1234" s="58"/>
      <c r="J1234" s="58"/>
      <c r="K1234" s="58"/>
      <c r="L1234" s="59" t="s">
        <v>1250</v>
      </c>
    </row>
    <row r="1235" spans="2:12" ht="24" x14ac:dyDescent="0.2">
      <c r="B1235" s="55">
        <v>42410</v>
      </c>
      <c r="C1235" s="56">
        <v>0.25</v>
      </c>
      <c r="D1235" s="57" t="s">
        <v>6</v>
      </c>
      <c r="E1235" s="57" t="str">
        <f>VLOOKUP(D1235,tblProjekt[],2,FALSE)</f>
        <v>Produktionsportal 2</v>
      </c>
      <c r="F1235" s="58">
        <v>80</v>
      </c>
      <c r="G1235" s="58"/>
      <c r="H1235" s="58"/>
      <c r="I1235" s="58"/>
      <c r="J1235" s="58"/>
      <c r="K1235" s="58"/>
      <c r="L1235" s="59" t="s">
        <v>1251</v>
      </c>
    </row>
    <row r="1236" spans="2:12" ht="24" x14ac:dyDescent="0.2">
      <c r="B1236" s="55">
        <v>42410</v>
      </c>
      <c r="C1236" s="56">
        <v>0.5</v>
      </c>
      <c r="D1236" s="57" t="s">
        <v>14</v>
      </c>
      <c r="E1236" s="57" t="str">
        <f>VLOOKUP(D1236,tblProjekt[],2,FALSE)</f>
        <v>CHA Calculator</v>
      </c>
      <c r="F1236" s="58">
        <v>41</v>
      </c>
      <c r="G1236" s="58"/>
      <c r="H1236" s="58"/>
      <c r="I1236" s="58"/>
      <c r="J1236" s="58"/>
      <c r="K1236" s="58"/>
      <c r="L1236" s="59" t="s">
        <v>1252</v>
      </c>
    </row>
    <row r="1237" spans="2:12" x14ac:dyDescent="0.2">
      <c r="B1237" s="55">
        <v>42410</v>
      </c>
      <c r="C1237" s="56">
        <v>0.25</v>
      </c>
      <c r="D1237" s="57" t="s">
        <v>427</v>
      </c>
      <c r="E1237" s="57" t="str">
        <f>VLOOKUP(D1237,tblProjekt[],2,FALSE)</f>
        <v>Calculator übergreifend</v>
      </c>
      <c r="F1237" s="58">
        <v>233</v>
      </c>
      <c r="G1237" s="58"/>
      <c r="H1237" s="58"/>
      <c r="I1237" s="58"/>
      <c r="J1237" s="58"/>
      <c r="K1237" s="58"/>
      <c r="L1237" s="59" t="s">
        <v>1253</v>
      </c>
    </row>
    <row r="1238" spans="2:12" x14ac:dyDescent="0.2">
      <c r="B1238" s="55">
        <v>42411</v>
      </c>
      <c r="C1238" s="56">
        <v>0.25</v>
      </c>
      <c r="D1238" s="57" t="s">
        <v>84</v>
      </c>
      <c r="E1238" s="57" t="str">
        <f>VLOOKUP(D1238,tblProjekt[],2,FALSE)</f>
        <v>Infrastruktur cognovo</v>
      </c>
      <c r="F1238" s="58"/>
      <c r="G1238" s="58"/>
      <c r="H1238" s="58"/>
      <c r="I1238" s="58"/>
      <c r="J1238" s="58"/>
      <c r="K1238" s="58"/>
      <c r="L1238" s="59" t="s">
        <v>223</v>
      </c>
    </row>
    <row r="1239" spans="2:12" x14ac:dyDescent="0.2">
      <c r="B1239" s="55">
        <v>42411</v>
      </c>
      <c r="C1239" s="56">
        <v>1.75</v>
      </c>
      <c r="D1239" s="57" t="s">
        <v>1002</v>
      </c>
      <c r="E1239" s="57" t="str">
        <f>VLOOKUP(D1239,tblProjekt[],2,FALSE)</f>
        <v>Produktionsportal 3</v>
      </c>
      <c r="F1239" s="58">
        <v>2</v>
      </c>
      <c r="G1239" s="58"/>
      <c r="H1239" s="58"/>
      <c r="I1239" s="58"/>
      <c r="J1239" s="58"/>
      <c r="K1239" s="58"/>
      <c r="L1239" s="59" t="s">
        <v>1254</v>
      </c>
    </row>
    <row r="1240" spans="2:12" x14ac:dyDescent="0.2">
      <c r="B1240" s="55">
        <v>42411</v>
      </c>
      <c r="C1240" s="56">
        <v>4.25</v>
      </c>
      <c r="D1240" s="57" t="s">
        <v>1002</v>
      </c>
      <c r="E1240" s="57" t="str">
        <f>VLOOKUP(D1240,tblProjekt[],2,FALSE)</f>
        <v>Produktionsportal 3</v>
      </c>
      <c r="F1240" s="58">
        <v>8</v>
      </c>
      <c r="G1240" s="58"/>
      <c r="H1240" s="58"/>
      <c r="I1240" s="58"/>
      <c r="J1240" s="58"/>
      <c r="K1240" s="58"/>
      <c r="L1240" s="59" t="s">
        <v>1255</v>
      </c>
    </row>
    <row r="1241" spans="2:12" x14ac:dyDescent="0.2">
      <c r="B1241" s="55">
        <v>42412</v>
      </c>
      <c r="C1241" s="56">
        <v>1.25</v>
      </c>
      <c r="D1241" s="57" t="s">
        <v>84</v>
      </c>
      <c r="E1241" s="57" t="str">
        <f>VLOOKUP(D1241,tblProjekt[],2,FALSE)</f>
        <v>Infrastruktur cognovo</v>
      </c>
      <c r="F1241" s="58"/>
      <c r="G1241" s="58"/>
      <c r="H1241" s="58"/>
      <c r="I1241" s="58"/>
      <c r="J1241" s="58"/>
      <c r="K1241" s="58"/>
      <c r="L1241" s="59" t="s">
        <v>1222</v>
      </c>
    </row>
    <row r="1242" spans="2:12" ht="24" x14ac:dyDescent="0.2">
      <c r="B1242" s="55">
        <v>42412</v>
      </c>
      <c r="C1242" s="56">
        <v>4.25</v>
      </c>
      <c r="D1242" s="57" t="s">
        <v>84</v>
      </c>
      <c r="E1242" s="57" t="str">
        <f>VLOOKUP(D1242,tblProjekt[],2,FALSE)</f>
        <v>Infrastruktur cognovo</v>
      </c>
      <c r="F1242" s="58"/>
      <c r="G1242" s="58"/>
      <c r="H1242" s="58"/>
      <c r="I1242" s="58"/>
      <c r="J1242" s="58"/>
      <c r="K1242" s="58"/>
      <c r="L1242" s="59" t="s">
        <v>1256</v>
      </c>
    </row>
    <row r="1243" spans="2:12" x14ac:dyDescent="0.2">
      <c r="B1243" s="55">
        <v>42412</v>
      </c>
      <c r="C1243" s="56">
        <v>0.5</v>
      </c>
      <c r="D1243" s="57" t="s">
        <v>84</v>
      </c>
      <c r="E1243" s="57" t="str">
        <f>VLOOKUP(D1243,tblProjekt[],2,FALSE)</f>
        <v>Infrastruktur cognovo</v>
      </c>
      <c r="F1243" s="58"/>
      <c r="G1243" s="58"/>
      <c r="H1243" s="58"/>
      <c r="I1243" s="58"/>
      <c r="J1243" s="58"/>
      <c r="K1243" s="58"/>
      <c r="L1243" s="59" t="s">
        <v>1257</v>
      </c>
    </row>
    <row r="1244" spans="2:12" x14ac:dyDescent="0.2">
      <c r="B1244" s="55">
        <v>42412</v>
      </c>
      <c r="C1244" s="56">
        <v>3</v>
      </c>
      <c r="D1244" s="57" t="s">
        <v>427</v>
      </c>
      <c r="E1244" s="57" t="str">
        <f>VLOOKUP(D1244,tblProjekt[],2,FALSE)</f>
        <v>Calculator übergreifend</v>
      </c>
      <c r="F1244" s="58">
        <v>215</v>
      </c>
      <c r="G1244" s="58"/>
      <c r="H1244" s="58"/>
      <c r="I1244" s="58"/>
      <c r="J1244" s="58"/>
      <c r="K1244" s="58"/>
      <c r="L1244" s="59" t="s">
        <v>1258</v>
      </c>
    </row>
    <row r="1245" spans="2:12" x14ac:dyDescent="0.2">
      <c r="B1245" s="55">
        <v>42415</v>
      </c>
      <c r="C1245" s="56">
        <v>0.5</v>
      </c>
      <c r="D1245" s="57" t="s">
        <v>84</v>
      </c>
      <c r="E1245" s="57" t="str">
        <f>VLOOKUP(D1245,tblProjekt[],2,FALSE)</f>
        <v>Infrastruktur cognovo</v>
      </c>
      <c r="F1245" s="58"/>
      <c r="G1245" s="58"/>
      <c r="H1245" s="58"/>
      <c r="I1245" s="58"/>
      <c r="J1245" s="58"/>
      <c r="K1245" s="58"/>
      <c r="L1245" s="59" t="s">
        <v>223</v>
      </c>
    </row>
    <row r="1246" spans="2:12" ht="36" x14ac:dyDescent="0.2">
      <c r="B1246" s="55">
        <v>42415</v>
      </c>
      <c r="C1246" s="56">
        <v>6.75</v>
      </c>
      <c r="D1246" s="57" t="s">
        <v>427</v>
      </c>
      <c r="E1246" s="57" t="str">
        <f>VLOOKUP(D1246,tblProjekt[],2,FALSE)</f>
        <v>Calculator übergreifend</v>
      </c>
      <c r="F1246" s="58">
        <v>215</v>
      </c>
      <c r="G1246" s="58"/>
      <c r="H1246" s="58"/>
      <c r="I1246" s="58"/>
      <c r="J1246" s="58"/>
      <c r="K1246" s="58"/>
      <c r="L1246" s="59" t="s">
        <v>1259</v>
      </c>
    </row>
    <row r="1247" spans="2:12" ht="36" x14ac:dyDescent="0.2">
      <c r="B1247" s="55">
        <v>42416</v>
      </c>
      <c r="C1247" s="56">
        <v>3.25</v>
      </c>
      <c r="D1247" s="57" t="s">
        <v>427</v>
      </c>
      <c r="E1247" s="57" t="str">
        <f>VLOOKUP(D1247,tblProjekt[],2,FALSE)</f>
        <v>Calculator übergreifend</v>
      </c>
      <c r="F1247" s="58">
        <v>215</v>
      </c>
      <c r="G1247" s="58"/>
      <c r="H1247" s="58"/>
      <c r="I1247" s="58"/>
      <c r="J1247" s="58"/>
      <c r="K1247" s="58"/>
      <c r="L1247" s="59" t="s">
        <v>1260</v>
      </c>
    </row>
    <row r="1248" spans="2:12" ht="24" x14ac:dyDescent="0.2">
      <c r="B1248" s="55">
        <v>42416</v>
      </c>
      <c r="C1248" s="56">
        <v>3</v>
      </c>
      <c r="D1248" s="57" t="s">
        <v>427</v>
      </c>
      <c r="E1248" s="57" t="str">
        <f>VLOOKUP(D1248,tblProjekt[],2,FALSE)</f>
        <v>Calculator übergreifend</v>
      </c>
      <c r="F1248" s="58">
        <v>233</v>
      </c>
      <c r="G1248" s="58"/>
      <c r="H1248" s="58"/>
      <c r="I1248" s="58"/>
      <c r="J1248" s="58"/>
      <c r="K1248" s="58"/>
      <c r="L1248" s="59" t="s">
        <v>1269</v>
      </c>
    </row>
    <row r="1249" spans="2:12" x14ac:dyDescent="0.2">
      <c r="B1249" s="55">
        <v>42417</v>
      </c>
      <c r="C1249" s="56">
        <v>0.25</v>
      </c>
      <c r="D1249" s="57" t="s">
        <v>84</v>
      </c>
      <c r="E1249" s="57" t="str">
        <f>VLOOKUP(D1249,tblProjekt[],2,FALSE)</f>
        <v>Infrastruktur cognovo</v>
      </c>
      <c r="F1249" s="58"/>
      <c r="G1249" s="58"/>
      <c r="H1249" s="58"/>
      <c r="I1249" s="58"/>
      <c r="J1249" s="58"/>
      <c r="K1249" s="58"/>
      <c r="L1249" s="59" t="s">
        <v>223</v>
      </c>
    </row>
    <row r="1250" spans="2:12" ht="24" x14ac:dyDescent="0.2">
      <c r="B1250" s="55">
        <v>42417</v>
      </c>
      <c r="C1250" s="56">
        <v>0.25</v>
      </c>
      <c r="D1250" s="57" t="s">
        <v>1002</v>
      </c>
      <c r="E1250" s="57" t="str">
        <f>VLOOKUP(D1250,tblProjekt[],2,FALSE)</f>
        <v>Produktionsportal 3</v>
      </c>
      <c r="F1250" s="58">
        <v>11</v>
      </c>
      <c r="G1250" s="58"/>
      <c r="H1250" s="58"/>
      <c r="I1250" s="58"/>
      <c r="J1250" s="58"/>
      <c r="K1250" s="58"/>
      <c r="L1250" s="59" t="s">
        <v>1261</v>
      </c>
    </row>
    <row r="1251" spans="2:12" ht="24" x14ac:dyDescent="0.2">
      <c r="B1251" s="55">
        <v>42417</v>
      </c>
      <c r="C1251" s="56">
        <v>0.25</v>
      </c>
      <c r="D1251" s="57" t="s">
        <v>1002</v>
      </c>
      <c r="E1251" s="57" t="str">
        <f>VLOOKUP(D1251,tblProjekt[],2,FALSE)</f>
        <v>Produktionsportal 3</v>
      </c>
      <c r="F1251" s="58">
        <v>12</v>
      </c>
      <c r="G1251" s="58"/>
      <c r="H1251" s="58"/>
      <c r="I1251" s="58"/>
      <c r="J1251" s="58"/>
      <c r="K1251" s="58"/>
      <c r="L1251" s="59" t="s">
        <v>1262</v>
      </c>
    </row>
    <row r="1252" spans="2:12" x14ac:dyDescent="0.2">
      <c r="B1252" s="55">
        <v>42417</v>
      </c>
      <c r="C1252" s="56">
        <v>0.5</v>
      </c>
      <c r="D1252" s="57" t="s">
        <v>1002</v>
      </c>
      <c r="E1252" s="57" t="str">
        <f>VLOOKUP(D1252,tblProjekt[],2,FALSE)</f>
        <v>Produktionsportal 3</v>
      </c>
      <c r="F1252" s="58">
        <v>8</v>
      </c>
      <c r="G1252" s="58"/>
      <c r="H1252" s="58"/>
      <c r="I1252" s="58"/>
      <c r="J1252" s="58"/>
      <c r="K1252" s="58"/>
      <c r="L1252" s="59" t="s">
        <v>1263</v>
      </c>
    </row>
    <row r="1253" spans="2:12" x14ac:dyDescent="0.2">
      <c r="B1253" s="55">
        <v>42417</v>
      </c>
      <c r="C1253" s="56">
        <v>1</v>
      </c>
      <c r="D1253" s="57" t="s">
        <v>1002</v>
      </c>
      <c r="E1253" s="57" t="str">
        <f>VLOOKUP(D1253,tblProjekt[],2,FALSE)</f>
        <v>Produktionsportal 3</v>
      </c>
      <c r="F1253" s="58">
        <v>6</v>
      </c>
      <c r="G1253" s="58"/>
      <c r="H1253" s="58"/>
      <c r="I1253" s="58"/>
      <c r="J1253" s="58"/>
      <c r="K1253" s="58"/>
      <c r="L1253" s="59" t="s">
        <v>1264</v>
      </c>
    </row>
    <row r="1254" spans="2:12" ht="24" x14ac:dyDescent="0.2">
      <c r="B1254" s="55">
        <v>42417</v>
      </c>
      <c r="C1254" s="56">
        <v>0.75</v>
      </c>
      <c r="D1254" s="57" t="s">
        <v>339</v>
      </c>
      <c r="E1254" s="57" t="str">
        <f>VLOOKUP(D1254,tblProjekt[],2,FALSE)</f>
        <v>Klosterfrau Regio</v>
      </c>
      <c r="F1254" s="58">
        <v>135</v>
      </c>
      <c r="G1254" s="58"/>
      <c r="H1254" s="58"/>
      <c r="I1254" s="58"/>
      <c r="J1254" s="58"/>
      <c r="K1254" s="58"/>
      <c r="L1254" s="59" t="s">
        <v>1265</v>
      </c>
    </row>
    <row r="1255" spans="2:12" ht="24" x14ac:dyDescent="0.2">
      <c r="B1255" s="55">
        <v>42417</v>
      </c>
      <c r="C1255" s="56">
        <v>2.25</v>
      </c>
      <c r="D1255" s="57" t="s">
        <v>427</v>
      </c>
      <c r="E1255" s="57" t="str">
        <f>VLOOKUP(D1255,tblProjekt[],2,FALSE)</f>
        <v>Calculator übergreifend</v>
      </c>
      <c r="F1255" s="58">
        <v>233</v>
      </c>
      <c r="G1255" s="58"/>
      <c r="H1255" s="58"/>
      <c r="I1255" s="58"/>
      <c r="J1255" s="58"/>
      <c r="K1255" s="58"/>
      <c r="L1255" s="59" t="s">
        <v>1266</v>
      </c>
    </row>
    <row r="1256" spans="2:12" ht="36" x14ac:dyDescent="0.2">
      <c r="B1256" s="55">
        <v>42417</v>
      </c>
      <c r="C1256" s="56">
        <v>1</v>
      </c>
      <c r="D1256" s="57" t="s">
        <v>84</v>
      </c>
      <c r="E1256" s="57" t="str">
        <f>VLOOKUP(D1256,tblProjekt[],2,FALSE)</f>
        <v>Infrastruktur cognovo</v>
      </c>
      <c r="F1256" s="58"/>
      <c r="G1256" s="58"/>
      <c r="H1256" s="58"/>
      <c r="I1256" s="58"/>
      <c r="J1256" s="58"/>
      <c r="K1256" s="58"/>
      <c r="L1256" s="59" t="s">
        <v>1267</v>
      </c>
    </row>
    <row r="1257" spans="2:12" x14ac:dyDescent="0.2">
      <c r="B1257" s="55">
        <v>42418</v>
      </c>
      <c r="C1257" s="56">
        <v>0.25</v>
      </c>
      <c r="D1257" s="57" t="s">
        <v>84</v>
      </c>
      <c r="E1257" s="57" t="str">
        <f>VLOOKUP(D1257,tblProjekt[],2,FALSE)</f>
        <v>Infrastruktur cognovo</v>
      </c>
      <c r="F1257" s="58"/>
      <c r="G1257" s="58"/>
      <c r="H1257" s="58"/>
      <c r="I1257" s="58"/>
      <c r="J1257" s="58"/>
      <c r="K1257" s="58"/>
      <c r="L1257" s="59" t="s">
        <v>1268</v>
      </c>
    </row>
    <row r="1258" spans="2:12" ht="24" x14ac:dyDescent="0.2">
      <c r="B1258" s="55">
        <v>42418</v>
      </c>
      <c r="C1258" s="56">
        <v>3</v>
      </c>
      <c r="D1258" s="57" t="s">
        <v>427</v>
      </c>
      <c r="E1258" s="57" t="str">
        <f>VLOOKUP(D1258,tblProjekt[],2,FALSE)</f>
        <v>Calculator übergreifend</v>
      </c>
      <c r="F1258" s="58">
        <v>233</v>
      </c>
      <c r="G1258" s="58"/>
      <c r="H1258" s="58"/>
      <c r="I1258" s="58"/>
      <c r="J1258" s="58"/>
      <c r="K1258" s="58"/>
      <c r="L1258" s="59" t="s">
        <v>1270</v>
      </c>
    </row>
    <row r="1259" spans="2:12" x14ac:dyDescent="0.2">
      <c r="B1259" s="55">
        <v>42418</v>
      </c>
      <c r="C1259" s="56">
        <v>2.75</v>
      </c>
      <c r="D1259" s="57" t="s">
        <v>427</v>
      </c>
      <c r="E1259" s="57" t="str">
        <f>VLOOKUP(D1259,tblProjekt[],2,FALSE)</f>
        <v>Calculator übergreifend</v>
      </c>
      <c r="F1259" s="58">
        <v>215</v>
      </c>
      <c r="G1259" s="58"/>
      <c r="H1259" s="58"/>
      <c r="I1259" s="58"/>
      <c r="J1259" s="58"/>
      <c r="K1259" s="58"/>
      <c r="L1259" s="59" t="s">
        <v>1274</v>
      </c>
    </row>
    <row r="1260" spans="2:12" x14ac:dyDescent="0.2">
      <c r="B1260" s="55">
        <v>42418</v>
      </c>
      <c r="C1260" s="56">
        <v>0.5</v>
      </c>
      <c r="D1260" s="57" t="s">
        <v>1002</v>
      </c>
      <c r="E1260" s="57" t="str">
        <f>VLOOKUP(D1260,tblProjekt[],2,FALSE)</f>
        <v>Produktionsportal 3</v>
      </c>
      <c r="F1260" s="58">
        <v>8</v>
      </c>
      <c r="G1260" s="58"/>
      <c r="H1260" s="58"/>
      <c r="I1260" s="58"/>
      <c r="J1260" s="58"/>
      <c r="K1260" s="58"/>
      <c r="L1260" s="59" t="s">
        <v>1271</v>
      </c>
    </row>
    <row r="1261" spans="2:12" x14ac:dyDescent="0.2">
      <c r="B1261" s="55">
        <v>42419</v>
      </c>
      <c r="C1261" s="56">
        <v>0.25</v>
      </c>
      <c r="D1261" s="57" t="s">
        <v>427</v>
      </c>
      <c r="E1261" s="57" t="str">
        <f>VLOOKUP(D1261,tblProjekt[],2,FALSE)</f>
        <v>Calculator übergreifend</v>
      </c>
      <c r="F1261" s="58">
        <v>233</v>
      </c>
      <c r="G1261" s="58"/>
      <c r="H1261" s="58"/>
      <c r="I1261" s="58"/>
      <c r="J1261" s="58"/>
      <c r="K1261" s="58"/>
      <c r="L1261" s="59" t="s">
        <v>1272</v>
      </c>
    </row>
    <row r="1262" spans="2:12" ht="36" x14ac:dyDescent="0.2">
      <c r="B1262" s="55">
        <v>42419</v>
      </c>
      <c r="C1262" s="56">
        <v>4</v>
      </c>
      <c r="D1262" s="57" t="s">
        <v>1002</v>
      </c>
      <c r="E1262" s="57" t="str">
        <f>VLOOKUP(D1262,tblProjekt[],2,FALSE)</f>
        <v>Produktionsportal 3</v>
      </c>
      <c r="F1262" s="58" t="s">
        <v>901</v>
      </c>
      <c r="G1262" s="58"/>
      <c r="H1262" s="58"/>
      <c r="I1262" s="58"/>
      <c r="J1262" s="58"/>
      <c r="K1262" s="58"/>
      <c r="L1262" s="59" t="s">
        <v>1273</v>
      </c>
    </row>
    <row r="1263" spans="2:12" x14ac:dyDescent="0.2">
      <c r="B1263" s="55"/>
      <c r="C1263" s="56"/>
      <c r="D1263" s="57"/>
      <c r="E1263" s="57" t="e">
        <f>VLOOKUP(D1263,tblProjekt[],2,FALSE)</f>
        <v>#N/A</v>
      </c>
      <c r="F1263" s="58"/>
      <c r="G1263" s="58"/>
      <c r="H1263" s="58"/>
      <c r="I1263" s="58"/>
      <c r="J1263" s="58"/>
      <c r="K1263" s="58"/>
      <c r="L1263" s="59"/>
    </row>
    <row r="1264" spans="2:12" x14ac:dyDescent="0.2">
      <c r="B1264" s="55"/>
      <c r="C1264" s="56"/>
      <c r="D1264" s="57"/>
      <c r="E1264" s="57" t="e">
        <f>VLOOKUP(D1264,tblProjekt[],2,FALSE)</f>
        <v>#N/A</v>
      </c>
      <c r="F1264" s="58"/>
      <c r="G1264" s="58"/>
      <c r="H1264" s="58"/>
      <c r="I1264" s="58"/>
      <c r="J1264" s="58"/>
      <c r="K1264" s="58"/>
      <c r="L1264" s="59"/>
    </row>
    <row r="1265" spans="2:12" x14ac:dyDescent="0.2">
      <c r="B1265" s="55"/>
      <c r="C1265" s="56"/>
      <c r="D1265" s="57"/>
      <c r="E1265" s="57" t="e">
        <f>VLOOKUP(D1265,tblProjekt[],2,FALSE)</f>
        <v>#N/A</v>
      </c>
      <c r="F1265" s="58"/>
      <c r="G1265" s="58"/>
      <c r="H1265" s="58"/>
      <c r="I1265" s="58"/>
      <c r="J1265" s="58"/>
      <c r="K1265" s="58"/>
      <c r="L1265" s="59"/>
    </row>
    <row r="1266" spans="2:12" x14ac:dyDescent="0.2">
      <c r="B1266" s="55"/>
      <c r="C1266" s="56"/>
      <c r="D1266" s="57"/>
      <c r="E1266" s="57" t="e">
        <f>VLOOKUP(D1266,tblProjekt[],2,FALSE)</f>
        <v>#N/A</v>
      </c>
      <c r="F1266" s="58"/>
      <c r="G1266" s="58"/>
      <c r="H1266" s="58"/>
      <c r="I1266" s="58"/>
      <c r="J1266" s="58"/>
      <c r="K1266" s="58"/>
      <c r="L1266" s="59"/>
    </row>
    <row r="1267" spans="2:12" x14ac:dyDescent="0.2">
      <c r="B1267" s="55"/>
      <c r="C1267" s="56"/>
      <c r="D1267" s="57"/>
      <c r="E1267" s="57" t="e">
        <f>VLOOKUP(D1267,tblProjekt[],2,FALSE)</f>
        <v>#N/A</v>
      </c>
      <c r="F1267" s="58"/>
      <c r="G1267" s="58"/>
      <c r="H1267" s="58"/>
      <c r="I1267" s="58"/>
      <c r="J1267" s="58"/>
      <c r="K1267" s="58"/>
      <c r="L1267" s="59"/>
    </row>
    <row r="1268" spans="2:12" x14ac:dyDescent="0.2">
      <c r="B1268" s="55"/>
      <c r="C1268" s="56"/>
      <c r="D1268" s="57"/>
      <c r="E1268" s="57" t="e">
        <f>VLOOKUP(D1268,tblProjekt[],2,FALSE)</f>
        <v>#N/A</v>
      </c>
      <c r="F1268" s="58"/>
      <c r="G1268" s="58"/>
      <c r="H1268" s="58"/>
      <c r="I1268" s="58"/>
      <c r="J1268" s="58"/>
      <c r="K1268" s="58"/>
      <c r="L1268" s="59"/>
    </row>
    <row r="1269" spans="2:12" x14ac:dyDescent="0.2">
      <c r="B1269" s="55"/>
      <c r="C1269" s="56"/>
      <c r="D1269" s="57"/>
      <c r="E1269" s="57" t="e">
        <f>VLOOKUP(D1269,tblProjekt[],2,FALSE)</f>
        <v>#N/A</v>
      </c>
      <c r="F1269" s="58"/>
      <c r="G1269" s="58"/>
      <c r="H1269" s="58"/>
      <c r="I1269" s="58"/>
      <c r="J1269" s="58"/>
      <c r="K1269" s="58"/>
      <c r="L1269" s="59"/>
    </row>
    <row r="1270" spans="2:12" x14ac:dyDescent="0.2">
      <c r="B1270" s="55"/>
      <c r="C1270" s="56"/>
      <c r="D1270" s="57"/>
      <c r="E1270" s="57" t="e">
        <f>VLOOKUP(D1270,tblProjekt[],2,FALSE)</f>
        <v>#N/A</v>
      </c>
      <c r="F1270" s="58"/>
      <c r="G1270" s="58"/>
      <c r="H1270" s="58"/>
      <c r="I1270" s="58"/>
      <c r="J1270" s="58"/>
      <c r="K1270" s="58"/>
      <c r="L1270" s="59"/>
    </row>
    <row r="1271" spans="2:12" x14ac:dyDescent="0.2">
      <c r="B1271" s="55"/>
      <c r="C1271" s="56"/>
      <c r="D1271" s="57"/>
      <c r="E1271" s="57" t="e">
        <f>VLOOKUP(D1271,tblProjekt[],2,FALSE)</f>
        <v>#N/A</v>
      </c>
      <c r="F1271" s="58"/>
      <c r="G1271" s="58"/>
      <c r="H1271" s="58"/>
      <c r="I1271" s="58"/>
      <c r="J1271" s="58"/>
      <c r="K1271" s="58"/>
      <c r="L1271" s="59"/>
    </row>
    <row r="1272" spans="2:12" x14ac:dyDescent="0.2">
      <c r="B1272" s="55"/>
      <c r="C1272" s="56"/>
      <c r="D1272" s="57"/>
      <c r="E1272" s="57" t="e">
        <f>VLOOKUP(D1272,tblProjekt[],2,FALSE)</f>
        <v>#N/A</v>
      </c>
      <c r="F1272" s="58"/>
      <c r="G1272" s="58"/>
      <c r="H1272" s="58"/>
      <c r="I1272" s="58"/>
      <c r="J1272" s="58"/>
      <c r="K1272" s="58"/>
      <c r="L1272" s="59"/>
    </row>
    <row r="1273" spans="2:12" x14ac:dyDescent="0.2">
      <c r="B1273" s="55"/>
      <c r="C1273" s="56"/>
      <c r="D1273" s="57"/>
      <c r="E1273" s="57" t="e">
        <f>VLOOKUP(D1273,tblProjekt[],2,FALSE)</f>
        <v>#N/A</v>
      </c>
      <c r="F1273" s="58"/>
      <c r="G1273" s="58"/>
      <c r="H1273" s="58"/>
      <c r="I1273" s="58"/>
      <c r="J1273" s="58"/>
      <c r="K1273" s="58"/>
      <c r="L1273" s="59"/>
    </row>
    <row r="1274" spans="2:12" x14ac:dyDescent="0.2">
      <c r="B1274" s="55"/>
      <c r="C1274" s="56"/>
      <c r="D1274" s="57"/>
      <c r="E1274" s="57" t="e">
        <f>VLOOKUP(D1274,tblProjekt[],2,FALSE)</f>
        <v>#N/A</v>
      </c>
      <c r="F1274" s="58"/>
      <c r="G1274" s="58"/>
      <c r="H1274" s="58"/>
      <c r="I1274" s="58"/>
      <c r="J1274" s="58"/>
      <c r="K1274" s="58"/>
      <c r="L1274" s="59"/>
    </row>
    <row r="1275" spans="2:12" x14ac:dyDescent="0.2">
      <c r="B1275" s="55"/>
      <c r="C1275" s="56"/>
      <c r="D1275" s="57"/>
      <c r="E1275" s="57" t="e">
        <f>VLOOKUP(D1275,tblProjekt[],2,FALSE)</f>
        <v>#N/A</v>
      </c>
      <c r="F1275" s="58"/>
      <c r="G1275" s="58"/>
      <c r="H1275" s="58"/>
      <c r="I1275" s="58"/>
      <c r="J1275" s="58"/>
      <c r="K1275" s="58"/>
      <c r="L1275" s="59"/>
    </row>
    <row r="1276" spans="2:12" x14ac:dyDescent="0.2">
      <c r="B1276" s="55"/>
      <c r="C1276" s="56"/>
      <c r="D1276" s="57"/>
      <c r="E1276" s="57" t="e">
        <f>VLOOKUP(D1276,tblProjekt[],2,FALSE)</f>
        <v>#N/A</v>
      </c>
      <c r="F1276" s="58"/>
      <c r="G1276" s="58"/>
      <c r="H1276" s="58"/>
      <c r="I1276" s="58"/>
      <c r="J1276" s="58"/>
      <c r="K1276" s="58"/>
      <c r="L1276" s="59"/>
    </row>
    <row r="1277" spans="2:12" x14ac:dyDescent="0.2">
      <c r="B1277" s="55"/>
      <c r="C1277" s="56"/>
      <c r="D1277" s="57"/>
      <c r="E1277" s="57" t="e">
        <f>VLOOKUP(D1277,tblProjekt[],2,FALSE)</f>
        <v>#N/A</v>
      </c>
      <c r="F1277" s="58"/>
      <c r="G1277" s="58"/>
      <c r="H1277" s="58"/>
      <c r="I1277" s="58"/>
      <c r="J1277" s="58"/>
      <c r="K1277" s="58"/>
      <c r="L1277" s="59"/>
    </row>
    <row r="1278" spans="2:12" x14ac:dyDescent="0.2">
      <c r="B1278" s="55"/>
      <c r="C1278" s="56"/>
      <c r="D1278" s="57"/>
      <c r="E1278" s="57" t="e">
        <f>VLOOKUP(D1278,tblProjekt[],2,FALSE)</f>
        <v>#N/A</v>
      </c>
      <c r="F1278" s="58"/>
      <c r="G1278" s="58"/>
      <c r="H1278" s="58"/>
      <c r="I1278" s="58"/>
      <c r="J1278" s="58"/>
      <c r="K1278" s="58"/>
      <c r="L1278" s="59"/>
    </row>
    <row r="1279" spans="2:12" x14ac:dyDescent="0.2">
      <c r="B1279" s="55"/>
      <c r="C1279" s="56"/>
      <c r="D1279" s="57"/>
      <c r="E1279" s="57" t="e">
        <f>VLOOKUP(D1279,tblProjekt[],2,FALSE)</f>
        <v>#N/A</v>
      </c>
      <c r="F1279" s="58"/>
      <c r="G1279" s="58"/>
      <c r="H1279" s="58"/>
      <c r="I1279" s="58"/>
      <c r="J1279" s="58"/>
      <c r="K1279" s="58"/>
      <c r="L1279" s="59"/>
    </row>
    <row r="1280" spans="2:12" x14ac:dyDescent="0.2">
      <c r="B1280" s="55"/>
      <c r="C1280" s="56"/>
      <c r="D1280" s="57"/>
      <c r="E1280" s="57" t="e">
        <f>VLOOKUP(D1280,tblProjekt[],2,FALSE)</f>
        <v>#N/A</v>
      </c>
      <c r="F1280" s="58"/>
      <c r="G1280" s="58"/>
      <c r="H1280" s="58"/>
      <c r="I1280" s="58"/>
      <c r="J1280" s="58"/>
      <c r="K1280" s="58"/>
      <c r="L1280" s="59"/>
    </row>
    <row r="1281" spans="2:12" x14ac:dyDescent="0.2">
      <c r="B1281" s="55"/>
      <c r="C1281" s="56"/>
      <c r="D1281" s="57"/>
      <c r="E1281" s="57" t="e">
        <f>VLOOKUP(D1281,tblProjekt[],2,FALSE)</f>
        <v>#N/A</v>
      </c>
      <c r="F1281" s="58"/>
      <c r="G1281" s="58"/>
      <c r="H1281" s="58"/>
      <c r="I1281" s="58"/>
      <c r="J1281" s="58"/>
      <c r="K1281" s="58"/>
      <c r="L1281" s="59"/>
    </row>
    <row r="1282" spans="2:12" x14ac:dyDescent="0.2">
      <c r="B1282" s="55"/>
      <c r="C1282" s="56"/>
      <c r="D1282" s="57"/>
      <c r="E1282" s="57" t="e">
        <f>VLOOKUP(D1282,tblProjekt[],2,FALSE)</f>
        <v>#N/A</v>
      </c>
      <c r="F1282" s="58"/>
      <c r="G1282" s="58"/>
      <c r="H1282" s="58"/>
      <c r="I1282" s="58"/>
      <c r="J1282" s="58"/>
      <c r="K1282" s="58"/>
      <c r="L1282" s="59"/>
    </row>
    <row r="1283" spans="2:12" x14ac:dyDescent="0.2">
      <c r="B1283" s="55"/>
      <c r="C1283" s="56"/>
      <c r="D1283" s="57"/>
      <c r="E1283" s="57" t="e">
        <f>VLOOKUP(D1283,tblProjekt[],2,FALSE)</f>
        <v>#N/A</v>
      </c>
      <c r="F1283" s="58"/>
      <c r="G1283" s="58"/>
      <c r="H1283" s="58"/>
      <c r="I1283" s="58"/>
      <c r="J1283" s="58"/>
      <c r="K1283" s="58"/>
      <c r="L1283" s="59"/>
    </row>
    <row r="1284" spans="2:12" x14ac:dyDescent="0.2">
      <c r="B1284" s="55"/>
      <c r="C1284" s="56"/>
      <c r="D1284" s="57"/>
      <c r="E1284" s="57" t="e">
        <f>VLOOKUP(D1284,tblProjekt[],2,FALSE)</f>
        <v>#N/A</v>
      </c>
      <c r="F1284" s="58"/>
      <c r="G1284" s="58"/>
      <c r="H1284" s="58"/>
      <c r="I1284" s="58"/>
      <c r="J1284" s="58"/>
      <c r="K1284" s="58"/>
      <c r="L1284" s="59"/>
    </row>
    <row r="1285" spans="2:12" x14ac:dyDescent="0.2">
      <c r="B1285" s="55"/>
      <c r="C1285" s="56"/>
      <c r="D1285" s="57"/>
      <c r="E1285" s="57" t="e">
        <f>VLOOKUP(D1285,tblProjekt[],2,FALSE)</f>
        <v>#N/A</v>
      </c>
      <c r="F1285" s="58"/>
      <c r="G1285" s="58"/>
      <c r="H1285" s="58"/>
      <c r="I1285" s="58"/>
      <c r="J1285" s="58"/>
      <c r="K1285" s="58"/>
      <c r="L1285" s="59"/>
    </row>
    <row r="1286" spans="2:12" x14ac:dyDescent="0.2">
      <c r="B1286" s="55"/>
      <c r="C1286" s="56"/>
      <c r="D1286" s="57"/>
      <c r="E1286" s="57" t="e">
        <f>VLOOKUP(D1286,tblProjekt[],2,FALSE)</f>
        <v>#N/A</v>
      </c>
      <c r="F1286" s="58"/>
      <c r="G1286" s="58"/>
      <c r="H1286" s="58"/>
      <c r="I1286" s="58"/>
      <c r="J1286" s="58"/>
      <c r="K1286" s="58"/>
      <c r="L1286" s="59"/>
    </row>
    <row r="1287" spans="2:12" x14ac:dyDescent="0.2">
      <c r="B1287" s="55"/>
      <c r="C1287" s="56"/>
      <c r="D1287" s="57"/>
      <c r="E1287" s="57" t="e">
        <f>VLOOKUP(D1287,tblProjekt[],2,FALSE)</f>
        <v>#N/A</v>
      </c>
      <c r="F1287" s="58"/>
      <c r="G1287" s="58"/>
      <c r="H1287" s="58"/>
      <c r="I1287" s="58"/>
      <c r="J1287" s="58"/>
      <c r="K1287" s="58"/>
      <c r="L1287" s="59"/>
    </row>
    <row r="1288" spans="2:12" x14ac:dyDescent="0.2">
      <c r="B1288" s="55"/>
      <c r="C1288" s="56"/>
      <c r="D1288" s="57"/>
      <c r="E1288" s="57" t="e">
        <f>VLOOKUP(D1288,tblProjekt[],2,FALSE)</f>
        <v>#N/A</v>
      </c>
      <c r="F1288" s="58"/>
      <c r="G1288" s="58"/>
      <c r="H1288" s="58"/>
      <c r="I1288" s="58"/>
      <c r="J1288" s="58"/>
      <c r="K1288" s="58"/>
      <c r="L1288" s="59"/>
    </row>
    <row r="1289" spans="2:12" x14ac:dyDescent="0.2">
      <c r="B1289" s="55"/>
      <c r="C1289" s="56"/>
      <c r="D1289" s="57"/>
      <c r="E1289" s="57" t="e">
        <f>VLOOKUP(D1289,tblProjekt[],2,FALSE)</f>
        <v>#N/A</v>
      </c>
      <c r="F1289" s="58"/>
      <c r="G1289" s="58"/>
      <c r="H1289" s="58"/>
      <c r="I1289" s="58"/>
      <c r="J1289" s="58"/>
      <c r="K1289" s="58"/>
      <c r="L1289" s="59"/>
    </row>
    <row r="1290" spans="2:12" x14ac:dyDescent="0.2">
      <c r="B1290" s="55"/>
      <c r="C1290" s="56"/>
      <c r="D1290" s="57"/>
      <c r="E1290" s="57" t="e">
        <f>VLOOKUP(D1290,tblProjekt[],2,FALSE)</f>
        <v>#N/A</v>
      </c>
      <c r="F1290" s="58"/>
      <c r="G1290" s="58"/>
      <c r="H1290" s="58"/>
      <c r="I1290" s="58"/>
      <c r="J1290" s="58"/>
      <c r="K1290" s="58"/>
      <c r="L1290" s="59"/>
    </row>
    <row r="1291" spans="2:12" x14ac:dyDescent="0.2">
      <c r="B1291" s="55"/>
      <c r="C1291" s="56"/>
      <c r="D1291" s="57"/>
      <c r="E1291" s="57" t="e">
        <f>VLOOKUP(D1291,tblProjekt[],2,FALSE)</f>
        <v>#N/A</v>
      </c>
      <c r="F1291" s="58"/>
      <c r="G1291" s="58"/>
      <c r="H1291" s="58"/>
      <c r="I1291" s="58"/>
      <c r="J1291" s="58"/>
      <c r="K1291" s="58"/>
      <c r="L1291" s="59"/>
    </row>
    <row r="1292" spans="2:12" x14ac:dyDescent="0.2">
      <c r="B1292" s="55"/>
      <c r="C1292" s="56"/>
      <c r="D1292" s="57"/>
      <c r="E1292" s="57" t="e">
        <f>VLOOKUP(D1292,tblProjekt[],2,FALSE)</f>
        <v>#N/A</v>
      </c>
      <c r="F1292" s="58"/>
      <c r="G1292" s="58"/>
      <c r="H1292" s="58"/>
      <c r="I1292" s="58"/>
      <c r="J1292" s="58"/>
      <c r="K1292" s="58"/>
      <c r="L1292" s="59"/>
    </row>
    <row r="1293" spans="2:12" x14ac:dyDescent="0.2">
      <c r="B1293" s="55"/>
      <c r="C1293" s="56"/>
      <c r="D1293" s="57"/>
      <c r="E1293" s="57" t="e">
        <f>VLOOKUP(D1293,tblProjekt[],2,FALSE)</f>
        <v>#N/A</v>
      </c>
      <c r="F1293" s="58"/>
      <c r="G1293" s="58"/>
      <c r="H1293" s="58"/>
      <c r="I1293" s="58"/>
      <c r="J1293" s="58"/>
      <c r="K1293" s="58"/>
      <c r="L1293" s="59"/>
    </row>
    <row r="1294" spans="2:12" x14ac:dyDescent="0.2">
      <c r="B1294" s="55"/>
      <c r="C1294" s="56"/>
      <c r="D1294" s="57"/>
      <c r="E1294" s="57" t="e">
        <f>VLOOKUP(D1294,tblProjekt[],2,FALSE)</f>
        <v>#N/A</v>
      </c>
      <c r="F1294" s="58"/>
      <c r="G1294" s="58"/>
      <c r="H1294" s="58"/>
      <c r="I1294" s="58"/>
      <c r="J1294" s="58"/>
      <c r="K1294" s="58"/>
      <c r="L1294" s="59"/>
    </row>
    <row r="1295" spans="2:12" x14ac:dyDescent="0.2">
      <c r="B1295" s="55"/>
      <c r="C1295" s="56"/>
      <c r="D1295" s="57"/>
      <c r="E1295" s="57" t="e">
        <f>VLOOKUP(D1295,tblProjekt[],2,FALSE)</f>
        <v>#N/A</v>
      </c>
      <c r="F1295" s="58"/>
      <c r="G1295" s="58"/>
      <c r="H1295" s="58"/>
      <c r="I1295" s="58"/>
      <c r="J1295" s="58"/>
      <c r="K1295" s="58"/>
      <c r="L1295" s="59"/>
    </row>
    <row r="1296" spans="2:12" x14ac:dyDescent="0.2">
      <c r="B1296" s="55"/>
      <c r="C1296" s="56"/>
      <c r="D1296" s="57"/>
      <c r="E1296" s="57" t="e">
        <f>VLOOKUP(D1296,tblProjekt[],2,FALSE)</f>
        <v>#N/A</v>
      </c>
      <c r="F1296" s="58"/>
      <c r="G1296" s="58"/>
      <c r="H1296" s="58"/>
      <c r="I1296" s="58"/>
      <c r="J1296" s="58"/>
      <c r="K1296" s="58"/>
      <c r="L1296" s="59"/>
    </row>
    <row r="1297" spans="2:12" x14ac:dyDescent="0.2">
      <c r="B1297" s="55"/>
      <c r="C1297" s="56"/>
      <c r="D1297" s="57"/>
      <c r="E1297" s="57" t="e">
        <f>VLOOKUP(D1297,tblProjekt[],2,FALSE)</f>
        <v>#N/A</v>
      </c>
      <c r="F1297" s="58"/>
      <c r="G1297" s="58"/>
      <c r="H1297" s="58"/>
      <c r="I1297" s="58"/>
      <c r="J1297" s="58"/>
      <c r="K1297" s="58"/>
      <c r="L1297" s="59"/>
    </row>
    <row r="1298" spans="2:12" x14ac:dyDescent="0.2">
      <c r="B1298" s="55"/>
      <c r="C1298" s="56"/>
      <c r="D1298" s="57"/>
      <c r="E1298" s="57" t="e">
        <f>VLOOKUP(D1298,tblProjekt[],2,FALSE)</f>
        <v>#N/A</v>
      </c>
      <c r="F1298" s="58"/>
      <c r="G1298" s="58"/>
      <c r="H1298" s="58"/>
      <c r="I1298" s="58"/>
      <c r="J1298" s="58"/>
      <c r="K1298" s="58"/>
      <c r="L1298" s="59"/>
    </row>
    <row r="1299" spans="2:12" x14ac:dyDescent="0.2">
      <c r="B1299" s="55"/>
      <c r="C1299" s="56"/>
      <c r="D1299" s="57"/>
      <c r="E1299" s="57" t="e">
        <f>VLOOKUP(D1299,tblProjekt[],2,FALSE)</f>
        <v>#N/A</v>
      </c>
      <c r="F1299" s="58"/>
      <c r="G1299" s="58"/>
      <c r="H1299" s="58"/>
      <c r="I1299" s="58"/>
      <c r="J1299" s="58"/>
      <c r="K1299" s="58"/>
      <c r="L1299" s="59"/>
    </row>
    <row r="1300" spans="2:12" x14ac:dyDescent="0.2">
      <c r="B1300" s="55"/>
      <c r="C1300" s="56"/>
      <c r="D1300" s="57"/>
      <c r="E1300" s="57" t="e">
        <f>VLOOKUP(D1300,tblProjekt[],2,FALSE)</f>
        <v>#N/A</v>
      </c>
      <c r="F1300" s="58"/>
      <c r="G1300" s="58"/>
      <c r="H1300" s="58"/>
      <c r="I1300" s="58"/>
      <c r="J1300" s="58"/>
      <c r="K1300" s="58"/>
      <c r="L1300" s="59"/>
    </row>
    <row r="1301" spans="2:12" x14ac:dyDescent="0.2">
      <c r="B1301" s="73"/>
      <c r="C1301" s="56"/>
      <c r="D1301" s="57"/>
      <c r="E1301" s="57" t="e">
        <f>VLOOKUP(D1301,tblProjekt[],2,FALSE)</f>
        <v>#N/A</v>
      </c>
      <c r="F1301" s="58"/>
      <c r="G1301" s="58"/>
      <c r="H1301" s="58"/>
      <c r="I1301" s="58"/>
      <c r="J1301" s="58"/>
      <c r="K1301" s="58"/>
      <c r="L1301" s="59"/>
    </row>
    <row r="1302" spans="2:12" x14ac:dyDescent="0.2">
      <c r="B1302" s="73"/>
      <c r="C1302" s="56"/>
      <c r="D1302" s="57"/>
      <c r="E1302" s="57" t="e">
        <f>VLOOKUP(D1302,tblProjekt[],2,FALSE)</f>
        <v>#N/A</v>
      </c>
      <c r="F1302" s="58"/>
      <c r="G1302" s="58"/>
      <c r="H1302" s="58"/>
      <c r="I1302" s="58"/>
      <c r="J1302" s="58"/>
      <c r="K1302" s="58"/>
      <c r="L1302" s="59"/>
    </row>
    <row r="1303" spans="2:12" x14ac:dyDescent="0.2">
      <c r="B1303" s="73"/>
      <c r="C1303" s="56"/>
      <c r="D1303" s="57"/>
      <c r="E1303" s="57" t="e">
        <f>VLOOKUP(D1303,tblProjekt[],2,FALSE)</f>
        <v>#N/A</v>
      </c>
      <c r="F1303" s="58"/>
      <c r="G1303" s="58"/>
      <c r="H1303" s="58"/>
      <c r="I1303" s="58"/>
      <c r="J1303" s="58"/>
      <c r="K1303" s="58"/>
      <c r="L1303" s="59"/>
    </row>
    <row r="1304" spans="2:12" x14ac:dyDescent="0.2">
      <c r="B1304" s="73"/>
      <c r="C1304" s="56"/>
      <c r="D1304" s="57"/>
      <c r="E1304" s="57" t="e">
        <f>VLOOKUP(D1304,tblProjekt[],2,FALSE)</f>
        <v>#N/A</v>
      </c>
      <c r="F1304" s="58"/>
      <c r="G1304" s="58"/>
      <c r="H1304" s="58"/>
      <c r="I1304" s="58"/>
      <c r="J1304" s="58"/>
      <c r="K1304" s="58"/>
      <c r="L1304" s="59"/>
    </row>
    <row r="1305" spans="2:12" x14ac:dyDescent="0.2">
      <c r="B1305" s="73"/>
      <c r="C1305" s="56"/>
      <c r="D1305" s="57"/>
      <c r="E1305" s="57" t="e">
        <f>VLOOKUP(D1305,tblProjekt[],2,FALSE)</f>
        <v>#N/A</v>
      </c>
      <c r="F1305" s="58"/>
      <c r="G1305" s="58"/>
      <c r="H1305" s="58"/>
      <c r="I1305" s="58"/>
      <c r="J1305" s="58"/>
      <c r="K1305" s="58"/>
      <c r="L1305" s="59"/>
    </row>
    <row r="1306" spans="2:12" x14ac:dyDescent="0.2">
      <c r="B1306" s="73"/>
      <c r="C1306" s="56"/>
      <c r="D1306" s="57"/>
      <c r="E1306" s="57" t="e">
        <f>VLOOKUP(D1306,tblProjekt[],2,FALSE)</f>
        <v>#N/A</v>
      </c>
      <c r="F1306" s="58"/>
      <c r="G1306" s="58"/>
      <c r="H1306" s="58"/>
      <c r="I1306" s="58"/>
      <c r="J1306" s="58"/>
      <c r="K1306" s="58"/>
      <c r="L1306" s="59"/>
    </row>
    <row r="1307" spans="2:12" x14ac:dyDescent="0.2">
      <c r="B1307" s="73"/>
      <c r="C1307" s="56"/>
      <c r="D1307" s="57"/>
      <c r="E1307" s="57" t="e">
        <f>VLOOKUP(D1307,tblProjekt[],2,FALSE)</f>
        <v>#N/A</v>
      </c>
      <c r="F1307" s="58"/>
      <c r="G1307" s="58"/>
      <c r="H1307" s="58"/>
      <c r="I1307" s="58"/>
      <c r="J1307" s="58"/>
      <c r="K1307" s="58"/>
      <c r="L1307" s="59"/>
    </row>
    <row r="1308" spans="2:12" x14ac:dyDescent="0.2">
      <c r="B1308" s="73"/>
      <c r="C1308" s="56"/>
      <c r="D1308" s="57"/>
      <c r="E1308" s="57" t="e">
        <f>VLOOKUP(D1308,tblProjekt[],2,FALSE)</f>
        <v>#N/A</v>
      </c>
      <c r="F1308" s="58"/>
      <c r="G1308" s="58"/>
      <c r="H1308" s="58"/>
      <c r="I1308" s="58"/>
      <c r="J1308" s="58"/>
      <c r="K1308" s="58"/>
      <c r="L1308" s="59"/>
    </row>
    <row r="1309" spans="2:12" x14ac:dyDescent="0.2">
      <c r="B1309" s="73"/>
      <c r="C1309" s="56"/>
      <c r="D1309" s="57"/>
      <c r="E1309" s="57" t="e">
        <f>VLOOKUP(D1309,tblProjekt[],2,FALSE)</f>
        <v>#N/A</v>
      </c>
      <c r="F1309" s="58"/>
      <c r="G1309" s="58"/>
      <c r="H1309" s="58"/>
      <c r="I1309" s="58"/>
      <c r="J1309" s="58"/>
      <c r="K1309" s="58"/>
      <c r="L1309" s="59"/>
    </row>
    <row r="1310" spans="2:12" x14ac:dyDescent="0.2">
      <c r="B1310" s="73"/>
      <c r="C1310" s="56"/>
      <c r="D1310" s="57"/>
      <c r="E1310" s="57" t="e">
        <f>VLOOKUP(D1310,tblProjekt[],2,FALSE)</f>
        <v>#N/A</v>
      </c>
      <c r="F1310" s="58"/>
      <c r="G1310" s="58"/>
      <c r="H1310" s="58"/>
      <c r="I1310" s="58"/>
      <c r="J1310" s="58"/>
      <c r="K1310" s="58"/>
      <c r="L1310" s="59"/>
    </row>
    <row r="1311" spans="2:12" x14ac:dyDescent="0.2">
      <c r="B1311" s="73"/>
      <c r="C1311" s="56"/>
      <c r="D1311" s="57"/>
      <c r="E1311" s="57" t="e">
        <f>VLOOKUP(D1311,tblProjekt[],2,FALSE)</f>
        <v>#N/A</v>
      </c>
      <c r="F1311" s="58"/>
      <c r="G1311" s="58"/>
      <c r="H1311" s="58"/>
      <c r="I1311" s="58"/>
      <c r="J1311" s="58"/>
      <c r="K1311" s="58"/>
      <c r="L1311" s="59"/>
    </row>
    <row r="1312" spans="2:12" x14ac:dyDescent="0.2">
      <c r="B1312" s="73"/>
      <c r="C1312" s="56"/>
      <c r="D1312" s="57"/>
      <c r="E1312" s="57" t="e">
        <f>VLOOKUP(D1312,tblProjekt[],2,FALSE)</f>
        <v>#N/A</v>
      </c>
      <c r="F1312" s="58"/>
      <c r="G1312" s="58"/>
      <c r="H1312" s="58"/>
      <c r="I1312" s="58"/>
      <c r="J1312" s="58"/>
      <c r="K1312" s="58"/>
      <c r="L1312" s="59"/>
    </row>
    <row r="1313" spans="2:12" x14ac:dyDescent="0.2">
      <c r="B1313" s="73"/>
      <c r="C1313" s="56"/>
      <c r="D1313" s="57"/>
      <c r="E1313" s="57" t="e">
        <f>VLOOKUP(D1313,tblProjekt[],2,FALSE)</f>
        <v>#N/A</v>
      </c>
      <c r="F1313" s="58"/>
      <c r="G1313" s="58"/>
      <c r="H1313" s="58"/>
      <c r="I1313" s="58"/>
      <c r="J1313" s="58"/>
      <c r="K1313" s="58"/>
      <c r="L1313" s="59"/>
    </row>
    <row r="1314" spans="2:12" x14ac:dyDescent="0.2">
      <c r="B1314" s="73"/>
      <c r="C1314" s="56"/>
      <c r="D1314" s="57"/>
      <c r="E1314" s="57" t="e">
        <f>VLOOKUP(D1314,tblProjekt[],2,FALSE)</f>
        <v>#N/A</v>
      </c>
      <c r="F1314" s="58"/>
      <c r="G1314" s="58"/>
      <c r="H1314" s="58"/>
      <c r="I1314" s="58"/>
      <c r="J1314" s="58"/>
      <c r="K1314" s="58"/>
      <c r="L1314" s="59"/>
    </row>
    <row r="1315" spans="2:12" x14ac:dyDescent="0.2">
      <c r="B1315" s="73"/>
      <c r="C1315" s="56"/>
      <c r="D1315" s="57"/>
      <c r="E1315" s="57" t="e">
        <f>VLOOKUP(D1315,tblProjekt[],2,FALSE)</f>
        <v>#N/A</v>
      </c>
      <c r="F1315" s="58"/>
      <c r="G1315" s="58"/>
      <c r="H1315" s="58"/>
      <c r="I1315" s="58"/>
      <c r="J1315" s="58"/>
      <c r="K1315" s="58"/>
      <c r="L1315" s="59"/>
    </row>
    <row r="1316" spans="2:12" x14ac:dyDescent="0.2">
      <c r="B1316" s="73"/>
      <c r="C1316" s="56"/>
      <c r="D1316" s="57"/>
      <c r="E1316" s="57" t="e">
        <f>VLOOKUP(D1316,tblProjekt[],2,FALSE)</f>
        <v>#N/A</v>
      </c>
      <c r="F1316" s="58"/>
      <c r="G1316" s="58"/>
      <c r="H1316" s="58"/>
      <c r="I1316" s="58"/>
      <c r="J1316" s="58"/>
      <c r="K1316" s="58"/>
      <c r="L1316" s="59"/>
    </row>
    <row r="1317" spans="2:12" x14ac:dyDescent="0.2">
      <c r="B1317" s="73"/>
      <c r="C1317" s="56"/>
      <c r="D1317" s="57"/>
      <c r="E1317" s="57" t="e">
        <f>VLOOKUP(D1317,tblProjekt[],2,FALSE)</f>
        <v>#N/A</v>
      </c>
      <c r="F1317" s="58"/>
      <c r="G1317" s="58"/>
      <c r="H1317" s="58"/>
      <c r="I1317" s="58"/>
      <c r="J1317" s="58"/>
      <c r="K1317" s="58"/>
      <c r="L1317" s="59"/>
    </row>
    <row r="1318" spans="2:12" x14ac:dyDescent="0.2">
      <c r="B1318" s="73"/>
      <c r="C1318" s="56"/>
      <c r="D1318" s="57"/>
      <c r="E1318" s="57" t="e">
        <f>VLOOKUP(D1318,tblProjekt[],2,FALSE)</f>
        <v>#N/A</v>
      </c>
      <c r="F1318" s="58"/>
      <c r="G1318" s="58"/>
      <c r="H1318" s="58"/>
      <c r="I1318" s="58"/>
      <c r="J1318" s="58"/>
      <c r="K1318" s="58"/>
      <c r="L1318" s="59"/>
    </row>
    <row r="1319" spans="2:12" x14ac:dyDescent="0.2">
      <c r="B1319" s="73"/>
      <c r="C1319" s="56"/>
      <c r="D1319" s="57"/>
      <c r="E1319" s="57" t="e">
        <f>VLOOKUP(D1319,tblProjekt[],2,FALSE)</f>
        <v>#N/A</v>
      </c>
      <c r="F1319" s="58"/>
      <c r="G1319" s="58"/>
      <c r="H1319" s="58"/>
      <c r="I1319" s="58"/>
      <c r="J1319" s="58"/>
      <c r="K1319" s="58"/>
      <c r="L1319" s="59"/>
    </row>
    <row r="1320" spans="2:12" x14ac:dyDescent="0.2">
      <c r="B1320" s="73"/>
      <c r="C1320" s="56"/>
      <c r="D1320" s="57"/>
      <c r="E1320" s="57" t="e">
        <f>VLOOKUP(D1320,tblProjekt[],2,FALSE)</f>
        <v>#N/A</v>
      </c>
      <c r="F1320" s="58"/>
      <c r="G1320" s="58"/>
      <c r="H1320" s="58"/>
      <c r="I1320" s="58"/>
      <c r="J1320" s="58"/>
      <c r="K1320" s="58"/>
      <c r="L1320" s="59"/>
    </row>
    <row r="1321" spans="2:12" x14ac:dyDescent="0.2">
      <c r="B1321" s="73"/>
      <c r="C1321" s="56"/>
      <c r="D1321" s="57"/>
      <c r="E1321" s="57" t="e">
        <f>VLOOKUP(D1321,tblProjekt[],2,FALSE)</f>
        <v>#N/A</v>
      </c>
      <c r="F1321" s="58"/>
      <c r="G1321" s="58"/>
      <c r="H1321" s="58"/>
      <c r="I1321" s="58"/>
      <c r="J1321" s="58"/>
      <c r="K1321" s="58"/>
      <c r="L1321" s="59"/>
    </row>
    <row r="1322" spans="2:12" x14ac:dyDescent="0.2">
      <c r="B1322" s="73"/>
      <c r="C1322" s="56"/>
      <c r="D1322" s="57"/>
      <c r="E1322" s="57" t="e">
        <f>VLOOKUP(D1322,tblProjekt[],2,FALSE)</f>
        <v>#N/A</v>
      </c>
      <c r="F1322" s="58"/>
      <c r="G1322" s="58"/>
      <c r="H1322" s="58"/>
      <c r="I1322" s="58"/>
      <c r="J1322" s="58"/>
      <c r="K1322" s="58"/>
      <c r="L1322" s="59"/>
    </row>
    <row r="1323" spans="2:12" x14ac:dyDescent="0.2">
      <c r="B1323" s="73"/>
      <c r="C1323" s="56"/>
      <c r="D1323" s="57"/>
      <c r="E1323" s="57" t="e">
        <f>VLOOKUP(D1323,tblProjekt[],2,FALSE)</f>
        <v>#N/A</v>
      </c>
      <c r="F1323" s="58"/>
      <c r="G1323" s="58"/>
      <c r="H1323" s="58"/>
      <c r="I1323" s="58"/>
      <c r="J1323" s="58"/>
      <c r="K1323" s="58"/>
      <c r="L1323" s="59"/>
    </row>
    <row r="1324" spans="2:12" x14ac:dyDescent="0.2">
      <c r="B1324" s="73"/>
      <c r="C1324" s="56"/>
      <c r="D1324" s="57"/>
      <c r="E1324" s="57" t="e">
        <f>VLOOKUP(D1324,tblProjekt[],2,FALSE)</f>
        <v>#N/A</v>
      </c>
      <c r="F1324" s="58"/>
      <c r="G1324" s="58"/>
      <c r="H1324" s="58"/>
      <c r="I1324" s="58"/>
      <c r="J1324" s="58"/>
      <c r="K1324" s="58"/>
      <c r="L1324" s="59"/>
    </row>
    <row r="1325" spans="2:12" x14ac:dyDescent="0.2">
      <c r="B1325" s="73"/>
      <c r="C1325" s="56"/>
      <c r="D1325" s="57"/>
      <c r="E1325" s="57" t="e">
        <f>VLOOKUP(D1325,tblProjekt[],2,FALSE)</f>
        <v>#N/A</v>
      </c>
      <c r="F1325" s="58"/>
      <c r="G1325" s="58"/>
      <c r="H1325" s="58"/>
      <c r="I1325" s="58"/>
      <c r="J1325" s="58"/>
      <c r="K1325" s="58"/>
      <c r="L1325" s="59"/>
    </row>
    <row r="1326" spans="2:12" x14ac:dyDescent="0.2">
      <c r="B1326" s="73"/>
      <c r="C1326" s="56"/>
      <c r="D1326" s="57"/>
      <c r="E1326" s="57" t="e">
        <f>VLOOKUP(D1326,tblProjekt[],2,FALSE)</f>
        <v>#N/A</v>
      </c>
      <c r="F1326" s="58"/>
      <c r="G1326" s="58"/>
      <c r="H1326" s="58"/>
      <c r="I1326" s="58"/>
      <c r="J1326" s="58"/>
      <c r="K1326" s="58"/>
      <c r="L1326" s="59"/>
    </row>
    <row r="1327" spans="2:12" x14ac:dyDescent="0.2">
      <c r="B1327" s="73"/>
      <c r="C1327" s="56"/>
      <c r="D1327" s="57"/>
      <c r="E1327" s="57" t="e">
        <f>VLOOKUP(D1327,tblProjekt[],2,FALSE)</f>
        <v>#N/A</v>
      </c>
      <c r="F1327" s="58"/>
      <c r="G1327" s="58"/>
      <c r="H1327" s="58"/>
      <c r="I1327" s="58"/>
      <c r="J1327" s="58"/>
      <c r="K1327" s="58"/>
      <c r="L1327" s="59"/>
    </row>
    <row r="1328" spans="2:12" x14ac:dyDescent="0.2">
      <c r="B1328" s="73"/>
      <c r="C1328" s="56"/>
      <c r="D1328" s="57"/>
      <c r="E1328" s="57" t="e">
        <f>VLOOKUP(D1328,tblProjekt[],2,FALSE)</f>
        <v>#N/A</v>
      </c>
      <c r="F1328" s="58"/>
      <c r="G1328" s="58"/>
      <c r="H1328" s="58"/>
      <c r="I1328" s="58"/>
      <c r="J1328" s="58"/>
      <c r="K1328" s="58"/>
      <c r="L1328" s="59"/>
    </row>
    <row r="1329" spans="2:12" x14ac:dyDescent="0.2">
      <c r="B1329" s="73"/>
      <c r="C1329" s="56"/>
      <c r="D1329" s="57"/>
      <c r="E1329" s="57" t="e">
        <f>VLOOKUP(D1329,tblProjekt[],2,FALSE)</f>
        <v>#N/A</v>
      </c>
      <c r="F1329" s="58"/>
      <c r="G1329" s="58"/>
      <c r="H1329" s="58"/>
      <c r="I1329" s="58"/>
      <c r="J1329" s="58"/>
      <c r="K1329" s="58"/>
      <c r="L1329" s="59"/>
    </row>
    <row r="1330" spans="2:12" x14ac:dyDescent="0.2">
      <c r="B1330" s="73"/>
      <c r="C1330" s="56"/>
      <c r="D1330" s="57"/>
      <c r="E1330" s="57" t="e">
        <f>VLOOKUP(D1330,tblProjekt[],2,FALSE)</f>
        <v>#N/A</v>
      </c>
      <c r="F1330" s="58"/>
      <c r="G1330" s="58"/>
      <c r="H1330" s="58"/>
      <c r="I1330" s="58"/>
      <c r="J1330" s="58"/>
      <c r="K1330" s="58"/>
      <c r="L1330" s="59"/>
    </row>
    <row r="1331" spans="2:12" x14ac:dyDescent="0.2">
      <c r="B1331" s="73"/>
      <c r="C1331" s="56"/>
      <c r="D1331" s="57"/>
      <c r="E1331" s="57" t="e">
        <f>VLOOKUP(D1331,tblProjekt[],2,FALSE)</f>
        <v>#N/A</v>
      </c>
      <c r="F1331" s="58"/>
      <c r="G1331" s="58"/>
      <c r="H1331" s="58"/>
      <c r="I1331" s="58"/>
      <c r="J1331" s="58"/>
      <c r="K1331" s="58"/>
      <c r="L1331" s="59"/>
    </row>
    <row r="1332" spans="2:12" x14ac:dyDescent="0.2">
      <c r="B1332" s="73"/>
      <c r="C1332" s="56"/>
      <c r="D1332" s="57"/>
      <c r="E1332" s="57" t="e">
        <f>VLOOKUP(D1332,tblProjekt[],2,FALSE)</f>
        <v>#N/A</v>
      </c>
      <c r="F1332" s="58"/>
      <c r="G1332" s="58"/>
      <c r="H1332" s="58"/>
      <c r="I1332" s="58"/>
      <c r="J1332" s="58"/>
      <c r="K1332" s="58"/>
      <c r="L1332" s="59"/>
    </row>
    <row r="1333" spans="2:12" x14ac:dyDescent="0.2">
      <c r="B1333" s="73"/>
      <c r="C1333" s="56"/>
      <c r="D1333" s="57"/>
      <c r="E1333" s="57" t="e">
        <f>VLOOKUP(D1333,tblProjekt[],2,FALSE)</f>
        <v>#N/A</v>
      </c>
      <c r="F1333" s="58"/>
      <c r="G1333" s="58"/>
      <c r="H1333" s="58"/>
      <c r="I1333" s="58"/>
      <c r="J1333" s="58"/>
      <c r="K1333" s="58"/>
      <c r="L1333" s="59"/>
    </row>
    <row r="1334" spans="2:12" x14ac:dyDescent="0.2">
      <c r="B1334" s="73"/>
      <c r="C1334" s="56"/>
      <c r="D1334" s="57"/>
      <c r="E1334" s="57" t="e">
        <f>VLOOKUP(D1334,tblProjekt[],2,FALSE)</f>
        <v>#N/A</v>
      </c>
      <c r="F1334" s="58"/>
      <c r="G1334" s="58"/>
      <c r="H1334" s="58"/>
      <c r="I1334" s="58"/>
      <c r="J1334" s="58"/>
      <c r="K1334" s="58"/>
      <c r="L1334" s="59"/>
    </row>
    <row r="1335" spans="2:12" x14ac:dyDescent="0.2">
      <c r="B1335" s="73"/>
      <c r="C1335" s="56"/>
      <c r="D1335" s="57"/>
      <c r="E1335" s="57" t="e">
        <f>VLOOKUP(D1335,tblProjekt[],2,FALSE)</f>
        <v>#N/A</v>
      </c>
      <c r="F1335" s="58"/>
      <c r="G1335" s="58"/>
      <c r="H1335" s="58"/>
      <c r="I1335" s="58"/>
      <c r="J1335" s="58"/>
      <c r="K1335" s="58"/>
      <c r="L1335" s="59"/>
    </row>
    <row r="1336" spans="2:12" x14ac:dyDescent="0.2">
      <c r="B1336" s="73"/>
      <c r="C1336" s="56"/>
      <c r="D1336" s="57"/>
      <c r="E1336" s="57" t="e">
        <f>VLOOKUP(D1336,tblProjekt[],2,FALSE)</f>
        <v>#N/A</v>
      </c>
      <c r="F1336" s="58"/>
      <c r="G1336" s="58"/>
      <c r="H1336" s="58"/>
      <c r="I1336" s="58"/>
      <c r="J1336" s="58"/>
      <c r="K1336" s="58"/>
      <c r="L1336" s="59"/>
    </row>
    <row r="1337" spans="2:12" x14ac:dyDescent="0.2">
      <c r="B1337" s="73"/>
      <c r="C1337" s="56"/>
      <c r="D1337" s="57"/>
      <c r="E1337" s="57" t="e">
        <f>VLOOKUP(D1337,tblProjekt[],2,FALSE)</f>
        <v>#N/A</v>
      </c>
      <c r="F1337" s="58"/>
      <c r="G1337" s="58"/>
      <c r="H1337" s="58"/>
      <c r="I1337" s="58"/>
      <c r="J1337" s="58"/>
      <c r="K1337" s="58"/>
      <c r="L1337" s="59"/>
    </row>
    <row r="1338" spans="2:12" x14ac:dyDescent="0.2">
      <c r="B1338" s="73"/>
      <c r="C1338" s="56"/>
      <c r="D1338" s="57"/>
      <c r="E1338" s="57" t="e">
        <f>VLOOKUP(D1338,tblProjekt[],2,FALSE)</f>
        <v>#N/A</v>
      </c>
      <c r="F1338" s="58"/>
      <c r="G1338" s="58"/>
      <c r="H1338" s="58"/>
      <c r="I1338" s="58"/>
      <c r="J1338" s="58"/>
      <c r="K1338" s="58"/>
      <c r="L1338" s="59"/>
    </row>
    <row r="1339" spans="2:12" x14ac:dyDescent="0.2">
      <c r="B1339" s="73"/>
      <c r="C1339" s="56"/>
      <c r="D1339" s="57"/>
      <c r="E1339" s="57" t="e">
        <f>VLOOKUP(D1339,tblProjekt[],2,FALSE)</f>
        <v>#N/A</v>
      </c>
      <c r="F1339" s="58"/>
      <c r="G1339" s="58"/>
      <c r="H1339" s="58"/>
      <c r="I1339" s="58"/>
      <c r="J1339" s="58"/>
      <c r="K1339" s="58"/>
      <c r="L1339" s="59"/>
    </row>
    <row r="1340" spans="2:12" x14ac:dyDescent="0.2">
      <c r="B1340" s="73"/>
      <c r="C1340" s="56"/>
      <c r="D1340" s="57"/>
      <c r="E1340" s="57" t="e">
        <f>VLOOKUP(D1340,tblProjekt[],2,FALSE)</f>
        <v>#N/A</v>
      </c>
      <c r="F1340" s="58"/>
      <c r="G1340" s="58"/>
      <c r="H1340" s="58"/>
      <c r="I1340" s="58"/>
      <c r="J1340" s="58"/>
      <c r="K1340" s="58"/>
      <c r="L1340" s="59"/>
    </row>
    <row r="1341" spans="2:12" x14ac:dyDescent="0.2">
      <c r="B1341" s="73"/>
      <c r="C1341" s="56"/>
      <c r="D1341" s="57"/>
      <c r="E1341" s="57" t="e">
        <f>VLOOKUP(D1341,tblProjekt[],2,FALSE)</f>
        <v>#N/A</v>
      </c>
      <c r="F1341" s="58"/>
      <c r="G1341" s="58"/>
      <c r="H1341" s="58"/>
      <c r="I1341" s="58"/>
      <c r="J1341" s="58"/>
      <c r="K1341" s="58"/>
      <c r="L1341" s="59"/>
    </row>
    <row r="1342" spans="2:12" x14ac:dyDescent="0.2">
      <c r="B1342" s="73"/>
      <c r="C1342" s="56"/>
      <c r="D1342" s="57"/>
      <c r="E1342" s="57" t="e">
        <f>VLOOKUP(D1342,tblProjekt[],2,FALSE)</f>
        <v>#N/A</v>
      </c>
      <c r="F1342" s="58"/>
      <c r="G1342" s="58"/>
      <c r="H1342" s="58"/>
      <c r="I1342" s="58"/>
      <c r="J1342" s="58"/>
      <c r="K1342" s="58"/>
      <c r="L1342" s="59"/>
    </row>
    <row r="1343" spans="2:12" x14ac:dyDescent="0.2">
      <c r="B1343" s="73"/>
      <c r="C1343" s="56"/>
      <c r="D1343" s="57"/>
      <c r="E1343" s="57" t="e">
        <f>VLOOKUP(D1343,tblProjekt[],2,FALSE)</f>
        <v>#N/A</v>
      </c>
      <c r="F1343" s="58"/>
      <c r="G1343" s="58"/>
      <c r="H1343" s="58"/>
      <c r="I1343" s="58"/>
      <c r="J1343" s="58"/>
      <c r="K1343" s="58"/>
      <c r="L1343" s="59"/>
    </row>
    <row r="1344" spans="2:12" x14ac:dyDescent="0.2">
      <c r="B1344" s="73"/>
      <c r="C1344" s="56"/>
      <c r="D1344" s="57"/>
      <c r="E1344" s="57" t="e">
        <f>VLOOKUP(D1344,tblProjekt[],2,FALSE)</f>
        <v>#N/A</v>
      </c>
      <c r="F1344" s="58"/>
      <c r="G1344" s="58"/>
      <c r="H1344" s="58"/>
      <c r="I1344" s="58"/>
      <c r="J1344" s="58"/>
      <c r="K1344" s="58"/>
      <c r="L1344" s="59"/>
    </row>
    <row r="1345" spans="2:12" x14ac:dyDescent="0.2">
      <c r="B1345" s="73"/>
      <c r="C1345" s="56"/>
      <c r="D1345" s="57"/>
      <c r="E1345" s="57" t="e">
        <f>VLOOKUP(D1345,tblProjekt[],2,FALSE)</f>
        <v>#N/A</v>
      </c>
      <c r="F1345" s="58"/>
      <c r="G1345" s="58"/>
      <c r="H1345" s="58"/>
      <c r="I1345" s="58"/>
      <c r="J1345" s="58"/>
      <c r="K1345" s="58"/>
      <c r="L1345" s="59"/>
    </row>
    <row r="1346" spans="2:12" x14ac:dyDescent="0.2">
      <c r="B1346" s="73"/>
      <c r="C1346" s="56"/>
      <c r="D1346" s="57"/>
      <c r="E1346" s="57" t="e">
        <f>VLOOKUP(D1346,tblProjekt[],2,FALSE)</f>
        <v>#N/A</v>
      </c>
      <c r="F1346" s="58"/>
      <c r="G1346" s="58"/>
      <c r="H1346" s="58"/>
      <c r="I1346" s="58"/>
      <c r="J1346" s="58"/>
      <c r="K1346" s="58"/>
      <c r="L1346" s="59"/>
    </row>
    <row r="1347" spans="2:12" x14ac:dyDescent="0.2">
      <c r="B1347" s="73"/>
      <c r="C1347" s="56"/>
      <c r="D1347" s="57"/>
      <c r="E1347" s="57" t="e">
        <f>VLOOKUP(D1347,tblProjekt[],2,FALSE)</f>
        <v>#N/A</v>
      </c>
      <c r="F1347" s="58"/>
      <c r="G1347" s="58"/>
      <c r="H1347" s="58"/>
      <c r="I1347" s="58"/>
      <c r="J1347" s="58"/>
      <c r="K1347" s="58"/>
      <c r="L1347" s="59"/>
    </row>
    <row r="1348" spans="2:12" x14ac:dyDescent="0.2">
      <c r="B1348" s="73"/>
      <c r="C1348" s="56"/>
      <c r="D1348" s="57"/>
      <c r="E1348" s="57" t="e">
        <f>VLOOKUP(D1348,tblProjekt[],2,FALSE)</f>
        <v>#N/A</v>
      </c>
      <c r="F1348" s="58"/>
      <c r="G1348" s="58"/>
      <c r="H1348" s="58"/>
      <c r="I1348" s="58"/>
      <c r="J1348" s="58"/>
      <c r="K1348" s="58"/>
      <c r="L1348" s="59"/>
    </row>
    <row r="1349" spans="2:12" x14ac:dyDescent="0.2">
      <c r="B1349" s="73"/>
      <c r="C1349" s="56"/>
      <c r="D1349" s="57"/>
      <c r="E1349" s="57" t="e">
        <f>VLOOKUP(D1349,tblProjekt[],2,FALSE)</f>
        <v>#N/A</v>
      </c>
      <c r="F1349" s="58"/>
      <c r="G1349" s="58"/>
      <c r="H1349" s="58"/>
      <c r="I1349" s="58"/>
      <c r="J1349" s="58"/>
      <c r="K1349" s="58"/>
      <c r="L1349" s="59"/>
    </row>
    <row r="1350" spans="2:12" x14ac:dyDescent="0.2">
      <c r="B1350" s="73"/>
      <c r="C1350" s="56"/>
      <c r="D1350" s="57"/>
      <c r="E1350" s="57" t="e">
        <f>VLOOKUP(D1350,tblProjekt[],2,FALSE)</f>
        <v>#N/A</v>
      </c>
      <c r="F1350" s="58"/>
      <c r="G1350" s="58"/>
      <c r="H1350" s="58"/>
      <c r="I1350" s="58"/>
      <c r="J1350" s="58"/>
      <c r="K1350" s="58"/>
      <c r="L1350" s="59"/>
    </row>
    <row r="1351" spans="2:12" x14ac:dyDescent="0.2">
      <c r="B1351" s="73"/>
      <c r="C1351" s="56"/>
      <c r="D1351" s="57"/>
      <c r="E1351" s="57" t="e">
        <f>VLOOKUP(D1351,tblProjekt[],2,FALSE)</f>
        <v>#N/A</v>
      </c>
      <c r="F1351" s="58"/>
      <c r="G1351" s="58"/>
      <c r="H1351" s="58"/>
      <c r="I1351" s="58"/>
      <c r="J1351" s="58"/>
      <c r="K1351" s="58"/>
      <c r="L1351" s="59"/>
    </row>
    <row r="1352" spans="2:12" x14ac:dyDescent="0.2">
      <c r="B1352" s="73"/>
      <c r="C1352" s="56"/>
      <c r="D1352" s="57"/>
      <c r="E1352" s="57" t="e">
        <f>VLOOKUP(D1352,tblProjekt[],2,FALSE)</f>
        <v>#N/A</v>
      </c>
      <c r="F1352" s="58"/>
      <c r="G1352" s="58"/>
      <c r="H1352" s="58"/>
      <c r="I1352" s="58"/>
      <c r="J1352" s="58"/>
      <c r="K1352" s="58"/>
      <c r="L1352" s="59"/>
    </row>
    <row r="1353" spans="2:12" x14ac:dyDescent="0.2">
      <c r="B1353" s="73"/>
      <c r="C1353" s="56"/>
      <c r="D1353" s="57"/>
      <c r="E1353" s="57" t="e">
        <f>VLOOKUP(D1353,tblProjekt[],2,FALSE)</f>
        <v>#N/A</v>
      </c>
      <c r="F1353" s="58"/>
      <c r="G1353" s="58"/>
      <c r="H1353" s="58"/>
      <c r="I1353" s="58"/>
      <c r="J1353" s="58"/>
      <c r="K1353" s="58"/>
      <c r="L1353" s="59"/>
    </row>
    <row r="1354" spans="2:12" x14ac:dyDescent="0.2">
      <c r="B1354" s="73"/>
      <c r="C1354" s="56"/>
      <c r="D1354" s="57"/>
      <c r="E1354" s="57" t="e">
        <f>VLOOKUP(D1354,tblProjekt[],2,FALSE)</f>
        <v>#N/A</v>
      </c>
      <c r="F1354" s="58"/>
      <c r="G1354" s="58"/>
      <c r="H1354" s="58"/>
      <c r="I1354" s="58"/>
      <c r="J1354" s="58"/>
      <c r="K1354" s="58"/>
      <c r="L1354" s="59"/>
    </row>
    <row r="1355" spans="2:12" x14ac:dyDescent="0.2">
      <c r="B1355" s="73"/>
      <c r="C1355" s="56"/>
      <c r="D1355" s="57"/>
      <c r="E1355" s="57" t="e">
        <f>VLOOKUP(D1355,tblProjekt[],2,FALSE)</f>
        <v>#N/A</v>
      </c>
      <c r="F1355" s="58"/>
      <c r="G1355" s="58"/>
      <c r="H1355" s="58"/>
      <c r="I1355" s="58"/>
      <c r="J1355" s="58"/>
      <c r="K1355" s="58"/>
      <c r="L1355" s="59"/>
    </row>
    <row r="1356" spans="2:12" x14ac:dyDescent="0.2">
      <c r="B1356" s="73"/>
      <c r="C1356" s="56"/>
      <c r="D1356" s="57"/>
      <c r="E1356" s="57" t="e">
        <f>VLOOKUP(D1356,tblProjekt[],2,FALSE)</f>
        <v>#N/A</v>
      </c>
      <c r="F1356" s="58"/>
      <c r="G1356" s="58"/>
      <c r="H1356" s="58"/>
      <c r="I1356" s="58"/>
      <c r="J1356" s="58"/>
      <c r="K1356" s="58"/>
      <c r="L1356" s="59"/>
    </row>
    <row r="1357" spans="2:12" x14ac:dyDescent="0.2">
      <c r="B1357" s="73"/>
      <c r="C1357" s="56"/>
      <c r="D1357" s="57"/>
      <c r="E1357" s="57" t="e">
        <f>VLOOKUP(D1357,tblProjekt[],2,FALSE)</f>
        <v>#N/A</v>
      </c>
      <c r="F1357" s="58"/>
      <c r="G1357" s="58"/>
      <c r="H1357" s="58"/>
      <c r="I1357" s="58"/>
      <c r="J1357" s="58"/>
      <c r="K1357" s="58"/>
      <c r="L1357" s="59"/>
    </row>
    <row r="1358" spans="2:12" x14ac:dyDescent="0.2">
      <c r="B1358" s="73"/>
      <c r="C1358" s="56"/>
      <c r="D1358" s="57"/>
      <c r="E1358" s="57" t="e">
        <f>VLOOKUP(D1358,tblProjekt[],2,FALSE)</f>
        <v>#N/A</v>
      </c>
      <c r="F1358" s="58"/>
      <c r="G1358" s="58"/>
      <c r="H1358" s="58"/>
      <c r="I1358" s="58"/>
      <c r="J1358" s="58"/>
      <c r="K1358" s="58"/>
      <c r="L1358" s="59"/>
    </row>
    <row r="1359" spans="2:12" x14ac:dyDescent="0.2">
      <c r="B1359" s="73"/>
      <c r="C1359" s="56"/>
      <c r="D1359" s="57"/>
      <c r="E1359" s="57" t="e">
        <f>VLOOKUP(D1359,tblProjekt[],2,FALSE)</f>
        <v>#N/A</v>
      </c>
      <c r="F1359" s="58"/>
      <c r="G1359" s="58"/>
      <c r="H1359" s="58"/>
      <c r="I1359" s="58"/>
      <c r="J1359" s="58"/>
      <c r="K1359" s="58"/>
      <c r="L1359" s="59"/>
    </row>
    <row r="1360" spans="2:12" x14ac:dyDescent="0.2">
      <c r="B1360" s="73"/>
      <c r="C1360" s="56"/>
      <c r="D1360" s="57"/>
      <c r="E1360" s="57" t="e">
        <f>VLOOKUP(D1360,tblProjekt[],2,FALSE)</f>
        <v>#N/A</v>
      </c>
      <c r="F1360" s="58"/>
      <c r="G1360" s="58"/>
      <c r="H1360" s="58"/>
      <c r="I1360" s="58"/>
      <c r="J1360" s="58"/>
      <c r="K1360" s="58"/>
      <c r="L1360" s="59"/>
    </row>
    <row r="1361" spans="2:12" x14ac:dyDescent="0.2">
      <c r="B1361" s="73"/>
      <c r="C1361" s="56"/>
      <c r="D1361" s="57"/>
      <c r="E1361" s="57" t="e">
        <f>VLOOKUP(D1361,tblProjekt[],2,FALSE)</f>
        <v>#N/A</v>
      </c>
      <c r="F1361" s="58"/>
      <c r="G1361" s="58"/>
      <c r="H1361" s="58"/>
      <c r="I1361" s="58"/>
      <c r="J1361" s="58"/>
      <c r="K1361" s="58"/>
      <c r="L1361" s="59"/>
    </row>
    <row r="1362" spans="2:12" x14ac:dyDescent="0.2">
      <c r="B1362" s="73"/>
      <c r="C1362" s="56"/>
      <c r="D1362" s="57"/>
      <c r="E1362" s="57" t="e">
        <f>VLOOKUP(D1362,tblProjekt[],2,FALSE)</f>
        <v>#N/A</v>
      </c>
      <c r="F1362" s="58"/>
      <c r="G1362" s="58"/>
      <c r="H1362" s="58"/>
      <c r="I1362" s="58"/>
      <c r="J1362" s="58"/>
      <c r="K1362" s="58"/>
      <c r="L1362" s="59"/>
    </row>
    <row r="1363" spans="2:12" x14ac:dyDescent="0.2">
      <c r="B1363" s="73"/>
      <c r="C1363" s="56"/>
      <c r="D1363" s="57"/>
      <c r="E1363" s="57" t="e">
        <f>VLOOKUP(D1363,tblProjekt[],2,FALSE)</f>
        <v>#N/A</v>
      </c>
      <c r="F1363" s="58"/>
      <c r="G1363" s="58"/>
      <c r="H1363" s="58"/>
      <c r="I1363" s="58"/>
      <c r="J1363" s="58"/>
      <c r="K1363" s="58"/>
      <c r="L1363" s="59"/>
    </row>
    <row r="1364" spans="2:12" x14ac:dyDescent="0.2">
      <c r="B1364" s="73"/>
      <c r="C1364" s="56"/>
      <c r="D1364" s="57"/>
      <c r="E1364" s="57" t="e">
        <f>VLOOKUP(D1364,tblProjekt[],2,FALSE)</f>
        <v>#N/A</v>
      </c>
      <c r="F1364" s="58"/>
      <c r="G1364" s="58"/>
      <c r="H1364" s="58"/>
      <c r="I1364" s="58"/>
      <c r="J1364" s="58"/>
      <c r="K1364" s="58"/>
      <c r="L1364" s="59"/>
    </row>
    <row r="1365" spans="2:12" x14ac:dyDescent="0.2">
      <c r="B1365" s="73"/>
      <c r="C1365" s="56"/>
      <c r="D1365" s="57"/>
      <c r="E1365" s="57" t="e">
        <f>VLOOKUP(D1365,tblProjekt[],2,FALSE)</f>
        <v>#N/A</v>
      </c>
      <c r="F1365" s="58"/>
      <c r="G1365" s="58"/>
      <c r="H1365" s="58"/>
      <c r="I1365" s="58"/>
      <c r="J1365" s="58"/>
      <c r="K1365" s="58"/>
      <c r="L1365" s="59"/>
    </row>
    <row r="1366" spans="2:12" x14ac:dyDescent="0.2">
      <c r="B1366" s="73"/>
      <c r="C1366" s="56"/>
      <c r="D1366" s="57"/>
      <c r="E1366" s="57" t="e">
        <f>VLOOKUP(D1366,tblProjekt[],2,FALSE)</f>
        <v>#N/A</v>
      </c>
      <c r="F1366" s="58"/>
      <c r="G1366" s="58"/>
      <c r="H1366" s="58"/>
      <c r="I1366" s="58"/>
      <c r="J1366" s="58"/>
      <c r="K1366" s="58"/>
      <c r="L1366" s="59"/>
    </row>
    <row r="1367" spans="2:12" x14ac:dyDescent="0.2">
      <c r="B1367" s="73"/>
      <c r="C1367" s="56"/>
      <c r="D1367" s="57"/>
      <c r="E1367" s="57" t="e">
        <f>VLOOKUP(D1367,tblProjekt[],2,FALSE)</f>
        <v>#N/A</v>
      </c>
      <c r="F1367" s="58"/>
      <c r="G1367" s="58"/>
      <c r="H1367" s="58"/>
      <c r="I1367" s="58"/>
      <c r="J1367" s="58"/>
      <c r="K1367" s="58"/>
      <c r="L1367" s="59"/>
    </row>
    <row r="1368" spans="2:12" x14ac:dyDescent="0.2">
      <c r="B1368" s="73"/>
      <c r="C1368" s="56"/>
      <c r="D1368" s="57"/>
      <c r="E1368" s="57" t="e">
        <f>VLOOKUP(D1368,tblProjekt[],2,FALSE)</f>
        <v>#N/A</v>
      </c>
      <c r="F1368" s="58"/>
      <c r="G1368" s="58"/>
      <c r="H1368" s="58"/>
      <c r="I1368" s="58"/>
      <c r="J1368" s="58"/>
      <c r="K1368" s="58"/>
      <c r="L1368" s="59"/>
    </row>
    <row r="1369" spans="2:12" x14ac:dyDescent="0.2">
      <c r="B1369" s="73"/>
      <c r="C1369" s="56"/>
      <c r="D1369" s="57"/>
      <c r="E1369" s="57" t="e">
        <f>VLOOKUP(D1369,tblProjekt[],2,FALSE)</f>
        <v>#N/A</v>
      </c>
      <c r="F1369" s="58"/>
      <c r="G1369" s="58"/>
      <c r="H1369" s="58"/>
      <c r="I1369" s="58"/>
      <c r="J1369" s="58"/>
      <c r="K1369" s="58"/>
      <c r="L1369" s="59"/>
    </row>
    <row r="1370" spans="2:12" x14ac:dyDescent="0.2">
      <c r="B1370" s="73"/>
      <c r="C1370" s="56"/>
      <c r="D1370" s="57"/>
      <c r="E1370" s="57" t="e">
        <f>VLOOKUP(D1370,tblProjekt[],2,FALSE)</f>
        <v>#N/A</v>
      </c>
      <c r="F1370" s="58"/>
      <c r="G1370" s="58"/>
      <c r="H1370" s="58"/>
      <c r="I1370" s="58"/>
      <c r="J1370" s="58"/>
      <c r="K1370" s="58"/>
      <c r="L1370" s="59"/>
    </row>
    <row r="1371" spans="2:12" x14ac:dyDescent="0.2">
      <c r="B1371" s="73"/>
      <c r="C1371" s="56"/>
      <c r="D1371" s="57"/>
      <c r="E1371" s="57" t="e">
        <f>VLOOKUP(D1371,tblProjekt[],2,FALSE)</f>
        <v>#N/A</v>
      </c>
      <c r="F1371" s="58"/>
      <c r="G1371" s="58"/>
      <c r="H1371" s="58"/>
      <c r="I1371" s="58"/>
      <c r="J1371" s="58"/>
      <c r="K1371" s="58"/>
      <c r="L1371" s="59"/>
    </row>
    <row r="1372" spans="2:12" x14ac:dyDescent="0.2">
      <c r="B1372" s="73"/>
      <c r="C1372" s="56"/>
      <c r="D1372" s="57"/>
      <c r="E1372" s="57" t="e">
        <f>VLOOKUP(D1372,tblProjekt[],2,FALSE)</f>
        <v>#N/A</v>
      </c>
      <c r="F1372" s="58"/>
      <c r="G1372" s="58"/>
      <c r="H1372" s="58"/>
      <c r="I1372" s="58"/>
      <c r="J1372" s="58"/>
      <c r="K1372" s="58"/>
      <c r="L1372" s="59"/>
    </row>
    <row r="1373" spans="2:12" x14ac:dyDescent="0.2">
      <c r="B1373" s="73"/>
      <c r="C1373" s="56"/>
      <c r="D1373" s="57"/>
      <c r="E1373" s="57" t="e">
        <f>VLOOKUP(D1373,tblProjekt[],2,FALSE)</f>
        <v>#N/A</v>
      </c>
      <c r="F1373" s="58"/>
      <c r="G1373" s="58"/>
      <c r="H1373" s="58"/>
      <c r="I1373" s="58"/>
      <c r="J1373" s="58"/>
      <c r="K1373" s="58"/>
      <c r="L1373" s="59"/>
    </row>
    <row r="1374" spans="2:12" x14ac:dyDescent="0.2">
      <c r="B1374" s="73"/>
      <c r="C1374" s="56"/>
      <c r="D1374" s="57"/>
      <c r="E1374" s="57" t="e">
        <f>VLOOKUP(D1374,tblProjekt[],2,FALSE)</f>
        <v>#N/A</v>
      </c>
      <c r="F1374" s="58"/>
      <c r="G1374" s="58"/>
      <c r="H1374" s="58"/>
      <c r="I1374" s="58"/>
      <c r="J1374" s="58"/>
      <c r="K1374" s="58"/>
      <c r="L1374" s="59"/>
    </row>
    <row r="1375" spans="2:12" x14ac:dyDescent="0.2">
      <c r="B1375" s="73"/>
      <c r="C1375" s="56"/>
      <c r="D1375" s="57"/>
      <c r="E1375" s="57" t="e">
        <f>VLOOKUP(D1375,tblProjekt[],2,FALSE)</f>
        <v>#N/A</v>
      </c>
      <c r="F1375" s="58"/>
      <c r="G1375" s="58"/>
      <c r="H1375" s="58"/>
      <c r="I1375" s="58"/>
      <c r="J1375" s="58"/>
      <c r="K1375" s="58"/>
      <c r="L1375" s="59"/>
    </row>
    <row r="1376" spans="2:12" x14ac:dyDescent="0.2">
      <c r="B1376" s="73"/>
      <c r="C1376" s="56"/>
      <c r="D1376" s="57"/>
      <c r="E1376" s="57" t="e">
        <f>VLOOKUP(D1376,tblProjekt[],2,FALSE)</f>
        <v>#N/A</v>
      </c>
      <c r="F1376" s="58"/>
      <c r="G1376" s="58"/>
      <c r="H1376" s="58"/>
      <c r="I1376" s="58"/>
      <c r="J1376" s="58"/>
      <c r="K1376" s="58"/>
      <c r="L1376" s="59"/>
    </row>
    <row r="1377" spans="2:12" x14ac:dyDescent="0.2">
      <c r="B1377" s="73"/>
      <c r="C1377" s="56"/>
      <c r="D1377" s="57"/>
      <c r="E1377" s="57" t="e">
        <f>VLOOKUP(D1377,tblProjekt[],2,FALSE)</f>
        <v>#N/A</v>
      </c>
      <c r="F1377" s="58"/>
      <c r="G1377" s="58"/>
      <c r="H1377" s="58"/>
      <c r="I1377" s="58"/>
      <c r="J1377" s="58"/>
      <c r="K1377" s="58"/>
      <c r="L1377" s="59"/>
    </row>
    <row r="1378" spans="2:12" x14ac:dyDescent="0.2">
      <c r="B1378" s="73"/>
      <c r="C1378" s="56"/>
      <c r="D1378" s="57"/>
      <c r="E1378" s="57" t="e">
        <f>VLOOKUP(D1378,tblProjekt[],2,FALSE)</f>
        <v>#N/A</v>
      </c>
      <c r="F1378" s="58"/>
      <c r="G1378" s="58"/>
      <c r="H1378" s="58"/>
      <c r="I1378" s="58"/>
      <c r="J1378" s="58"/>
      <c r="K1378" s="58"/>
      <c r="L1378" s="59"/>
    </row>
    <row r="1379" spans="2:12" x14ac:dyDescent="0.2">
      <c r="B1379" s="73"/>
      <c r="C1379" s="56"/>
      <c r="D1379" s="57"/>
      <c r="E1379" s="57" t="e">
        <f>VLOOKUP(D1379,tblProjekt[],2,FALSE)</f>
        <v>#N/A</v>
      </c>
      <c r="F1379" s="58"/>
      <c r="G1379" s="58"/>
      <c r="H1379" s="58"/>
      <c r="I1379" s="58"/>
      <c r="J1379" s="58"/>
      <c r="K1379" s="58"/>
      <c r="L1379" s="59"/>
    </row>
    <row r="1380" spans="2:12" x14ac:dyDescent="0.2">
      <c r="B1380" s="73"/>
      <c r="C1380" s="56"/>
      <c r="D1380" s="57"/>
      <c r="E1380" s="57" t="e">
        <f>VLOOKUP(D1380,tblProjekt[],2,FALSE)</f>
        <v>#N/A</v>
      </c>
      <c r="F1380" s="58"/>
      <c r="G1380" s="58"/>
      <c r="H1380" s="58"/>
      <c r="I1380" s="58"/>
      <c r="J1380" s="58"/>
      <c r="K1380" s="58"/>
      <c r="L1380" s="59"/>
    </row>
    <row r="1381" spans="2:12" x14ac:dyDescent="0.2">
      <c r="B1381" s="73"/>
      <c r="C1381" s="56"/>
      <c r="D1381" s="57"/>
      <c r="E1381" s="57" t="e">
        <f>VLOOKUP(D1381,tblProjekt[],2,FALSE)</f>
        <v>#N/A</v>
      </c>
      <c r="F1381" s="58"/>
      <c r="G1381" s="58"/>
      <c r="H1381" s="58"/>
      <c r="I1381" s="58"/>
      <c r="J1381" s="58"/>
      <c r="K1381" s="58"/>
      <c r="L1381" s="59"/>
    </row>
    <row r="1382" spans="2:12" x14ac:dyDescent="0.2">
      <c r="B1382" s="73"/>
      <c r="C1382" s="56"/>
      <c r="D1382" s="57"/>
      <c r="E1382" s="57" t="e">
        <f>VLOOKUP(D1382,tblProjekt[],2,FALSE)</f>
        <v>#N/A</v>
      </c>
      <c r="F1382" s="58"/>
      <c r="G1382" s="58"/>
      <c r="H1382" s="58"/>
      <c r="I1382" s="58"/>
      <c r="J1382" s="58"/>
      <c r="K1382" s="58"/>
      <c r="L1382" s="59"/>
    </row>
    <row r="1383" spans="2:12" x14ac:dyDescent="0.2">
      <c r="B1383" s="73"/>
      <c r="C1383" s="56"/>
      <c r="D1383" s="57"/>
      <c r="E1383" s="57" t="e">
        <f>VLOOKUP(D1383,tblProjekt[],2,FALSE)</f>
        <v>#N/A</v>
      </c>
      <c r="F1383" s="58"/>
      <c r="G1383" s="58"/>
      <c r="H1383" s="58"/>
      <c r="I1383" s="58"/>
      <c r="J1383" s="58"/>
      <c r="K1383" s="58"/>
      <c r="L1383" s="59"/>
    </row>
    <row r="1384" spans="2:12" x14ac:dyDescent="0.2">
      <c r="B1384" s="73"/>
      <c r="C1384" s="56"/>
      <c r="D1384" s="57"/>
      <c r="E1384" s="57" t="e">
        <f>VLOOKUP(D1384,tblProjekt[],2,FALSE)</f>
        <v>#N/A</v>
      </c>
      <c r="F1384" s="58"/>
      <c r="G1384" s="58"/>
      <c r="H1384" s="58"/>
      <c r="I1384" s="58"/>
      <c r="J1384" s="58"/>
      <c r="K1384" s="58"/>
      <c r="L1384" s="59"/>
    </row>
    <row r="1385" spans="2:12" x14ac:dyDescent="0.2">
      <c r="B1385" s="73"/>
      <c r="C1385" s="56"/>
      <c r="D1385" s="57"/>
      <c r="E1385" s="57" t="e">
        <f>VLOOKUP(D1385,tblProjekt[],2,FALSE)</f>
        <v>#N/A</v>
      </c>
      <c r="F1385" s="58"/>
      <c r="G1385" s="58"/>
      <c r="H1385" s="58"/>
      <c r="I1385" s="58"/>
      <c r="J1385" s="58"/>
      <c r="K1385" s="58"/>
      <c r="L1385" s="59"/>
    </row>
    <row r="1386" spans="2:12" x14ac:dyDescent="0.2">
      <c r="B1386" s="73"/>
      <c r="C1386" s="56"/>
      <c r="D1386" s="57"/>
      <c r="E1386" s="57" t="e">
        <f>VLOOKUP(D1386,tblProjekt[],2,FALSE)</f>
        <v>#N/A</v>
      </c>
      <c r="F1386" s="58"/>
      <c r="G1386" s="58"/>
      <c r="H1386" s="58"/>
      <c r="I1386" s="58"/>
      <c r="J1386" s="58"/>
      <c r="K1386" s="58"/>
      <c r="L1386" s="59"/>
    </row>
    <row r="1387" spans="2:12" x14ac:dyDescent="0.2">
      <c r="B1387" s="73"/>
      <c r="C1387" s="56"/>
      <c r="D1387" s="57"/>
      <c r="E1387" s="57" t="e">
        <f>VLOOKUP(D1387,tblProjekt[],2,FALSE)</f>
        <v>#N/A</v>
      </c>
      <c r="F1387" s="58"/>
      <c r="G1387" s="58"/>
      <c r="H1387" s="58"/>
      <c r="I1387" s="58"/>
      <c r="J1387" s="58"/>
      <c r="K1387" s="58"/>
      <c r="L1387" s="59"/>
    </row>
    <row r="1388" spans="2:12" x14ac:dyDescent="0.2">
      <c r="B1388" s="73"/>
      <c r="C1388" s="56"/>
      <c r="D1388" s="57"/>
      <c r="E1388" s="57" t="e">
        <f>VLOOKUP(D1388,tblProjekt[],2,FALSE)</f>
        <v>#N/A</v>
      </c>
      <c r="F1388" s="58"/>
      <c r="G1388" s="58"/>
      <c r="H1388" s="58"/>
      <c r="I1388" s="58"/>
      <c r="J1388" s="58"/>
      <c r="K1388" s="58"/>
      <c r="L1388" s="59"/>
    </row>
    <row r="1389" spans="2:12" x14ac:dyDescent="0.2">
      <c r="B1389" s="73"/>
      <c r="C1389" s="56"/>
      <c r="D1389" s="57"/>
      <c r="E1389" s="57" t="e">
        <f>VLOOKUP(D1389,tblProjekt[],2,FALSE)</f>
        <v>#N/A</v>
      </c>
      <c r="F1389" s="58"/>
      <c r="G1389" s="58"/>
      <c r="H1389" s="58"/>
      <c r="I1389" s="58"/>
      <c r="J1389" s="58"/>
      <c r="K1389" s="58"/>
      <c r="L1389" s="59"/>
    </row>
    <row r="1390" spans="2:12" x14ac:dyDescent="0.2">
      <c r="B1390" s="73"/>
      <c r="C1390" s="56"/>
      <c r="D1390" s="57"/>
      <c r="E1390" s="57" t="e">
        <f>VLOOKUP(D1390,tblProjekt[],2,FALSE)</f>
        <v>#N/A</v>
      </c>
      <c r="F1390" s="58"/>
      <c r="G1390" s="58"/>
      <c r="H1390" s="58"/>
      <c r="I1390" s="58"/>
      <c r="J1390" s="58"/>
      <c r="K1390" s="58"/>
      <c r="L1390" s="59"/>
    </row>
    <row r="1391" spans="2:12" x14ac:dyDescent="0.2">
      <c r="B1391" s="73"/>
      <c r="C1391" s="56"/>
      <c r="D1391" s="57"/>
      <c r="E1391" s="57" t="e">
        <f>VLOOKUP(D1391,tblProjekt[],2,FALSE)</f>
        <v>#N/A</v>
      </c>
      <c r="F1391" s="58"/>
      <c r="G1391" s="58"/>
      <c r="H1391" s="58"/>
      <c r="I1391" s="58"/>
      <c r="J1391" s="58"/>
      <c r="K1391" s="58"/>
      <c r="L1391" s="59"/>
    </row>
    <row r="1392" spans="2:12" x14ac:dyDescent="0.2">
      <c r="B1392" s="73"/>
      <c r="C1392" s="56"/>
      <c r="D1392" s="57"/>
      <c r="E1392" s="57" t="e">
        <f>VLOOKUP(D1392,tblProjekt[],2,FALSE)</f>
        <v>#N/A</v>
      </c>
      <c r="F1392" s="58"/>
      <c r="G1392" s="58"/>
      <c r="H1392" s="58"/>
      <c r="I1392" s="58"/>
      <c r="J1392" s="58"/>
      <c r="K1392" s="58"/>
      <c r="L1392" s="59"/>
    </row>
    <row r="1393" spans="2:12" x14ac:dyDescent="0.2">
      <c r="B1393" s="73"/>
      <c r="C1393" s="56"/>
      <c r="D1393" s="57"/>
      <c r="E1393" s="57" t="e">
        <f>VLOOKUP(D1393,tblProjekt[],2,FALSE)</f>
        <v>#N/A</v>
      </c>
      <c r="F1393" s="58"/>
      <c r="G1393" s="58"/>
      <c r="H1393" s="58"/>
      <c r="I1393" s="58"/>
      <c r="J1393" s="58"/>
      <c r="K1393" s="58"/>
      <c r="L1393" s="59"/>
    </row>
    <row r="1394" spans="2:12" x14ac:dyDescent="0.2">
      <c r="B1394" s="73"/>
      <c r="C1394" s="56"/>
      <c r="D1394" s="57"/>
      <c r="E1394" s="57" t="e">
        <f>VLOOKUP(D1394,tblProjekt[],2,FALSE)</f>
        <v>#N/A</v>
      </c>
      <c r="F1394" s="58"/>
      <c r="G1394" s="58"/>
      <c r="H1394" s="58"/>
      <c r="I1394" s="58"/>
      <c r="J1394" s="58"/>
      <c r="K1394" s="58"/>
      <c r="L1394" s="59"/>
    </row>
    <row r="1395" spans="2:12" x14ac:dyDescent="0.2">
      <c r="B1395" s="73"/>
      <c r="C1395" s="56"/>
      <c r="D1395" s="57"/>
      <c r="E1395" s="57" t="e">
        <f>VLOOKUP(D1395,tblProjekt[],2,FALSE)</f>
        <v>#N/A</v>
      </c>
      <c r="F1395" s="58"/>
      <c r="G1395" s="58"/>
      <c r="H1395" s="58"/>
      <c r="I1395" s="58"/>
      <c r="J1395" s="58"/>
      <c r="K1395" s="58"/>
      <c r="L1395" s="59"/>
    </row>
    <row r="1396" spans="2:12" x14ac:dyDescent="0.2">
      <c r="B1396" s="73"/>
      <c r="C1396" s="56"/>
      <c r="D1396" s="57"/>
      <c r="E1396" s="57" t="e">
        <f>VLOOKUP(D1396,tblProjekt[],2,FALSE)</f>
        <v>#N/A</v>
      </c>
      <c r="F1396" s="58"/>
      <c r="G1396" s="58"/>
      <c r="H1396" s="58"/>
      <c r="I1396" s="58"/>
      <c r="J1396" s="58"/>
      <c r="K1396" s="58"/>
      <c r="L1396" s="59"/>
    </row>
    <row r="1397" spans="2:12" x14ac:dyDescent="0.2">
      <c r="B1397" s="73"/>
      <c r="C1397" s="56"/>
      <c r="D1397" s="57"/>
      <c r="E1397" s="57" t="e">
        <f>VLOOKUP(D1397,tblProjekt[],2,FALSE)</f>
        <v>#N/A</v>
      </c>
      <c r="F1397" s="58"/>
      <c r="G1397" s="58"/>
      <c r="H1397" s="58"/>
      <c r="I1397" s="58"/>
      <c r="J1397" s="58"/>
      <c r="K1397" s="58"/>
      <c r="L1397" s="59"/>
    </row>
    <row r="1398" spans="2:12" x14ac:dyDescent="0.2">
      <c r="B1398" s="73"/>
      <c r="C1398" s="56"/>
      <c r="D1398" s="57"/>
      <c r="E1398" s="57" t="e">
        <f>VLOOKUP(D1398,tblProjekt[],2,FALSE)</f>
        <v>#N/A</v>
      </c>
      <c r="F1398" s="58"/>
      <c r="G1398" s="58"/>
      <c r="H1398" s="58"/>
      <c r="I1398" s="58"/>
      <c r="J1398" s="58"/>
      <c r="K1398" s="58"/>
      <c r="L1398" s="59"/>
    </row>
    <row r="1399" spans="2:12" x14ac:dyDescent="0.2">
      <c r="B1399" s="73"/>
      <c r="C1399" s="56"/>
      <c r="D1399" s="57"/>
      <c r="E1399" s="57" t="e">
        <f>VLOOKUP(D1399,tblProjekt[],2,FALSE)</f>
        <v>#N/A</v>
      </c>
      <c r="F1399" s="58"/>
      <c r="G1399" s="58"/>
      <c r="H1399" s="58"/>
      <c r="I1399" s="58"/>
      <c r="J1399" s="58"/>
      <c r="K1399" s="58"/>
      <c r="L1399" s="59"/>
    </row>
    <row r="1400" spans="2:12" x14ac:dyDescent="0.2">
      <c r="B1400" s="73"/>
      <c r="C1400" s="56"/>
      <c r="D1400" s="57"/>
      <c r="E1400" s="57" t="e">
        <f>VLOOKUP(D1400,tblProjekt[],2,FALSE)</f>
        <v>#N/A</v>
      </c>
      <c r="F1400" s="58"/>
      <c r="G1400" s="58"/>
      <c r="H1400" s="58"/>
      <c r="I1400" s="58"/>
      <c r="J1400" s="58"/>
      <c r="K1400" s="58"/>
      <c r="L1400" s="59"/>
    </row>
    <row r="1401" spans="2:12" x14ac:dyDescent="0.2">
      <c r="B1401" s="73"/>
      <c r="C1401" s="56"/>
      <c r="D1401" s="57"/>
      <c r="E1401" s="57" t="e">
        <f>VLOOKUP(D1401,tblProjekt[],2,FALSE)</f>
        <v>#N/A</v>
      </c>
      <c r="F1401" s="58"/>
      <c r="G1401" s="58"/>
      <c r="H1401" s="58"/>
      <c r="I1401" s="58"/>
      <c r="J1401" s="58"/>
      <c r="K1401" s="58"/>
      <c r="L1401" s="59"/>
    </row>
    <row r="1402" spans="2:12" x14ac:dyDescent="0.2">
      <c r="B1402" s="73"/>
      <c r="C1402" s="56"/>
      <c r="D1402" s="57"/>
      <c r="E1402" s="57" t="e">
        <f>VLOOKUP(D1402,tblProjekt[],2,FALSE)</f>
        <v>#N/A</v>
      </c>
      <c r="F1402" s="58"/>
      <c r="G1402" s="58"/>
      <c r="H1402" s="58"/>
      <c r="I1402" s="58"/>
      <c r="J1402" s="58"/>
      <c r="K1402" s="58"/>
      <c r="L1402" s="59"/>
    </row>
    <row r="1403" spans="2:12" x14ac:dyDescent="0.2">
      <c r="B1403" s="73"/>
      <c r="C1403" s="56"/>
      <c r="D1403" s="57"/>
      <c r="E1403" s="57" t="e">
        <f>VLOOKUP(D1403,tblProjekt[],2,FALSE)</f>
        <v>#N/A</v>
      </c>
      <c r="F1403" s="58"/>
      <c r="G1403" s="58"/>
      <c r="H1403" s="58"/>
      <c r="I1403" s="58"/>
      <c r="J1403" s="58"/>
      <c r="K1403" s="58"/>
      <c r="L1403" s="59"/>
    </row>
    <row r="1404" spans="2:12" x14ac:dyDescent="0.2">
      <c r="B1404" s="73"/>
      <c r="C1404" s="56"/>
      <c r="D1404" s="57"/>
      <c r="E1404" s="57" t="e">
        <f>VLOOKUP(D1404,tblProjekt[],2,FALSE)</f>
        <v>#N/A</v>
      </c>
      <c r="F1404" s="58"/>
      <c r="G1404" s="58"/>
      <c r="H1404" s="58"/>
      <c r="I1404" s="58"/>
      <c r="J1404" s="58"/>
      <c r="K1404" s="58"/>
      <c r="L1404" s="59"/>
    </row>
    <row r="1405" spans="2:12" x14ac:dyDescent="0.2">
      <c r="B1405" s="73"/>
      <c r="C1405" s="56"/>
      <c r="D1405" s="57"/>
      <c r="E1405" s="57" t="e">
        <f>VLOOKUP(D1405,tblProjekt[],2,FALSE)</f>
        <v>#N/A</v>
      </c>
      <c r="F1405" s="58"/>
      <c r="G1405" s="58"/>
      <c r="H1405" s="58"/>
      <c r="I1405" s="58"/>
      <c r="J1405" s="58"/>
      <c r="K1405" s="58"/>
      <c r="L1405" s="59"/>
    </row>
    <row r="1406" spans="2:12" x14ac:dyDescent="0.2">
      <c r="B1406" s="73"/>
      <c r="C1406" s="56"/>
      <c r="D1406" s="57"/>
      <c r="E1406" s="57" t="e">
        <f>VLOOKUP(D1406,tblProjekt[],2,FALSE)</f>
        <v>#N/A</v>
      </c>
      <c r="F1406" s="58"/>
      <c r="G1406" s="58"/>
      <c r="H1406" s="58"/>
      <c r="I1406" s="58"/>
      <c r="J1406" s="58"/>
      <c r="K1406" s="58"/>
      <c r="L1406" s="59"/>
    </row>
    <row r="1407" spans="2:12" x14ac:dyDescent="0.2">
      <c r="B1407" s="73"/>
      <c r="C1407" s="56"/>
      <c r="D1407" s="57"/>
      <c r="E1407" s="57" t="e">
        <f>VLOOKUP(D1407,tblProjekt[],2,FALSE)</f>
        <v>#N/A</v>
      </c>
      <c r="F1407" s="58"/>
      <c r="G1407" s="58"/>
      <c r="H1407" s="58"/>
      <c r="I1407" s="58"/>
      <c r="J1407" s="58"/>
      <c r="K1407" s="58"/>
      <c r="L1407" s="59"/>
    </row>
    <row r="1408" spans="2:12" x14ac:dyDescent="0.2">
      <c r="B1408" s="73"/>
      <c r="C1408" s="56"/>
      <c r="D1408" s="57"/>
      <c r="E1408" s="57" t="e">
        <f>VLOOKUP(D1408,tblProjekt[],2,FALSE)</f>
        <v>#N/A</v>
      </c>
      <c r="F1408" s="58"/>
      <c r="G1408" s="58"/>
      <c r="H1408" s="58"/>
      <c r="I1408" s="58"/>
      <c r="J1408" s="58"/>
      <c r="K1408" s="58"/>
      <c r="L1408" s="59"/>
    </row>
    <row r="1409" spans="2:12" x14ac:dyDescent="0.2">
      <c r="B1409" s="73"/>
      <c r="C1409" s="56"/>
      <c r="D1409" s="57"/>
      <c r="E1409" s="57" t="e">
        <f>VLOOKUP(D1409,tblProjekt[],2,FALSE)</f>
        <v>#N/A</v>
      </c>
      <c r="F1409" s="58"/>
      <c r="G1409" s="58"/>
      <c r="H1409" s="58"/>
      <c r="I1409" s="58"/>
      <c r="J1409" s="58"/>
      <c r="K1409" s="58"/>
      <c r="L1409" s="59"/>
    </row>
    <row r="1410" spans="2:12" x14ac:dyDescent="0.2">
      <c r="B1410" s="73"/>
      <c r="C1410" s="56"/>
      <c r="D1410" s="57"/>
      <c r="E1410" s="57" t="e">
        <f>VLOOKUP(D1410,tblProjekt[],2,FALSE)</f>
        <v>#N/A</v>
      </c>
      <c r="F1410" s="58"/>
      <c r="G1410" s="58"/>
      <c r="H1410" s="58"/>
      <c r="I1410" s="58"/>
      <c r="J1410" s="58"/>
      <c r="K1410" s="58"/>
      <c r="L1410" s="59"/>
    </row>
    <row r="1411" spans="2:12" x14ac:dyDescent="0.2">
      <c r="B1411" s="73"/>
      <c r="C1411" s="56"/>
      <c r="D1411" s="57"/>
      <c r="E1411" s="57" t="e">
        <f>VLOOKUP(D1411,tblProjekt[],2,FALSE)</f>
        <v>#N/A</v>
      </c>
      <c r="F1411" s="58"/>
      <c r="G1411" s="58"/>
      <c r="H1411" s="58"/>
      <c r="I1411" s="58"/>
      <c r="J1411" s="58"/>
      <c r="K1411" s="58"/>
      <c r="L1411" s="59"/>
    </row>
    <row r="1412" spans="2:12" x14ac:dyDescent="0.2">
      <c r="B1412" s="73"/>
      <c r="C1412" s="56"/>
      <c r="D1412" s="57"/>
      <c r="E1412" s="57" t="e">
        <f>VLOOKUP(D1412,tblProjekt[],2,FALSE)</f>
        <v>#N/A</v>
      </c>
      <c r="F1412" s="58"/>
      <c r="G1412" s="58"/>
      <c r="H1412" s="58"/>
      <c r="I1412" s="58"/>
      <c r="J1412" s="58"/>
      <c r="K1412" s="58"/>
      <c r="L1412" s="59"/>
    </row>
    <row r="1413" spans="2:12" x14ac:dyDescent="0.2">
      <c r="B1413" s="73"/>
      <c r="C1413" s="56"/>
      <c r="D1413" s="57"/>
      <c r="E1413" s="57" t="e">
        <f>VLOOKUP(D1413,tblProjekt[],2,FALSE)</f>
        <v>#N/A</v>
      </c>
      <c r="F1413" s="58"/>
      <c r="G1413" s="58"/>
      <c r="H1413" s="58"/>
      <c r="I1413" s="58"/>
      <c r="J1413" s="58"/>
      <c r="K1413" s="58"/>
      <c r="L1413" s="59"/>
    </row>
    <row r="1414" spans="2:12" x14ac:dyDescent="0.2">
      <c r="B1414" s="73"/>
      <c r="C1414" s="56"/>
      <c r="D1414" s="57"/>
      <c r="E1414" s="57" t="e">
        <f>VLOOKUP(D1414,tblProjekt[],2,FALSE)</f>
        <v>#N/A</v>
      </c>
      <c r="F1414" s="58"/>
      <c r="G1414" s="58"/>
      <c r="H1414" s="58"/>
      <c r="I1414" s="58"/>
      <c r="J1414" s="58"/>
      <c r="K1414" s="58"/>
      <c r="L1414" s="59"/>
    </row>
    <row r="1415" spans="2:12" x14ac:dyDescent="0.2">
      <c r="B1415" s="73"/>
      <c r="C1415" s="56"/>
      <c r="D1415" s="57"/>
      <c r="E1415" s="57" t="e">
        <f>VLOOKUP(D1415,tblProjekt[],2,FALSE)</f>
        <v>#N/A</v>
      </c>
      <c r="F1415" s="58"/>
      <c r="G1415" s="58"/>
      <c r="H1415" s="58"/>
      <c r="I1415" s="58"/>
      <c r="J1415" s="58"/>
      <c r="K1415" s="58"/>
      <c r="L1415" s="59"/>
    </row>
    <row r="1416" spans="2:12" x14ac:dyDescent="0.2">
      <c r="B1416" s="73"/>
      <c r="C1416" s="56"/>
      <c r="D1416" s="57"/>
      <c r="E1416" s="57" t="e">
        <f>VLOOKUP(D1416,tblProjekt[],2,FALSE)</f>
        <v>#N/A</v>
      </c>
      <c r="F1416" s="58"/>
      <c r="G1416" s="58"/>
      <c r="H1416" s="58"/>
      <c r="I1416" s="58"/>
      <c r="J1416" s="58"/>
      <c r="K1416" s="58"/>
      <c r="L1416" s="59"/>
    </row>
    <row r="1417" spans="2:12" x14ac:dyDescent="0.2">
      <c r="B1417" s="73"/>
      <c r="C1417" s="56"/>
      <c r="D1417" s="57"/>
      <c r="E1417" s="57" t="e">
        <f>VLOOKUP(D1417,tblProjekt[],2,FALSE)</f>
        <v>#N/A</v>
      </c>
      <c r="F1417" s="58"/>
      <c r="G1417" s="58"/>
      <c r="H1417" s="58"/>
      <c r="I1417" s="58"/>
      <c r="J1417" s="58"/>
      <c r="K1417" s="58"/>
      <c r="L1417" s="59"/>
    </row>
    <row r="1418" spans="2:12" x14ac:dyDescent="0.2">
      <c r="B1418" s="73"/>
      <c r="C1418" s="56"/>
      <c r="D1418" s="57"/>
      <c r="E1418" s="57" t="e">
        <f>VLOOKUP(D1418,tblProjekt[],2,FALSE)</f>
        <v>#N/A</v>
      </c>
      <c r="F1418" s="58"/>
      <c r="G1418" s="58"/>
      <c r="H1418" s="58"/>
      <c r="I1418" s="58"/>
      <c r="J1418" s="58"/>
      <c r="K1418" s="58"/>
      <c r="L1418" s="59"/>
    </row>
    <row r="1419" spans="2:12" x14ac:dyDescent="0.2">
      <c r="B1419" s="73"/>
      <c r="C1419" s="56"/>
      <c r="D1419" s="57"/>
      <c r="E1419" s="57" t="e">
        <f>VLOOKUP(D1419,tblProjekt[],2,FALSE)</f>
        <v>#N/A</v>
      </c>
      <c r="F1419" s="58"/>
      <c r="G1419" s="58"/>
      <c r="H1419" s="58"/>
      <c r="I1419" s="58"/>
      <c r="J1419" s="58"/>
      <c r="K1419" s="58"/>
      <c r="L1419" s="59"/>
    </row>
    <row r="1420" spans="2:12" x14ac:dyDescent="0.2">
      <c r="B1420" s="73"/>
      <c r="C1420" s="56"/>
      <c r="D1420" s="57"/>
      <c r="E1420" s="57" t="e">
        <f>VLOOKUP(D1420,tblProjekt[],2,FALSE)</f>
        <v>#N/A</v>
      </c>
      <c r="F1420" s="58"/>
      <c r="G1420" s="58"/>
      <c r="H1420" s="58"/>
      <c r="I1420" s="58"/>
      <c r="J1420" s="58"/>
      <c r="K1420" s="58"/>
      <c r="L1420" s="59"/>
    </row>
    <row r="1421" spans="2:12" x14ac:dyDescent="0.2">
      <c r="B1421" s="73"/>
      <c r="C1421" s="56"/>
      <c r="D1421" s="57"/>
      <c r="E1421" s="57" t="e">
        <f>VLOOKUP(D1421,tblProjekt[],2,FALSE)</f>
        <v>#N/A</v>
      </c>
      <c r="F1421" s="58"/>
      <c r="G1421" s="58"/>
      <c r="H1421" s="58"/>
      <c r="I1421" s="58"/>
      <c r="J1421" s="58"/>
      <c r="K1421" s="58"/>
      <c r="L1421" s="59"/>
    </row>
    <row r="1422" spans="2:12" x14ac:dyDescent="0.2">
      <c r="B1422" s="73"/>
      <c r="C1422" s="56"/>
      <c r="D1422" s="57"/>
      <c r="E1422" s="57" t="e">
        <f>VLOOKUP(D1422,tblProjekt[],2,FALSE)</f>
        <v>#N/A</v>
      </c>
      <c r="F1422" s="58"/>
      <c r="G1422" s="58"/>
      <c r="H1422" s="58"/>
      <c r="I1422" s="58"/>
      <c r="J1422" s="58"/>
      <c r="K1422" s="58"/>
      <c r="L1422" s="59"/>
    </row>
    <row r="1423" spans="2:12" x14ac:dyDescent="0.2">
      <c r="B1423" s="73"/>
      <c r="C1423" s="56"/>
      <c r="D1423" s="57"/>
      <c r="E1423" s="57" t="e">
        <f>VLOOKUP(D1423,tblProjekt[],2,FALSE)</f>
        <v>#N/A</v>
      </c>
      <c r="F1423" s="58"/>
      <c r="G1423" s="58"/>
      <c r="H1423" s="58"/>
      <c r="I1423" s="58"/>
      <c r="J1423" s="58"/>
      <c r="K1423" s="58"/>
      <c r="L1423" s="59"/>
    </row>
    <row r="1424" spans="2:12" x14ac:dyDescent="0.2">
      <c r="B1424" s="73"/>
      <c r="C1424" s="56"/>
      <c r="D1424" s="57"/>
      <c r="E1424" s="57" t="e">
        <f>VLOOKUP(D1424,tblProjekt[],2,FALSE)</f>
        <v>#N/A</v>
      </c>
      <c r="F1424" s="58"/>
      <c r="G1424" s="58"/>
      <c r="H1424" s="58"/>
      <c r="I1424" s="58"/>
      <c r="J1424" s="58"/>
      <c r="K1424" s="58"/>
      <c r="L1424" s="59"/>
    </row>
    <row r="1425" spans="2:12" x14ac:dyDescent="0.2">
      <c r="B1425" s="73"/>
      <c r="C1425" s="56"/>
      <c r="D1425" s="57"/>
      <c r="E1425" s="57" t="e">
        <f>VLOOKUP(D1425,tblProjekt[],2,FALSE)</f>
        <v>#N/A</v>
      </c>
      <c r="F1425" s="58"/>
      <c r="G1425" s="58"/>
      <c r="H1425" s="58"/>
      <c r="I1425" s="58"/>
      <c r="J1425" s="58"/>
      <c r="K1425" s="58"/>
      <c r="L1425" s="59"/>
    </row>
    <row r="1426" spans="2:12" x14ac:dyDescent="0.2">
      <c r="B1426" s="73"/>
      <c r="C1426" s="56"/>
      <c r="D1426" s="57"/>
      <c r="E1426" s="57" t="e">
        <f>VLOOKUP(D1426,tblProjekt[],2,FALSE)</f>
        <v>#N/A</v>
      </c>
      <c r="F1426" s="58"/>
      <c r="G1426" s="58"/>
      <c r="H1426" s="58"/>
      <c r="I1426" s="58"/>
      <c r="J1426" s="58"/>
      <c r="K1426" s="58"/>
      <c r="L1426" s="59"/>
    </row>
    <row r="1427" spans="2:12" x14ac:dyDescent="0.2">
      <c r="B1427" s="73"/>
      <c r="C1427" s="56"/>
      <c r="D1427" s="57"/>
      <c r="E1427" s="57" t="e">
        <f>VLOOKUP(D1427,tblProjekt[],2,FALSE)</f>
        <v>#N/A</v>
      </c>
      <c r="F1427" s="58"/>
      <c r="G1427" s="58"/>
      <c r="H1427" s="58"/>
      <c r="I1427" s="58"/>
      <c r="J1427" s="58"/>
      <c r="K1427" s="58"/>
      <c r="L1427" s="59"/>
    </row>
    <row r="1428" spans="2:12" x14ac:dyDescent="0.2">
      <c r="B1428" s="73"/>
      <c r="C1428" s="56"/>
      <c r="D1428" s="57"/>
      <c r="E1428" s="57" t="e">
        <f>VLOOKUP(D1428,tblProjekt[],2,FALSE)</f>
        <v>#N/A</v>
      </c>
      <c r="F1428" s="58"/>
      <c r="G1428" s="58"/>
      <c r="H1428" s="58"/>
      <c r="I1428" s="58"/>
      <c r="J1428" s="58"/>
      <c r="K1428" s="58"/>
      <c r="L1428" s="59"/>
    </row>
    <row r="1429" spans="2:12" x14ac:dyDescent="0.2">
      <c r="B1429" s="73"/>
      <c r="C1429" s="56"/>
      <c r="D1429" s="57"/>
      <c r="E1429" s="57" t="e">
        <f>VLOOKUP(D1429,tblProjekt[],2,FALSE)</f>
        <v>#N/A</v>
      </c>
      <c r="F1429" s="58"/>
      <c r="G1429" s="58"/>
      <c r="H1429" s="58"/>
      <c r="I1429" s="58"/>
      <c r="J1429" s="58"/>
      <c r="K1429" s="58"/>
      <c r="L1429" s="59"/>
    </row>
    <row r="1430" spans="2:12" x14ac:dyDescent="0.2">
      <c r="B1430" s="73"/>
      <c r="C1430" s="56"/>
      <c r="D1430" s="57"/>
      <c r="E1430" s="57" t="e">
        <f>VLOOKUP(D1430,tblProjekt[],2,FALSE)</f>
        <v>#N/A</v>
      </c>
      <c r="F1430" s="58"/>
      <c r="G1430" s="58"/>
      <c r="H1430" s="58"/>
      <c r="I1430" s="58"/>
      <c r="J1430" s="58"/>
      <c r="K1430" s="58"/>
      <c r="L1430" s="59"/>
    </row>
    <row r="1431" spans="2:12" x14ac:dyDescent="0.2">
      <c r="B1431" s="73"/>
      <c r="C1431" s="56"/>
      <c r="D1431" s="57"/>
      <c r="E1431" s="57" t="e">
        <f>VLOOKUP(D1431,tblProjekt[],2,FALSE)</f>
        <v>#N/A</v>
      </c>
      <c r="F1431" s="58"/>
      <c r="G1431" s="58"/>
      <c r="H1431" s="58"/>
      <c r="I1431" s="58"/>
      <c r="J1431" s="58"/>
      <c r="K1431" s="58"/>
      <c r="L1431" s="59"/>
    </row>
    <row r="1432" spans="2:12" x14ac:dyDescent="0.2">
      <c r="B1432" s="73"/>
      <c r="C1432" s="56"/>
      <c r="D1432" s="57"/>
      <c r="E1432" s="57" t="e">
        <f>VLOOKUP(D1432,tblProjekt[],2,FALSE)</f>
        <v>#N/A</v>
      </c>
      <c r="F1432" s="58"/>
      <c r="G1432" s="58"/>
      <c r="H1432" s="58"/>
      <c r="I1432" s="58"/>
      <c r="J1432" s="58"/>
      <c r="K1432" s="58"/>
      <c r="L1432" s="59"/>
    </row>
    <row r="1433" spans="2:12" x14ac:dyDescent="0.2">
      <c r="B1433" s="73"/>
      <c r="C1433" s="56"/>
      <c r="D1433" s="57"/>
      <c r="E1433" s="57" t="e">
        <f>VLOOKUP(D1433,tblProjekt[],2,FALSE)</f>
        <v>#N/A</v>
      </c>
      <c r="F1433" s="58"/>
      <c r="G1433" s="58"/>
      <c r="H1433" s="58"/>
      <c r="I1433" s="58"/>
      <c r="J1433" s="58"/>
      <c r="K1433" s="58"/>
      <c r="L1433" s="59"/>
    </row>
    <row r="1434" spans="2:12" x14ac:dyDescent="0.2">
      <c r="B1434" s="73"/>
      <c r="C1434" s="56"/>
      <c r="D1434" s="57"/>
      <c r="E1434" s="57" t="e">
        <f>VLOOKUP(D1434,tblProjekt[],2,FALSE)</f>
        <v>#N/A</v>
      </c>
      <c r="F1434" s="58"/>
      <c r="G1434" s="58"/>
      <c r="H1434" s="58"/>
      <c r="I1434" s="58"/>
      <c r="J1434" s="58"/>
      <c r="K1434" s="58"/>
      <c r="L1434" s="59"/>
    </row>
    <row r="1435" spans="2:12" x14ac:dyDescent="0.2">
      <c r="B1435" s="73"/>
      <c r="C1435" s="56"/>
      <c r="D1435" s="57"/>
      <c r="E1435" s="57" t="e">
        <f>VLOOKUP(D1435,tblProjekt[],2,FALSE)</f>
        <v>#N/A</v>
      </c>
      <c r="F1435" s="58"/>
      <c r="G1435" s="58"/>
      <c r="H1435" s="58"/>
      <c r="I1435" s="58"/>
      <c r="J1435" s="58"/>
      <c r="K1435" s="58"/>
      <c r="L1435" s="59"/>
    </row>
    <row r="1436" spans="2:12" x14ac:dyDescent="0.2">
      <c r="B1436" s="73"/>
      <c r="C1436" s="56"/>
      <c r="D1436" s="57"/>
      <c r="E1436" s="57" t="e">
        <f>VLOOKUP(D1436,tblProjekt[],2,FALSE)</f>
        <v>#N/A</v>
      </c>
      <c r="F1436" s="58"/>
      <c r="G1436" s="58"/>
      <c r="H1436" s="58"/>
      <c r="I1436" s="58"/>
      <c r="J1436" s="58"/>
      <c r="K1436" s="58"/>
      <c r="L1436" s="59"/>
    </row>
    <row r="1437" spans="2:12" x14ac:dyDescent="0.2">
      <c r="B1437" s="73"/>
      <c r="C1437" s="56"/>
      <c r="D1437" s="57"/>
      <c r="E1437" s="57" t="e">
        <f>VLOOKUP(D1437,tblProjekt[],2,FALSE)</f>
        <v>#N/A</v>
      </c>
      <c r="F1437" s="58"/>
      <c r="G1437" s="58"/>
      <c r="H1437" s="58"/>
      <c r="I1437" s="58"/>
      <c r="J1437" s="58"/>
      <c r="K1437" s="58"/>
      <c r="L1437" s="59"/>
    </row>
    <row r="1438" spans="2:12" x14ac:dyDescent="0.2">
      <c r="B1438" s="73"/>
      <c r="C1438" s="56"/>
      <c r="D1438" s="57"/>
      <c r="E1438" s="57" t="e">
        <f>VLOOKUP(D1438,tblProjekt[],2,FALSE)</f>
        <v>#N/A</v>
      </c>
      <c r="F1438" s="58"/>
      <c r="G1438" s="58"/>
      <c r="H1438" s="58"/>
      <c r="I1438" s="58"/>
      <c r="J1438" s="58"/>
      <c r="K1438" s="58"/>
      <c r="L1438" s="59"/>
    </row>
    <row r="1439" spans="2:12" x14ac:dyDescent="0.2">
      <c r="B1439" s="73"/>
      <c r="C1439" s="56"/>
      <c r="D1439" s="57"/>
      <c r="E1439" s="57" t="e">
        <f>VLOOKUP(D1439,tblProjekt[],2,FALSE)</f>
        <v>#N/A</v>
      </c>
      <c r="F1439" s="58"/>
      <c r="G1439" s="58"/>
      <c r="H1439" s="58"/>
      <c r="I1439" s="58"/>
      <c r="J1439" s="58"/>
      <c r="K1439" s="58"/>
      <c r="L1439" s="59"/>
    </row>
    <row r="1440" spans="2:12" x14ac:dyDescent="0.2">
      <c r="B1440" s="73"/>
      <c r="C1440" s="56"/>
      <c r="D1440" s="57"/>
      <c r="E1440" s="57" t="e">
        <f>VLOOKUP(D1440,tblProjekt[],2,FALSE)</f>
        <v>#N/A</v>
      </c>
      <c r="F1440" s="58"/>
      <c r="G1440" s="58"/>
      <c r="H1440" s="58"/>
      <c r="I1440" s="58"/>
      <c r="J1440" s="58"/>
      <c r="K1440" s="58"/>
      <c r="L1440" s="59"/>
    </row>
    <row r="1441" spans="2:12" x14ac:dyDescent="0.2">
      <c r="B1441" s="73"/>
      <c r="C1441" s="56"/>
      <c r="D1441" s="57"/>
      <c r="E1441" s="57" t="e">
        <f>VLOOKUP(D1441,tblProjekt[],2,FALSE)</f>
        <v>#N/A</v>
      </c>
      <c r="F1441" s="58"/>
      <c r="G1441" s="58"/>
      <c r="H1441" s="58"/>
      <c r="I1441" s="58"/>
      <c r="J1441" s="58"/>
      <c r="K1441" s="58"/>
      <c r="L1441" s="59"/>
    </row>
    <row r="1442" spans="2:12" x14ac:dyDescent="0.2">
      <c r="B1442" s="73"/>
      <c r="C1442" s="56"/>
      <c r="D1442" s="57"/>
      <c r="E1442" s="57" t="e">
        <f>VLOOKUP(D1442,tblProjekt[],2,FALSE)</f>
        <v>#N/A</v>
      </c>
      <c r="F1442" s="58"/>
      <c r="G1442" s="58"/>
      <c r="H1442" s="58"/>
      <c r="I1442" s="58"/>
      <c r="J1442" s="58"/>
      <c r="K1442" s="58"/>
      <c r="L1442" s="59"/>
    </row>
    <row r="1443" spans="2:12" x14ac:dyDescent="0.2">
      <c r="B1443" s="73"/>
      <c r="C1443" s="56"/>
      <c r="D1443" s="57"/>
      <c r="E1443" s="57" t="e">
        <f>VLOOKUP(D1443,tblProjekt[],2,FALSE)</f>
        <v>#N/A</v>
      </c>
      <c r="F1443" s="58"/>
      <c r="G1443" s="58"/>
      <c r="H1443" s="58"/>
      <c r="I1443" s="58"/>
      <c r="J1443" s="58"/>
      <c r="K1443" s="58"/>
      <c r="L1443" s="59"/>
    </row>
    <row r="1444" spans="2:12" x14ac:dyDescent="0.2">
      <c r="B1444" s="73"/>
      <c r="C1444" s="56"/>
      <c r="D1444" s="57"/>
      <c r="E1444" s="57" t="e">
        <f>VLOOKUP(D1444,tblProjekt[],2,FALSE)</f>
        <v>#N/A</v>
      </c>
      <c r="F1444" s="58"/>
      <c r="G1444" s="58"/>
      <c r="H1444" s="58"/>
      <c r="I1444" s="58"/>
      <c r="J1444" s="58"/>
      <c r="K1444" s="58"/>
      <c r="L1444" s="59"/>
    </row>
    <row r="1445" spans="2:12" x14ac:dyDescent="0.2">
      <c r="B1445" s="73"/>
      <c r="C1445" s="56"/>
      <c r="D1445" s="57"/>
      <c r="E1445" s="57" t="e">
        <f>VLOOKUP(D1445,tblProjekt[],2,FALSE)</f>
        <v>#N/A</v>
      </c>
      <c r="F1445" s="58"/>
      <c r="G1445" s="58"/>
      <c r="H1445" s="58"/>
      <c r="I1445" s="58"/>
      <c r="J1445" s="58"/>
      <c r="K1445" s="58"/>
      <c r="L1445" s="59"/>
    </row>
    <row r="1446" spans="2:12" x14ac:dyDescent="0.2">
      <c r="B1446" s="73"/>
      <c r="C1446" s="56"/>
      <c r="D1446" s="57"/>
      <c r="E1446" s="57" t="e">
        <f>VLOOKUP(D1446,tblProjekt[],2,FALSE)</f>
        <v>#N/A</v>
      </c>
      <c r="F1446" s="58"/>
      <c r="G1446" s="58"/>
      <c r="H1446" s="58"/>
      <c r="I1446" s="58"/>
      <c r="J1446" s="58"/>
      <c r="K1446" s="58"/>
      <c r="L1446" s="59"/>
    </row>
    <row r="1447" spans="2:12" x14ac:dyDescent="0.2">
      <c r="B1447" s="73"/>
      <c r="C1447" s="56"/>
      <c r="D1447" s="57"/>
      <c r="E1447" s="57" t="e">
        <f>VLOOKUP(D1447,tblProjekt[],2,FALSE)</f>
        <v>#N/A</v>
      </c>
      <c r="F1447" s="58"/>
      <c r="G1447" s="58"/>
      <c r="H1447" s="58"/>
      <c r="I1447" s="58"/>
      <c r="J1447" s="58"/>
      <c r="K1447" s="58"/>
      <c r="L1447" s="59"/>
    </row>
    <row r="1448" spans="2:12" x14ac:dyDescent="0.2">
      <c r="B1448" s="73"/>
      <c r="C1448" s="56"/>
      <c r="D1448" s="57"/>
      <c r="E1448" s="57" t="e">
        <f>VLOOKUP(D1448,tblProjekt[],2,FALSE)</f>
        <v>#N/A</v>
      </c>
      <c r="F1448" s="58"/>
      <c r="G1448" s="58"/>
      <c r="H1448" s="58"/>
      <c r="I1448" s="58"/>
      <c r="J1448" s="58"/>
      <c r="K1448" s="58"/>
      <c r="L1448" s="59"/>
    </row>
    <row r="1449" spans="2:12" x14ac:dyDescent="0.2">
      <c r="B1449" s="73"/>
      <c r="C1449" s="56"/>
      <c r="D1449" s="57"/>
      <c r="E1449" s="57" t="e">
        <f>VLOOKUP(D1449,tblProjekt[],2,FALSE)</f>
        <v>#N/A</v>
      </c>
      <c r="F1449" s="58"/>
      <c r="G1449" s="58"/>
      <c r="H1449" s="58"/>
      <c r="I1449" s="58"/>
      <c r="J1449" s="58"/>
      <c r="K1449" s="58"/>
      <c r="L1449" s="59"/>
    </row>
    <row r="1450" spans="2:12" x14ac:dyDescent="0.2">
      <c r="B1450" s="73"/>
      <c r="C1450" s="56"/>
      <c r="D1450" s="57"/>
      <c r="E1450" s="57" t="e">
        <f>VLOOKUP(D1450,tblProjekt[],2,FALSE)</f>
        <v>#N/A</v>
      </c>
      <c r="F1450" s="58"/>
      <c r="G1450" s="58"/>
      <c r="H1450" s="58"/>
      <c r="I1450" s="58"/>
      <c r="J1450" s="58"/>
      <c r="K1450" s="58"/>
      <c r="L1450" s="59"/>
    </row>
    <row r="1451" spans="2:12" x14ac:dyDescent="0.2">
      <c r="B1451" s="73"/>
      <c r="C1451" s="56"/>
      <c r="D1451" s="57"/>
      <c r="E1451" s="57" t="e">
        <f>VLOOKUP(D1451,tblProjekt[],2,FALSE)</f>
        <v>#N/A</v>
      </c>
      <c r="F1451" s="58"/>
      <c r="G1451" s="58"/>
      <c r="H1451" s="58"/>
      <c r="I1451" s="58"/>
      <c r="J1451" s="58"/>
      <c r="K1451" s="58"/>
      <c r="L1451" s="59"/>
    </row>
    <row r="1452" spans="2:12" x14ac:dyDescent="0.2">
      <c r="B1452" s="73"/>
      <c r="C1452" s="56"/>
      <c r="D1452" s="57"/>
      <c r="E1452" s="57" t="e">
        <f>VLOOKUP(D1452,tblProjekt[],2,FALSE)</f>
        <v>#N/A</v>
      </c>
      <c r="F1452" s="58"/>
      <c r="G1452" s="58"/>
      <c r="H1452" s="58"/>
      <c r="I1452" s="58"/>
      <c r="J1452" s="58"/>
      <c r="K1452" s="58"/>
      <c r="L1452" s="59"/>
    </row>
    <row r="1453" spans="2:12" x14ac:dyDescent="0.2">
      <c r="B1453" s="73"/>
      <c r="C1453" s="56"/>
      <c r="D1453" s="57"/>
      <c r="E1453" s="57" t="e">
        <f>VLOOKUP(D1453,tblProjekt[],2,FALSE)</f>
        <v>#N/A</v>
      </c>
      <c r="F1453" s="58"/>
      <c r="G1453" s="58"/>
      <c r="H1453" s="58"/>
      <c r="I1453" s="58"/>
      <c r="J1453" s="58"/>
      <c r="K1453" s="58"/>
      <c r="L1453" s="59"/>
    </row>
    <row r="1454" spans="2:12" x14ac:dyDescent="0.2">
      <c r="B1454" s="73"/>
      <c r="C1454" s="56"/>
      <c r="D1454" s="57"/>
      <c r="E1454" s="57" t="e">
        <f>VLOOKUP(D1454,tblProjekt[],2,FALSE)</f>
        <v>#N/A</v>
      </c>
      <c r="F1454" s="58"/>
      <c r="G1454" s="58"/>
      <c r="H1454" s="58"/>
      <c r="I1454" s="58"/>
      <c r="J1454" s="58"/>
      <c r="K1454" s="58"/>
      <c r="L1454" s="59"/>
    </row>
    <row r="1455" spans="2:12" x14ac:dyDescent="0.2">
      <c r="B1455" s="73"/>
      <c r="C1455" s="56"/>
      <c r="D1455" s="57"/>
      <c r="E1455" s="57" t="e">
        <f>VLOOKUP(D1455,tblProjekt[],2,FALSE)</f>
        <v>#N/A</v>
      </c>
      <c r="F1455" s="58"/>
      <c r="G1455" s="58"/>
      <c r="H1455" s="58"/>
      <c r="I1455" s="58"/>
      <c r="J1455" s="58"/>
      <c r="K1455" s="58"/>
      <c r="L1455" s="59"/>
    </row>
    <row r="1456" spans="2:12" x14ac:dyDescent="0.2">
      <c r="B1456" s="73"/>
      <c r="C1456" s="56"/>
      <c r="D1456" s="57"/>
      <c r="E1456" s="57" t="e">
        <f>VLOOKUP(D1456,tblProjekt[],2,FALSE)</f>
        <v>#N/A</v>
      </c>
      <c r="F1456" s="58"/>
      <c r="G1456" s="58"/>
      <c r="H1456" s="58"/>
      <c r="I1456" s="58"/>
      <c r="J1456" s="58"/>
      <c r="K1456" s="58"/>
      <c r="L1456" s="59"/>
    </row>
    <row r="1457" spans="2:12" x14ac:dyDescent="0.2">
      <c r="B1457" s="73"/>
      <c r="C1457" s="56"/>
      <c r="D1457" s="57"/>
      <c r="E1457" s="57" t="e">
        <f>VLOOKUP(D1457,tblProjekt[],2,FALSE)</f>
        <v>#N/A</v>
      </c>
      <c r="F1457" s="58"/>
      <c r="G1457" s="58"/>
      <c r="H1457" s="58"/>
      <c r="I1457" s="58"/>
      <c r="J1457" s="58"/>
      <c r="K1457" s="58"/>
      <c r="L1457" s="59"/>
    </row>
    <row r="1458" spans="2:12" x14ac:dyDescent="0.2">
      <c r="B1458" s="73"/>
      <c r="C1458" s="56"/>
      <c r="D1458" s="57"/>
      <c r="E1458" s="57" t="e">
        <f>VLOOKUP(D1458,tblProjekt[],2,FALSE)</f>
        <v>#N/A</v>
      </c>
      <c r="F1458" s="58"/>
      <c r="G1458" s="58"/>
      <c r="H1458" s="58"/>
      <c r="I1458" s="58"/>
      <c r="J1458" s="58"/>
      <c r="K1458" s="58"/>
      <c r="L1458" s="59"/>
    </row>
    <row r="1459" spans="2:12" x14ac:dyDescent="0.2">
      <c r="B1459" s="73"/>
      <c r="C1459" s="56"/>
      <c r="D1459" s="57"/>
      <c r="E1459" s="57" t="e">
        <f>VLOOKUP(D1459,tblProjekt[],2,FALSE)</f>
        <v>#N/A</v>
      </c>
      <c r="F1459" s="58"/>
      <c r="G1459" s="58"/>
      <c r="H1459" s="58"/>
      <c r="I1459" s="58"/>
      <c r="J1459" s="58"/>
      <c r="K1459" s="58"/>
      <c r="L1459" s="59"/>
    </row>
    <row r="1460" spans="2:12" x14ac:dyDescent="0.2">
      <c r="B1460" s="73"/>
      <c r="C1460" s="56"/>
      <c r="D1460" s="57"/>
      <c r="E1460" s="57" t="e">
        <f>VLOOKUP(D1460,tblProjekt[],2,FALSE)</f>
        <v>#N/A</v>
      </c>
      <c r="F1460" s="58"/>
      <c r="G1460" s="58"/>
      <c r="H1460" s="58"/>
      <c r="I1460" s="58"/>
      <c r="J1460" s="58"/>
      <c r="K1460" s="58"/>
      <c r="L1460" s="59"/>
    </row>
    <row r="1461" spans="2:12" x14ac:dyDescent="0.2">
      <c r="B1461" s="73"/>
      <c r="C1461" s="56"/>
      <c r="D1461" s="57"/>
      <c r="E1461" s="57" t="e">
        <f>VLOOKUP(D1461,tblProjekt[],2,FALSE)</f>
        <v>#N/A</v>
      </c>
      <c r="F1461" s="58"/>
      <c r="G1461" s="58"/>
      <c r="H1461" s="58"/>
      <c r="I1461" s="58"/>
      <c r="J1461" s="58"/>
      <c r="K1461" s="58"/>
      <c r="L1461" s="59"/>
    </row>
    <row r="1462" spans="2:12" x14ac:dyDescent="0.2">
      <c r="B1462" s="73"/>
      <c r="C1462" s="56"/>
      <c r="D1462" s="57"/>
      <c r="E1462" s="57" t="e">
        <f>VLOOKUP(D1462,tblProjekt[],2,FALSE)</f>
        <v>#N/A</v>
      </c>
      <c r="F1462" s="58"/>
      <c r="G1462" s="58"/>
      <c r="H1462" s="58"/>
      <c r="I1462" s="58"/>
      <c r="J1462" s="58"/>
      <c r="K1462" s="58"/>
      <c r="L1462" s="59"/>
    </row>
    <row r="1463" spans="2:12" x14ac:dyDescent="0.2">
      <c r="B1463" s="73"/>
      <c r="C1463" s="56"/>
      <c r="D1463" s="57"/>
      <c r="E1463" s="57" t="e">
        <f>VLOOKUP(D1463,tblProjekt[],2,FALSE)</f>
        <v>#N/A</v>
      </c>
      <c r="F1463" s="58"/>
      <c r="G1463" s="58"/>
      <c r="H1463" s="58"/>
      <c r="I1463" s="58"/>
      <c r="J1463" s="58"/>
      <c r="K1463" s="58"/>
      <c r="L1463" s="59"/>
    </row>
    <row r="1464" spans="2:12" x14ac:dyDescent="0.2">
      <c r="B1464" s="73"/>
      <c r="C1464" s="56"/>
      <c r="D1464" s="57"/>
      <c r="E1464" s="57" t="e">
        <f>VLOOKUP(D1464,tblProjekt[],2,FALSE)</f>
        <v>#N/A</v>
      </c>
      <c r="F1464" s="58"/>
      <c r="G1464" s="58"/>
      <c r="H1464" s="58"/>
      <c r="I1464" s="58"/>
      <c r="J1464" s="58"/>
      <c r="K1464" s="58"/>
      <c r="L1464" s="59"/>
    </row>
    <row r="1465" spans="2:12" x14ac:dyDescent="0.2">
      <c r="B1465" s="73"/>
      <c r="C1465" s="56"/>
      <c r="D1465" s="57"/>
      <c r="E1465" s="57" t="e">
        <f>VLOOKUP(D1465,tblProjekt[],2,FALSE)</f>
        <v>#N/A</v>
      </c>
      <c r="F1465" s="58"/>
      <c r="G1465" s="58"/>
      <c r="H1465" s="58"/>
      <c r="I1465" s="58"/>
      <c r="J1465" s="58"/>
      <c r="K1465" s="58"/>
      <c r="L1465" s="59"/>
    </row>
    <row r="1466" spans="2:12" x14ac:dyDescent="0.2">
      <c r="B1466" s="73"/>
      <c r="C1466" s="56"/>
      <c r="D1466" s="57"/>
      <c r="E1466" s="57" t="e">
        <f>VLOOKUP(D1466,tblProjekt[],2,FALSE)</f>
        <v>#N/A</v>
      </c>
      <c r="F1466" s="58"/>
      <c r="G1466" s="58"/>
      <c r="H1466" s="58"/>
      <c r="I1466" s="58"/>
      <c r="J1466" s="58"/>
      <c r="K1466" s="58"/>
      <c r="L1466" s="59"/>
    </row>
    <row r="1467" spans="2:12" x14ac:dyDescent="0.2">
      <c r="B1467" s="73"/>
      <c r="C1467" s="56"/>
      <c r="D1467" s="57"/>
      <c r="E1467" s="57" t="e">
        <f>VLOOKUP(D1467,tblProjekt[],2,FALSE)</f>
        <v>#N/A</v>
      </c>
      <c r="F1467" s="58"/>
      <c r="G1467" s="58"/>
      <c r="H1467" s="58"/>
      <c r="I1467" s="58"/>
      <c r="J1467" s="58"/>
      <c r="K1467" s="58"/>
      <c r="L1467" s="59"/>
    </row>
    <row r="1468" spans="2:12" x14ac:dyDescent="0.2">
      <c r="B1468" s="73"/>
      <c r="C1468" s="56"/>
      <c r="D1468" s="57"/>
      <c r="E1468" s="57" t="e">
        <f>VLOOKUP(D1468,tblProjekt[],2,FALSE)</f>
        <v>#N/A</v>
      </c>
      <c r="F1468" s="58"/>
      <c r="G1468" s="58"/>
      <c r="H1468" s="58"/>
      <c r="I1468" s="58"/>
      <c r="J1468" s="58"/>
      <c r="K1468" s="58"/>
      <c r="L1468" s="59"/>
    </row>
    <row r="1469" spans="2:12" x14ac:dyDescent="0.2">
      <c r="B1469" s="73"/>
      <c r="C1469" s="56"/>
      <c r="D1469" s="57"/>
      <c r="E1469" s="57" t="e">
        <f>VLOOKUP(D1469,tblProjekt[],2,FALSE)</f>
        <v>#N/A</v>
      </c>
      <c r="F1469" s="58"/>
      <c r="G1469" s="58"/>
      <c r="H1469" s="58"/>
      <c r="I1469" s="58"/>
      <c r="J1469" s="58"/>
      <c r="K1469" s="58"/>
      <c r="L1469" s="59"/>
    </row>
    <row r="1470" spans="2:12" x14ac:dyDescent="0.2">
      <c r="B1470" s="73"/>
      <c r="C1470" s="56"/>
      <c r="D1470" s="57"/>
      <c r="E1470" s="57" t="e">
        <f>VLOOKUP(D1470,tblProjekt[],2,FALSE)</f>
        <v>#N/A</v>
      </c>
      <c r="F1470" s="58"/>
      <c r="G1470" s="58"/>
      <c r="H1470" s="58"/>
      <c r="I1470" s="58"/>
      <c r="J1470" s="58"/>
      <c r="K1470" s="58"/>
      <c r="L1470" s="59"/>
    </row>
    <row r="1471" spans="2:12" x14ac:dyDescent="0.2">
      <c r="B1471" s="73"/>
      <c r="C1471" s="56"/>
      <c r="D1471" s="57"/>
      <c r="E1471" s="57" t="e">
        <f>VLOOKUP(D1471,tblProjekt[],2,FALSE)</f>
        <v>#N/A</v>
      </c>
      <c r="F1471" s="58"/>
      <c r="G1471" s="58"/>
      <c r="H1471" s="58"/>
      <c r="I1471" s="58"/>
      <c r="J1471" s="58"/>
      <c r="K1471" s="58"/>
      <c r="L1471" s="59"/>
    </row>
    <row r="1472" spans="2:12" x14ac:dyDescent="0.2">
      <c r="B1472" s="73"/>
      <c r="C1472" s="56"/>
      <c r="D1472" s="57"/>
      <c r="E1472" s="57" t="e">
        <f>VLOOKUP(D1472,tblProjekt[],2,FALSE)</f>
        <v>#N/A</v>
      </c>
      <c r="F1472" s="58"/>
      <c r="G1472" s="58"/>
      <c r="H1472" s="58"/>
      <c r="I1472" s="58"/>
      <c r="J1472" s="58"/>
      <c r="K1472" s="58"/>
      <c r="L1472" s="59"/>
    </row>
    <row r="1473" spans="2:12" x14ac:dyDescent="0.2">
      <c r="B1473" s="73"/>
      <c r="C1473" s="56"/>
      <c r="D1473" s="57"/>
      <c r="E1473" s="57" t="e">
        <f>VLOOKUP(D1473,tblProjekt[],2,FALSE)</f>
        <v>#N/A</v>
      </c>
      <c r="F1473" s="58"/>
      <c r="G1473" s="58"/>
      <c r="H1473" s="58"/>
      <c r="I1473" s="58"/>
      <c r="J1473" s="58"/>
      <c r="K1473" s="58"/>
      <c r="L1473" s="59"/>
    </row>
    <row r="1474" spans="2:12" x14ac:dyDescent="0.2">
      <c r="B1474" s="73"/>
      <c r="C1474" s="56"/>
      <c r="D1474" s="57"/>
      <c r="E1474" s="57" t="e">
        <f>VLOOKUP(D1474,tblProjekt[],2,FALSE)</f>
        <v>#N/A</v>
      </c>
      <c r="F1474" s="58"/>
      <c r="G1474" s="58"/>
      <c r="H1474" s="58"/>
      <c r="I1474" s="58"/>
      <c r="J1474" s="58"/>
      <c r="K1474" s="58"/>
      <c r="L1474" s="59"/>
    </row>
    <row r="1475" spans="2:12" x14ac:dyDescent="0.2">
      <c r="B1475" s="73"/>
      <c r="C1475" s="56"/>
      <c r="D1475" s="57"/>
      <c r="E1475" s="57" t="e">
        <f>VLOOKUP(D1475,tblProjekt[],2,FALSE)</f>
        <v>#N/A</v>
      </c>
      <c r="F1475" s="58"/>
      <c r="G1475" s="58"/>
      <c r="H1475" s="58"/>
      <c r="I1475" s="58"/>
      <c r="J1475" s="58"/>
      <c r="K1475" s="58"/>
      <c r="L1475" s="59"/>
    </row>
    <row r="1476" spans="2:12" x14ac:dyDescent="0.2">
      <c r="B1476" s="73"/>
      <c r="C1476" s="56"/>
      <c r="D1476" s="57"/>
      <c r="E1476" s="57" t="e">
        <f>VLOOKUP(D1476,tblProjekt[],2,FALSE)</f>
        <v>#N/A</v>
      </c>
      <c r="F1476" s="58"/>
      <c r="G1476" s="58"/>
      <c r="H1476" s="58"/>
      <c r="I1476" s="58"/>
      <c r="J1476" s="58"/>
      <c r="K1476" s="58"/>
      <c r="L1476" s="59"/>
    </row>
    <row r="1477" spans="2:12" x14ac:dyDescent="0.2">
      <c r="B1477" s="73"/>
      <c r="C1477" s="56"/>
      <c r="D1477" s="57"/>
      <c r="E1477" s="57" t="e">
        <f>VLOOKUP(D1477,tblProjekt[],2,FALSE)</f>
        <v>#N/A</v>
      </c>
      <c r="F1477" s="58"/>
      <c r="G1477" s="58"/>
      <c r="H1477" s="58"/>
      <c r="I1477" s="58"/>
      <c r="J1477" s="58"/>
      <c r="K1477" s="58"/>
      <c r="L1477" s="59"/>
    </row>
    <row r="1478" spans="2:12" x14ac:dyDescent="0.2">
      <c r="B1478" s="73"/>
      <c r="C1478" s="56"/>
      <c r="D1478" s="57"/>
      <c r="E1478" s="57" t="e">
        <f>VLOOKUP(D1478,tblProjekt[],2,FALSE)</f>
        <v>#N/A</v>
      </c>
      <c r="F1478" s="58"/>
      <c r="G1478" s="58"/>
      <c r="H1478" s="58"/>
      <c r="I1478" s="58"/>
      <c r="J1478" s="58"/>
      <c r="K1478" s="58"/>
      <c r="L1478" s="59"/>
    </row>
    <row r="1479" spans="2:12" x14ac:dyDescent="0.2">
      <c r="B1479" s="73"/>
      <c r="C1479" s="56"/>
      <c r="D1479" s="57"/>
      <c r="E1479" s="57" t="e">
        <f>VLOOKUP(D1479,tblProjekt[],2,FALSE)</f>
        <v>#N/A</v>
      </c>
      <c r="F1479" s="58"/>
      <c r="G1479" s="58"/>
      <c r="H1479" s="58"/>
      <c r="I1479" s="58"/>
      <c r="J1479" s="58"/>
      <c r="K1479" s="58"/>
      <c r="L1479" s="59"/>
    </row>
    <row r="1480" spans="2:12" x14ac:dyDescent="0.2">
      <c r="B1480" s="73"/>
      <c r="C1480" s="56"/>
      <c r="D1480" s="57"/>
      <c r="E1480" s="57" t="e">
        <f>VLOOKUP(D1480,tblProjekt[],2,FALSE)</f>
        <v>#N/A</v>
      </c>
      <c r="F1480" s="58"/>
      <c r="G1480" s="58"/>
      <c r="H1480" s="58"/>
      <c r="I1480" s="58"/>
      <c r="J1480" s="58"/>
      <c r="K1480" s="58"/>
      <c r="L1480" s="59"/>
    </row>
    <row r="1481" spans="2:12" x14ac:dyDescent="0.2">
      <c r="B1481" s="73"/>
      <c r="C1481" s="56"/>
      <c r="D1481" s="57"/>
      <c r="E1481" s="57" t="e">
        <f>VLOOKUP(D1481,tblProjekt[],2,FALSE)</f>
        <v>#N/A</v>
      </c>
      <c r="F1481" s="58"/>
      <c r="G1481" s="58"/>
      <c r="H1481" s="58"/>
      <c r="I1481" s="58"/>
      <c r="J1481" s="58"/>
      <c r="K1481" s="58"/>
      <c r="L1481" s="59"/>
    </row>
    <row r="1482" spans="2:12" x14ac:dyDescent="0.2">
      <c r="B1482" s="73"/>
      <c r="C1482" s="56"/>
      <c r="D1482" s="57"/>
      <c r="E1482" s="57" t="e">
        <f>VLOOKUP(D1482,tblProjekt[],2,FALSE)</f>
        <v>#N/A</v>
      </c>
      <c r="F1482" s="58"/>
      <c r="G1482" s="58"/>
      <c r="H1482" s="58"/>
      <c r="I1482" s="58"/>
      <c r="J1482" s="58"/>
      <c r="K1482" s="58"/>
      <c r="L1482" s="59"/>
    </row>
    <row r="1483" spans="2:12" x14ac:dyDescent="0.2">
      <c r="B1483" s="73"/>
      <c r="C1483" s="56"/>
      <c r="D1483" s="57"/>
      <c r="E1483" s="57" t="e">
        <f>VLOOKUP(D1483,tblProjekt[],2,FALSE)</f>
        <v>#N/A</v>
      </c>
      <c r="F1483" s="58"/>
      <c r="G1483" s="58"/>
      <c r="H1483" s="58"/>
      <c r="I1483" s="58"/>
      <c r="J1483" s="58"/>
      <c r="K1483" s="58"/>
      <c r="L1483" s="59"/>
    </row>
    <row r="1484" spans="2:12" x14ac:dyDescent="0.2">
      <c r="B1484" s="73"/>
      <c r="C1484" s="56"/>
      <c r="D1484" s="57"/>
      <c r="E1484" s="57" t="e">
        <f>VLOOKUP(D1484,tblProjekt[],2,FALSE)</f>
        <v>#N/A</v>
      </c>
      <c r="F1484" s="58"/>
      <c r="G1484" s="58"/>
      <c r="H1484" s="58"/>
      <c r="I1484" s="58"/>
      <c r="J1484" s="58"/>
      <c r="K1484" s="58"/>
      <c r="L1484" s="59"/>
    </row>
    <row r="1485" spans="2:12" x14ac:dyDescent="0.2">
      <c r="B1485" s="73"/>
      <c r="C1485" s="56"/>
      <c r="D1485" s="57"/>
      <c r="E1485" s="57" t="e">
        <f>VLOOKUP(D1485,tblProjekt[],2,FALSE)</f>
        <v>#N/A</v>
      </c>
      <c r="F1485" s="58"/>
      <c r="G1485" s="58"/>
      <c r="H1485" s="58"/>
      <c r="I1485" s="58"/>
      <c r="J1485" s="58"/>
      <c r="K1485" s="58"/>
      <c r="L1485" s="59"/>
    </row>
    <row r="1486" spans="2:12" x14ac:dyDescent="0.2">
      <c r="B1486" s="73"/>
      <c r="C1486" s="56"/>
      <c r="D1486" s="57"/>
      <c r="E1486" s="57" t="e">
        <f>VLOOKUP(D1486,tblProjekt[],2,FALSE)</f>
        <v>#N/A</v>
      </c>
      <c r="F1486" s="58"/>
      <c r="G1486" s="58"/>
      <c r="H1486" s="58"/>
      <c r="I1486" s="58"/>
      <c r="J1486" s="58"/>
      <c r="K1486" s="58"/>
      <c r="L1486" s="59"/>
    </row>
    <row r="1487" spans="2:12" x14ac:dyDescent="0.2">
      <c r="B1487" s="73"/>
      <c r="C1487" s="56"/>
      <c r="D1487" s="57"/>
      <c r="E1487" s="57" t="e">
        <f>VLOOKUP(D1487,tblProjekt[],2,FALSE)</f>
        <v>#N/A</v>
      </c>
      <c r="F1487" s="58"/>
      <c r="G1487" s="58"/>
      <c r="H1487" s="58"/>
      <c r="I1487" s="58"/>
      <c r="J1487" s="58"/>
      <c r="K1487" s="58"/>
      <c r="L1487" s="59"/>
    </row>
    <row r="1488" spans="2:12" x14ac:dyDescent="0.2">
      <c r="B1488" s="73"/>
      <c r="C1488" s="56"/>
      <c r="D1488" s="57"/>
      <c r="E1488" s="57" t="e">
        <f>VLOOKUP(D1488,tblProjekt[],2,FALSE)</f>
        <v>#N/A</v>
      </c>
      <c r="F1488" s="58"/>
      <c r="G1488" s="58"/>
      <c r="H1488" s="58"/>
      <c r="I1488" s="58"/>
      <c r="J1488" s="58"/>
      <c r="K1488" s="58"/>
      <c r="L1488" s="59"/>
    </row>
    <row r="1489" spans="2:12" x14ac:dyDescent="0.2">
      <c r="B1489" s="73"/>
      <c r="C1489" s="56"/>
      <c r="D1489" s="57"/>
      <c r="E1489" s="57" t="e">
        <f>VLOOKUP(D1489,tblProjekt[],2,FALSE)</f>
        <v>#N/A</v>
      </c>
      <c r="F1489" s="58"/>
      <c r="G1489" s="58"/>
      <c r="H1489" s="58"/>
      <c r="I1489" s="58"/>
      <c r="J1489" s="58"/>
      <c r="K1489" s="58"/>
      <c r="L1489" s="59"/>
    </row>
    <row r="1490" spans="2:12" x14ac:dyDescent="0.2">
      <c r="B1490" s="73"/>
      <c r="C1490" s="56"/>
      <c r="D1490" s="57"/>
      <c r="E1490" s="57" t="e">
        <f>VLOOKUP(D1490,tblProjekt[],2,FALSE)</f>
        <v>#N/A</v>
      </c>
      <c r="F1490" s="58"/>
      <c r="G1490" s="58"/>
      <c r="H1490" s="58"/>
      <c r="I1490" s="58"/>
      <c r="J1490" s="58"/>
      <c r="K1490" s="58"/>
      <c r="L1490" s="59"/>
    </row>
    <row r="1491" spans="2:12" x14ac:dyDescent="0.2">
      <c r="B1491" s="73"/>
      <c r="C1491" s="56"/>
      <c r="D1491" s="57"/>
      <c r="E1491" s="57" t="e">
        <f>VLOOKUP(D1491,tblProjekt[],2,FALSE)</f>
        <v>#N/A</v>
      </c>
      <c r="F1491" s="58"/>
      <c r="G1491" s="58"/>
      <c r="H1491" s="58"/>
      <c r="I1491" s="58"/>
      <c r="J1491" s="58"/>
      <c r="K1491" s="58"/>
      <c r="L1491" s="59"/>
    </row>
    <row r="1492" spans="2:12" x14ac:dyDescent="0.2">
      <c r="B1492" s="73"/>
      <c r="C1492" s="56"/>
      <c r="D1492" s="57"/>
      <c r="E1492" s="57" t="e">
        <f>VLOOKUP(D1492,tblProjekt[],2,FALSE)</f>
        <v>#N/A</v>
      </c>
      <c r="F1492" s="58"/>
      <c r="G1492" s="58"/>
      <c r="H1492" s="58"/>
      <c r="I1492" s="58"/>
      <c r="J1492" s="58"/>
      <c r="K1492" s="58"/>
      <c r="L1492" s="59"/>
    </row>
    <row r="1493" spans="2:12" x14ac:dyDescent="0.2">
      <c r="B1493" s="73"/>
      <c r="C1493" s="56"/>
      <c r="D1493" s="57"/>
      <c r="E1493" s="57" t="e">
        <f>VLOOKUP(D1493,tblProjekt[],2,FALSE)</f>
        <v>#N/A</v>
      </c>
      <c r="F1493" s="58"/>
      <c r="G1493" s="58"/>
      <c r="H1493" s="58"/>
      <c r="I1493" s="58"/>
      <c r="J1493" s="58"/>
      <c r="K1493" s="58"/>
      <c r="L1493" s="59"/>
    </row>
    <row r="1494" spans="2:12" x14ac:dyDescent="0.2">
      <c r="B1494" s="73"/>
      <c r="C1494" s="56"/>
      <c r="D1494" s="57"/>
      <c r="E1494" s="57" t="e">
        <f>VLOOKUP(D1494,tblProjekt[],2,FALSE)</f>
        <v>#N/A</v>
      </c>
      <c r="F1494" s="58"/>
      <c r="G1494" s="58"/>
      <c r="H1494" s="58"/>
      <c r="I1494" s="58"/>
      <c r="J1494" s="58"/>
      <c r="K1494" s="58"/>
      <c r="L1494" s="59"/>
    </row>
    <row r="1495" spans="2:12" x14ac:dyDescent="0.2">
      <c r="B1495" s="73"/>
      <c r="C1495" s="56"/>
      <c r="D1495" s="57"/>
      <c r="E1495" s="57" t="e">
        <f>VLOOKUP(D1495,tblProjekt[],2,FALSE)</f>
        <v>#N/A</v>
      </c>
      <c r="F1495" s="58"/>
      <c r="G1495" s="58"/>
      <c r="H1495" s="58"/>
      <c r="I1495" s="58"/>
      <c r="J1495" s="58"/>
      <c r="K1495" s="58"/>
      <c r="L1495" s="59"/>
    </row>
    <row r="1496" spans="2:12" x14ac:dyDescent="0.2">
      <c r="B1496" s="73"/>
      <c r="C1496" s="56"/>
      <c r="D1496" s="57"/>
      <c r="E1496" s="57" t="e">
        <f>VLOOKUP(D1496,tblProjekt[],2,FALSE)</f>
        <v>#N/A</v>
      </c>
      <c r="F1496" s="58"/>
      <c r="G1496" s="58"/>
      <c r="H1496" s="58"/>
      <c r="I1496" s="58"/>
      <c r="J1496" s="58"/>
      <c r="K1496" s="58"/>
      <c r="L1496" s="59"/>
    </row>
    <row r="1497" spans="2:12" x14ac:dyDescent="0.2">
      <c r="B1497" s="73"/>
      <c r="C1497" s="56"/>
      <c r="D1497" s="57"/>
      <c r="E1497" s="57" t="e">
        <f>VLOOKUP(D1497,tblProjekt[],2,FALSE)</f>
        <v>#N/A</v>
      </c>
      <c r="F1497" s="58"/>
      <c r="G1497" s="58"/>
      <c r="H1497" s="58"/>
      <c r="I1497" s="58"/>
      <c r="J1497" s="58"/>
      <c r="K1497" s="58"/>
      <c r="L1497" s="59"/>
    </row>
    <row r="1498" spans="2:12" x14ac:dyDescent="0.2">
      <c r="B1498" s="73"/>
      <c r="C1498" s="56"/>
      <c r="D1498" s="57"/>
      <c r="E1498" s="57" t="e">
        <f>VLOOKUP(D1498,tblProjekt[],2,FALSE)</f>
        <v>#N/A</v>
      </c>
      <c r="F1498" s="58"/>
      <c r="G1498" s="58"/>
      <c r="H1498" s="58"/>
      <c r="I1498" s="58"/>
      <c r="J1498" s="58"/>
      <c r="K1498" s="58"/>
      <c r="L1498" s="59"/>
    </row>
    <row r="1499" spans="2:12" x14ac:dyDescent="0.2">
      <c r="B1499" s="73"/>
      <c r="C1499" s="56"/>
      <c r="D1499" s="57"/>
      <c r="E1499" s="57" t="e">
        <f>VLOOKUP(D1499,tblProjekt[],2,FALSE)</f>
        <v>#N/A</v>
      </c>
      <c r="F1499" s="58"/>
      <c r="G1499" s="58"/>
      <c r="H1499" s="58"/>
      <c r="I1499" s="58"/>
      <c r="J1499" s="58"/>
      <c r="K1499" s="58"/>
      <c r="L1499" s="59"/>
    </row>
    <row r="1500" spans="2:12" x14ac:dyDescent="0.2">
      <c r="B1500" s="73"/>
      <c r="C1500" s="56"/>
      <c r="D1500" s="57"/>
      <c r="E1500" s="57" t="e">
        <f>VLOOKUP(D1500,tblProjekt[],2,FALSE)</f>
        <v>#N/A</v>
      </c>
      <c r="F1500" s="58"/>
      <c r="G1500" s="58"/>
      <c r="H1500" s="58"/>
      <c r="I1500" s="58"/>
      <c r="J1500" s="58"/>
      <c r="K1500" s="58"/>
      <c r="L1500" s="59"/>
    </row>
  </sheetData>
  <mergeCells count="5">
    <mergeCell ref="B4:C4"/>
    <mergeCell ref="D5:E5"/>
    <mergeCell ref="B3:E3"/>
    <mergeCell ref="D4:E4"/>
    <mergeCell ref="D7:F7"/>
  </mergeCells>
  <phoneticPr fontId="0" type="noConversion"/>
  <dataValidations count="1">
    <dataValidation type="list" allowBlank="1" showInputMessage="1" showErrorMessage="1" sqref="D10:D1500">
      <formula1>ProjektCode</formula1>
    </dataValidation>
  </dataValidations>
  <pageMargins left="0.8" right="0.39000000000000007" top="0.83000000000000007" bottom="0.65000000000000013" header="0.49" footer="0.30000000000000004"/>
  <pageSetup paperSize="9" scale="70" orientation="portrait"/>
  <headerFooter alignWithMargin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C69"/>
  <sheetViews>
    <sheetView workbookViewId="0">
      <selection activeCell="A42" sqref="A42"/>
    </sheetView>
  </sheetViews>
  <sheetFormatPr baseColWidth="10" defaultRowHeight="12.75" x14ac:dyDescent="0.2"/>
  <cols>
    <col min="1" max="1" width="18.28515625" bestFit="1" customWidth="1"/>
    <col min="2" max="2" width="27.42578125" bestFit="1" customWidth="1"/>
    <col min="3" max="3" width="24.28515625" bestFit="1" customWidth="1"/>
    <col min="4" max="4" width="25" customWidth="1"/>
  </cols>
  <sheetData>
    <row r="3" spans="1:3" ht="13.5" thickBot="1" x14ac:dyDescent="0.25">
      <c r="A3" t="s">
        <v>10</v>
      </c>
      <c r="B3" s="2" t="s">
        <v>4</v>
      </c>
      <c r="C3" s="3" t="s">
        <v>9</v>
      </c>
    </row>
    <row r="4" spans="1:3" ht="13.5" thickTop="1" x14ac:dyDescent="0.2">
      <c r="A4" t="s">
        <v>5</v>
      </c>
      <c r="B4" s="5" t="s">
        <v>25</v>
      </c>
      <c r="C4" s="8" t="s">
        <v>78</v>
      </c>
    </row>
    <row r="5" spans="1:3" x14ac:dyDescent="0.2">
      <c r="A5" t="s">
        <v>21</v>
      </c>
      <c r="B5" s="6" t="s">
        <v>22</v>
      </c>
      <c r="C5" s="51" t="s">
        <v>426</v>
      </c>
    </row>
    <row r="6" spans="1:3" x14ac:dyDescent="0.2">
      <c r="A6" s="15" t="s">
        <v>969</v>
      </c>
      <c r="B6" s="54" t="s">
        <v>970</v>
      </c>
      <c r="C6" s="54" t="s">
        <v>426</v>
      </c>
    </row>
    <row r="7" spans="1:3" x14ac:dyDescent="0.2">
      <c r="A7" t="s">
        <v>971</v>
      </c>
      <c r="B7" s="7" t="s">
        <v>972</v>
      </c>
      <c r="C7" s="60" t="s">
        <v>973</v>
      </c>
    </row>
    <row r="8" spans="1:3" x14ac:dyDescent="0.2">
      <c r="A8" s="15" t="s">
        <v>974</v>
      </c>
      <c r="B8" s="54" t="s">
        <v>975</v>
      </c>
      <c r="C8" s="60" t="s">
        <v>973</v>
      </c>
    </row>
    <row r="9" spans="1:3" x14ac:dyDescent="0.2">
      <c r="A9" t="s">
        <v>976</v>
      </c>
      <c r="B9" s="7" t="s">
        <v>977</v>
      </c>
      <c r="C9" s="60" t="s">
        <v>973</v>
      </c>
    </row>
    <row r="10" spans="1:3" x14ac:dyDescent="0.2">
      <c r="A10" t="s">
        <v>427</v>
      </c>
      <c r="B10" s="7" t="s">
        <v>428</v>
      </c>
      <c r="C10" s="60" t="s">
        <v>973</v>
      </c>
    </row>
    <row r="11" spans="1:3" x14ac:dyDescent="0.2">
      <c r="A11" t="s">
        <v>700</v>
      </c>
      <c r="B11" s="7" t="s">
        <v>701</v>
      </c>
      <c r="C11" s="54" t="s">
        <v>426</v>
      </c>
    </row>
    <row r="12" spans="1:3" x14ac:dyDescent="0.2">
      <c r="A12" t="s">
        <v>14</v>
      </c>
      <c r="B12" s="7" t="s">
        <v>15</v>
      </c>
      <c r="C12" s="60" t="s">
        <v>978</v>
      </c>
    </row>
    <row r="13" spans="1:3" x14ac:dyDescent="0.2">
      <c r="A13" t="s">
        <v>29</v>
      </c>
      <c r="B13" t="s">
        <v>28</v>
      </c>
      <c r="C13" s="52" t="s">
        <v>979</v>
      </c>
    </row>
    <row r="14" spans="1:3" x14ac:dyDescent="0.2">
      <c r="A14" t="s">
        <v>780</v>
      </c>
      <c r="B14" t="s">
        <v>781</v>
      </c>
      <c r="C14" s="60" t="s">
        <v>980</v>
      </c>
    </row>
    <row r="15" spans="1:3" x14ac:dyDescent="0.2">
      <c r="A15" t="s">
        <v>981</v>
      </c>
      <c r="B15" t="s">
        <v>982</v>
      </c>
      <c r="C15" s="60" t="s">
        <v>980</v>
      </c>
    </row>
    <row r="16" spans="1:3" x14ac:dyDescent="0.2">
      <c r="A16" t="s">
        <v>983</v>
      </c>
      <c r="B16" t="s">
        <v>984</v>
      </c>
      <c r="C16" s="60" t="s">
        <v>782</v>
      </c>
    </row>
    <row r="17" spans="1:3" x14ac:dyDescent="0.2">
      <c r="A17" t="s">
        <v>985</v>
      </c>
      <c r="B17" t="s">
        <v>986</v>
      </c>
      <c r="C17" s="60" t="s">
        <v>980</v>
      </c>
    </row>
    <row r="18" spans="1:3" x14ac:dyDescent="0.2">
      <c r="A18" t="s">
        <v>43</v>
      </c>
      <c r="B18" s="15" t="s">
        <v>79</v>
      </c>
      <c r="C18" s="60" t="s">
        <v>987</v>
      </c>
    </row>
    <row r="19" spans="1:3" x14ac:dyDescent="0.2">
      <c r="A19" t="s">
        <v>988</v>
      </c>
      <c r="B19" t="s">
        <v>783</v>
      </c>
      <c r="C19" s="52" t="s">
        <v>989</v>
      </c>
    </row>
    <row r="20" spans="1:3" x14ac:dyDescent="0.2">
      <c r="A20" t="s">
        <v>690</v>
      </c>
      <c r="B20" t="s">
        <v>702</v>
      </c>
      <c r="C20" s="52" t="s">
        <v>979</v>
      </c>
    </row>
    <row r="21" spans="1:3" x14ac:dyDescent="0.2">
      <c r="A21" t="s">
        <v>784</v>
      </c>
      <c r="B21" t="s">
        <v>990</v>
      </c>
      <c r="C21" s="52" t="s">
        <v>785</v>
      </c>
    </row>
    <row r="22" spans="1:3" x14ac:dyDescent="0.2">
      <c r="A22" t="s">
        <v>35</v>
      </c>
      <c r="B22" t="s">
        <v>36</v>
      </c>
      <c r="C22" s="60" t="s">
        <v>991</v>
      </c>
    </row>
    <row r="23" spans="1:3" x14ac:dyDescent="0.2">
      <c r="A23" t="s">
        <v>19</v>
      </c>
      <c r="B23" s="7" t="s">
        <v>20</v>
      </c>
      <c r="C23" s="9" t="s">
        <v>18</v>
      </c>
    </row>
    <row r="24" spans="1:3" x14ac:dyDescent="0.2">
      <c r="A24" t="s">
        <v>50</v>
      </c>
      <c r="B24" s="7" t="s">
        <v>638</v>
      </c>
      <c r="C24" s="9" t="s">
        <v>18</v>
      </c>
    </row>
    <row r="25" spans="1:3" x14ac:dyDescent="0.2">
      <c r="A25" t="s">
        <v>66</v>
      </c>
      <c r="B25" t="s">
        <v>67</v>
      </c>
      <c r="C25" s="52" t="s">
        <v>979</v>
      </c>
    </row>
    <row r="26" spans="1:3" x14ac:dyDescent="0.2">
      <c r="A26" t="s">
        <v>641</v>
      </c>
      <c r="B26" t="s">
        <v>642</v>
      </c>
      <c r="C26" s="52" t="s">
        <v>979</v>
      </c>
    </row>
    <row r="27" spans="1:3" x14ac:dyDescent="0.2">
      <c r="A27" t="s">
        <v>639</v>
      </c>
      <c r="B27" t="s">
        <v>640</v>
      </c>
      <c r="C27" s="52" t="s">
        <v>979</v>
      </c>
    </row>
    <row r="28" spans="1:3" x14ac:dyDescent="0.2">
      <c r="A28" t="s">
        <v>643</v>
      </c>
      <c r="B28" t="s">
        <v>644</v>
      </c>
      <c r="C28" s="52" t="s">
        <v>979</v>
      </c>
    </row>
    <row r="29" spans="1:3" x14ac:dyDescent="0.2">
      <c r="A29" t="s">
        <v>645</v>
      </c>
      <c r="B29" t="s">
        <v>646</v>
      </c>
      <c r="C29" s="52" t="s">
        <v>979</v>
      </c>
    </row>
    <row r="30" spans="1:3" x14ac:dyDescent="0.2">
      <c r="A30" t="s">
        <v>39</v>
      </c>
      <c r="B30" t="s">
        <v>40</v>
      </c>
      <c r="C30" s="1" t="s">
        <v>18</v>
      </c>
    </row>
    <row r="31" spans="1:3" x14ac:dyDescent="0.2">
      <c r="A31" t="s">
        <v>647</v>
      </c>
      <c r="B31" t="s">
        <v>648</v>
      </c>
      <c r="C31" s="52" t="s">
        <v>979</v>
      </c>
    </row>
    <row r="32" spans="1:3" x14ac:dyDescent="0.2">
      <c r="A32" s="15" t="s">
        <v>703</v>
      </c>
      <c r="B32" s="15" t="s">
        <v>704</v>
      </c>
      <c r="C32" s="52" t="s">
        <v>979</v>
      </c>
    </row>
    <row r="33" spans="1:3" x14ac:dyDescent="0.2">
      <c r="A33" t="s">
        <v>30</v>
      </c>
      <c r="B33" s="7" t="s">
        <v>31</v>
      </c>
      <c r="C33" s="9" t="s">
        <v>18</v>
      </c>
    </row>
    <row r="34" spans="1:3" x14ac:dyDescent="0.2">
      <c r="A34" s="15" t="s">
        <v>705</v>
      </c>
      <c r="B34" s="15" t="s">
        <v>706</v>
      </c>
      <c r="C34" s="52" t="s">
        <v>979</v>
      </c>
    </row>
    <row r="35" spans="1:3" x14ac:dyDescent="0.2">
      <c r="A35" s="15" t="s">
        <v>992</v>
      </c>
      <c r="B35" s="15" t="s">
        <v>993</v>
      </c>
      <c r="C35" s="52" t="s">
        <v>994</v>
      </c>
    </row>
    <row r="36" spans="1:3" x14ac:dyDescent="0.2">
      <c r="A36" s="7" t="s">
        <v>84</v>
      </c>
      <c r="B36" s="7" t="s">
        <v>85</v>
      </c>
      <c r="C36" s="7" t="s">
        <v>86</v>
      </c>
    </row>
    <row r="37" spans="1:3" x14ac:dyDescent="0.2">
      <c r="A37" s="15" t="s">
        <v>995</v>
      </c>
      <c r="B37" s="15" t="s">
        <v>996</v>
      </c>
      <c r="C37" s="60" t="s">
        <v>997</v>
      </c>
    </row>
    <row r="38" spans="1:3" x14ac:dyDescent="0.2">
      <c r="A38" s="15" t="s">
        <v>998</v>
      </c>
      <c r="B38" s="15" t="s">
        <v>999</v>
      </c>
      <c r="C38" s="60" t="s">
        <v>994</v>
      </c>
    </row>
    <row r="39" spans="1:3" x14ac:dyDescent="0.2">
      <c r="A39" s="15" t="s">
        <v>1000</v>
      </c>
      <c r="B39" s="15" t="s">
        <v>1001</v>
      </c>
      <c r="C39" s="60" t="s">
        <v>994</v>
      </c>
    </row>
    <row r="40" spans="1:3" x14ac:dyDescent="0.2">
      <c r="A40" t="s">
        <v>13</v>
      </c>
      <c r="B40" s="48" t="s">
        <v>12</v>
      </c>
      <c r="C40" s="53" t="s">
        <v>429</v>
      </c>
    </row>
    <row r="41" spans="1:3" x14ac:dyDescent="0.2">
      <c r="A41" t="s">
        <v>6</v>
      </c>
      <c r="B41" s="49" t="s">
        <v>11</v>
      </c>
      <c r="C41" s="50" t="s">
        <v>430</v>
      </c>
    </row>
    <row r="42" spans="1:3" x14ac:dyDescent="0.2">
      <c r="A42" t="s">
        <v>1002</v>
      </c>
      <c r="B42" s="49" t="s">
        <v>1003</v>
      </c>
      <c r="C42" s="50" t="s">
        <v>426</v>
      </c>
    </row>
    <row r="43" spans="1:3" x14ac:dyDescent="0.2">
      <c r="A43" t="s">
        <v>1004</v>
      </c>
      <c r="B43" s="49" t="s">
        <v>1005</v>
      </c>
      <c r="C43" s="49" t="s">
        <v>426</v>
      </c>
    </row>
    <row r="44" spans="1:3" x14ac:dyDescent="0.2">
      <c r="A44" t="s">
        <v>32</v>
      </c>
      <c r="B44" t="s">
        <v>23</v>
      </c>
      <c r="C44" s="1" t="s">
        <v>24</v>
      </c>
    </row>
    <row r="45" spans="1:3" x14ac:dyDescent="0.2">
      <c r="A45" t="s">
        <v>17</v>
      </c>
      <c r="B45" t="s">
        <v>16</v>
      </c>
      <c r="C45" s="53" t="s">
        <v>429</v>
      </c>
    </row>
    <row r="46" spans="1:3" x14ac:dyDescent="0.2">
      <c r="A46" s="7" t="s">
        <v>80</v>
      </c>
      <c r="B46" s="7" t="s">
        <v>81</v>
      </c>
      <c r="C46" s="53" t="s">
        <v>429</v>
      </c>
    </row>
    <row r="47" spans="1:3" x14ac:dyDescent="0.2">
      <c r="A47" s="7" t="s">
        <v>82</v>
      </c>
      <c r="B47" s="7" t="s">
        <v>83</v>
      </c>
      <c r="C47" s="53" t="s">
        <v>429</v>
      </c>
    </row>
    <row r="48" spans="1:3" x14ac:dyDescent="0.2">
      <c r="A48" s="7" t="s">
        <v>431</v>
      </c>
      <c r="B48" s="7" t="s">
        <v>432</v>
      </c>
      <c r="C48" s="61" t="s">
        <v>1006</v>
      </c>
    </row>
    <row r="49" spans="1:3" x14ac:dyDescent="0.2">
      <c r="A49" t="s">
        <v>57</v>
      </c>
      <c r="B49" s="7" t="s">
        <v>58</v>
      </c>
      <c r="C49" s="53" t="s">
        <v>429</v>
      </c>
    </row>
    <row r="50" spans="1:3" x14ac:dyDescent="0.2">
      <c r="A50" t="s">
        <v>343</v>
      </c>
      <c r="B50" s="7" t="s">
        <v>344</v>
      </c>
      <c r="C50" s="53" t="s">
        <v>429</v>
      </c>
    </row>
    <row r="51" spans="1:3" x14ac:dyDescent="0.2">
      <c r="A51" t="s">
        <v>55</v>
      </c>
      <c r="B51" t="s">
        <v>56</v>
      </c>
      <c r="C51" s="53" t="s">
        <v>429</v>
      </c>
    </row>
    <row r="52" spans="1:3" x14ac:dyDescent="0.2">
      <c r="A52" t="s">
        <v>26</v>
      </c>
      <c r="B52" s="7" t="s">
        <v>27</v>
      </c>
      <c r="C52" s="53" t="s">
        <v>429</v>
      </c>
    </row>
    <row r="53" spans="1:3" x14ac:dyDescent="0.2">
      <c r="A53" t="s">
        <v>37</v>
      </c>
      <c r="B53" t="s">
        <v>38</v>
      </c>
      <c r="C53" s="53" t="s">
        <v>429</v>
      </c>
    </row>
    <row r="54" spans="1:3" x14ac:dyDescent="0.2">
      <c r="A54" t="s">
        <v>48</v>
      </c>
      <c r="B54" t="s">
        <v>49</v>
      </c>
      <c r="C54" s="53" t="s">
        <v>429</v>
      </c>
    </row>
    <row r="55" spans="1:3" x14ac:dyDescent="0.2">
      <c r="A55" t="s">
        <v>63</v>
      </c>
      <c r="B55" t="s">
        <v>62</v>
      </c>
      <c r="C55" s="53" t="s">
        <v>429</v>
      </c>
    </row>
    <row r="56" spans="1:3" x14ac:dyDescent="0.2">
      <c r="A56" t="s">
        <v>337</v>
      </c>
      <c r="B56" s="7" t="s">
        <v>338</v>
      </c>
      <c r="C56" s="53" t="s">
        <v>429</v>
      </c>
    </row>
    <row r="57" spans="1:3" x14ac:dyDescent="0.2">
      <c r="A57" t="s">
        <v>339</v>
      </c>
      <c r="B57" t="s">
        <v>340</v>
      </c>
      <c r="C57" s="53" t="s">
        <v>429</v>
      </c>
    </row>
    <row r="58" spans="1:3" x14ac:dyDescent="0.2">
      <c r="A58" s="49" t="s">
        <v>341</v>
      </c>
      <c r="B58" s="49" t="s">
        <v>342</v>
      </c>
      <c r="C58" s="53" t="s">
        <v>429</v>
      </c>
    </row>
    <row r="59" spans="1:3" x14ac:dyDescent="0.2">
      <c r="A59" t="s">
        <v>53</v>
      </c>
      <c r="B59" t="s">
        <v>54</v>
      </c>
      <c r="C59" s="53" t="s">
        <v>429</v>
      </c>
    </row>
    <row r="60" spans="1:3" x14ac:dyDescent="0.2">
      <c r="A60" t="s">
        <v>41</v>
      </c>
      <c r="B60" t="s">
        <v>42</v>
      </c>
      <c r="C60" s="53" t="s">
        <v>429</v>
      </c>
    </row>
    <row r="61" spans="1:3" x14ac:dyDescent="0.2">
      <c r="A61" t="s">
        <v>51</v>
      </c>
      <c r="B61" t="s">
        <v>52</v>
      </c>
      <c r="C61" s="53" t="s">
        <v>429</v>
      </c>
    </row>
    <row r="62" spans="1:3" x14ac:dyDescent="0.2">
      <c r="A62" t="s">
        <v>33</v>
      </c>
      <c r="B62" t="s">
        <v>34</v>
      </c>
      <c r="C62" s="53" t="s">
        <v>429</v>
      </c>
    </row>
    <row r="63" spans="1:3" x14ac:dyDescent="0.2">
      <c r="A63" t="s">
        <v>68</v>
      </c>
      <c r="B63" t="s">
        <v>69</v>
      </c>
      <c r="C63" s="53" t="s">
        <v>429</v>
      </c>
    </row>
    <row r="64" spans="1:3" x14ac:dyDescent="0.2">
      <c r="A64" t="s">
        <v>44</v>
      </c>
      <c r="B64" t="s">
        <v>45</v>
      </c>
      <c r="C64" s="53" t="s">
        <v>429</v>
      </c>
    </row>
    <row r="65" spans="1:3" x14ac:dyDescent="0.2">
      <c r="A65" t="s">
        <v>46</v>
      </c>
      <c r="B65" t="s">
        <v>47</v>
      </c>
      <c r="C65" s="53" t="s">
        <v>429</v>
      </c>
    </row>
    <row r="66" spans="1:3" x14ac:dyDescent="0.2">
      <c r="A66" t="s">
        <v>60</v>
      </c>
      <c r="B66" t="s">
        <v>61</v>
      </c>
      <c r="C66" s="53" t="s">
        <v>429</v>
      </c>
    </row>
    <row r="67" spans="1:3" x14ac:dyDescent="0.2">
      <c r="A67" t="s">
        <v>64</v>
      </c>
      <c r="B67" s="7" t="s">
        <v>65</v>
      </c>
      <c r="C67" s="53" t="s">
        <v>429</v>
      </c>
    </row>
    <row r="68" spans="1:3" x14ac:dyDescent="0.2">
      <c r="A68" s="15" t="s">
        <v>433</v>
      </c>
      <c r="B68" s="54" t="s">
        <v>434</v>
      </c>
      <c r="C68" s="53" t="s">
        <v>429</v>
      </c>
    </row>
    <row r="69" spans="1:3" x14ac:dyDescent="0.2">
      <c r="A69" t="s">
        <v>59</v>
      </c>
      <c r="B69" s="7" t="s">
        <v>7</v>
      </c>
      <c r="C69" s="53" t="s">
        <v>429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Zeiterfassung</vt:lpstr>
      <vt:lpstr>Projekt</vt:lpstr>
      <vt:lpstr>ProjektCode</vt:lpstr>
    </vt:vector>
  </TitlesOfParts>
  <Company>IMS Health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T49GSRB</dc:creator>
  <cp:lastModifiedBy>thorsten</cp:lastModifiedBy>
  <cp:lastPrinted>2014-10-30T17:32:02Z</cp:lastPrinted>
  <dcterms:created xsi:type="dcterms:W3CDTF">2003-05-27T15:55:38Z</dcterms:created>
  <dcterms:modified xsi:type="dcterms:W3CDTF">2016-02-22T08:33:49Z</dcterms:modified>
</cp:coreProperties>
</file>