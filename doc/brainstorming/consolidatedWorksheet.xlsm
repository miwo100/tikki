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4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autoCompressPictures="0"/>
  <mc:AlternateContent xmlns:mc="http://schemas.openxmlformats.org/markup-compatibility/2006">
    <mc:Choice Requires="x15">
      <x15ac:absPath xmlns:x15ac="http://schemas.microsoft.com/office/spreadsheetml/2010/11/ac" url="C:\Users\michael\Dropbox\Elke\"/>
    </mc:Choice>
  </mc:AlternateContent>
  <bookViews>
    <workbookView xWindow="0" yWindow="1500" windowWidth="24240" windowHeight="13740"/>
  </bookViews>
  <sheets>
    <sheet name="Januar" sheetId="1" r:id="rId1"/>
    <sheet name="Projekt" sheetId="2" r:id="rId2"/>
    <sheet name="Report" sheetId="9" r:id="rId3"/>
    <sheet name="Kalkulator Aufwände" sheetId="20" r:id="rId4"/>
    <sheet name="Kalkulator Allgemeine Aufwände" sheetId="21" r:id="rId5"/>
    <sheet name="DA Calculator Aufwände" sheetId="22" r:id="rId6"/>
    <sheet name="Kalkulator Taetigkeiten" sheetId="15" r:id="rId7"/>
    <sheet name="Kalkulator Dashboard" sheetId="18" r:id="rId8"/>
    <sheet name="Sprint Februar 2016" sheetId="26" r:id="rId9"/>
    <sheet name="Sprint Dezember" sheetId="25" r:id="rId10"/>
    <sheet name="Sprint November" sheetId="24" r:id="rId11"/>
    <sheet name="Sprint Oktober" sheetId="23" r:id="rId12"/>
    <sheet name="August Sprint" sheetId="17" r:id="rId13"/>
    <sheet name="Juli Sprint" sheetId="16" r:id="rId14"/>
    <sheet name="Juni Sprint" sheetId="13" r:id="rId15"/>
    <sheet name="Nächster Sprint" sheetId="14" r:id="rId16"/>
    <sheet name="Sprint Mai" sheetId="12" r:id="rId17"/>
    <sheet name="Sprint März" sheetId="10" r:id="rId18"/>
    <sheet name="Sprint Februar" sheetId="11" r:id="rId19"/>
  </sheets>
  <definedNames>
    <definedName name="_xlnm._FilterDatabase" localSheetId="0" hidden="1">Januar!$B$9:$M$9</definedName>
    <definedName name="_xlcn.WorksheetConnection_2015_08_ZeitErfassungDashboard.xlsmTabelle3" hidden="1">Tabelle3[]</definedName>
    <definedName name="_xlcn.WorksheetConnection_2015_08_ZeitErfassungDashboard.xlsmTabelle31" localSheetId="8" hidden="1">Tabelle3[]</definedName>
    <definedName name="KalkulatorTaetigkeiten" localSheetId="12">Tabelle8[Tätigkeitsbeschreibung]</definedName>
    <definedName name="KalkulatorTaetigkeiten" localSheetId="13">Tabelle8[Tätigkeitsbeschreibung]</definedName>
    <definedName name="KalkulatorTaetigkeiten" localSheetId="9">Tabelle8[Tätigkeitsbeschreibung]</definedName>
    <definedName name="KalkulatorTaetigkeiten" localSheetId="8">Tabelle8[Tätigkeitsbeschreibung]</definedName>
    <definedName name="KalkulatorTaetigkeiten" localSheetId="10">Tabelle8[Tätigkeitsbeschreibung]</definedName>
    <definedName name="KalkulatorTaetigkeiten" localSheetId="11">Tabelle8[Tätigkeitsbeschreibung]</definedName>
    <definedName name="KalkulatorTaetigkeiten">Tabelle8[Tätigkeitsbeschreibung]</definedName>
    <definedName name="ProjektCode" localSheetId="12">tblProjekt[cognovo Kostenstelle]</definedName>
    <definedName name="ProjektCode" localSheetId="13">tblProjekt[cognovo Kostenstelle]</definedName>
    <definedName name="ProjektCode" localSheetId="14">tblProjekt[cognovo Kostenstelle]</definedName>
    <definedName name="ProjektCode" localSheetId="15">tblProjekt[cognovo Kostenstelle]</definedName>
    <definedName name="ProjektCode" localSheetId="9">tblProjekt[cognovo Kostenstelle]</definedName>
    <definedName name="ProjektCode" localSheetId="18">tblProjekt[cognovo Kostenstelle]</definedName>
    <definedName name="ProjektCode" localSheetId="8">tblProjekt[cognovo Kostenstelle]</definedName>
    <definedName name="ProjektCode" localSheetId="16">tblProjekt[cognovo Kostenstelle]</definedName>
    <definedName name="ProjektCode" localSheetId="10">tblProjekt[cognovo Kostenstelle]</definedName>
    <definedName name="ProjektCode" localSheetId="11">tblProjekt[cognovo Kostenstelle]</definedName>
    <definedName name="ProjektCode">tblProjekt[cognovo Kostenstelle]</definedName>
    <definedName name="test" localSheetId="9">Tabelle8[Tätigkeitsbeschreibung]</definedName>
    <definedName name="test" localSheetId="8">Tabelle8[Tätigkeitsbeschreibung]</definedName>
    <definedName name="test" localSheetId="10">Tabelle8[Tätigkeitsbeschreibung]</definedName>
    <definedName name="test">Tabelle8[Tätigkeitsbeschreibung]</definedName>
    <definedName name="test1000" localSheetId="8">tblProjekt[cognovo Kostenstelle]</definedName>
    <definedName name="test1000">tblProjekt[cognovo Kostenstelle]</definedName>
    <definedName name="test2" localSheetId="9">tblProjekt[cognovo Kostenstelle]</definedName>
    <definedName name="test2" localSheetId="8">tblProjekt[cognovo Kostenstelle]</definedName>
    <definedName name="test2" localSheetId="10">tblProjekt[cognovo Kostenstelle]</definedName>
    <definedName name="test2">tblProjekt[cognovo Kostenstelle]</definedName>
    <definedName name="test3" localSheetId="8">Tabelle8[Tätigkeitsbeschreibung]</definedName>
    <definedName name="test3">Tabelle8[Tätigkeitsbeschreibung]</definedName>
  </definedNames>
  <calcPr calcId="152511"/>
  <pivotCaches>
    <pivotCache cacheId="0" r:id="rId20"/>
    <pivotCache cacheId="1" r:id="rId21"/>
    <pivotCache cacheId="2" r:id="rId22"/>
    <pivotCache cacheId="3" r:id="rId23"/>
  </pivotCaches>
  <extLst>
    <ext xmlns:x15="http://schemas.microsoft.com/office/spreadsheetml/2010/11/main" uri="{FCE2AD5D-F65C-4FA6-A056-5C36A1767C68}">
      <x15:dataModel>
        <x15:modelTables>
          <x15:modelTable id="Tabelle3-e0ed31f8-4124-4100-8f86-1d4121661ffa" name="Tabelle3" connection="WorksheetConnection_2015_08_ZeitErfassung+Dashboard.xlsm!Tabelle3"/>
        </x15:modelTables>
      </x15:dataModel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5" i="1" l="1"/>
  <c r="E143" i="1"/>
  <c r="E144" i="1"/>
  <c r="J143" i="1"/>
  <c r="J144" i="1"/>
  <c r="K143" i="1"/>
  <c r="K144" i="1"/>
  <c r="L143" i="1"/>
  <c r="L144" i="1"/>
  <c r="M143" i="1"/>
  <c r="M144" i="1"/>
  <c r="N143" i="1"/>
  <c r="N144" i="1"/>
  <c r="E145" i="1"/>
  <c r="J145" i="1"/>
  <c r="K145" i="1"/>
  <c r="L145" i="1"/>
  <c r="M145" i="1"/>
  <c r="N145" i="1"/>
  <c r="N137" i="1"/>
  <c r="M137" i="1"/>
  <c r="L137" i="1"/>
  <c r="K137" i="1"/>
  <c r="J137" i="1"/>
  <c r="E137" i="1"/>
  <c r="N128" i="1"/>
  <c r="M128" i="1"/>
  <c r="L128" i="1"/>
  <c r="K128" i="1"/>
  <c r="J128" i="1"/>
  <c r="E128" i="1"/>
  <c r="N125" i="1"/>
  <c r="M125" i="1"/>
  <c r="L125" i="1"/>
  <c r="K125" i="1"/>
  <c r="J125" i="1"/>
  <c r="E125" i="1"/>
  <c r="N124" i="1"/>
  <c r="M124" i="1"/>
  <c r="L124" i="1"/>
  <c r="K124" i="1"/>
  <c r="J124" i="1"/>
  <c r="E124" i="1"/>
  <c r="N142" i="1"/>
  <c r="M142" i="1"/>
  <c r="L142" i="1"/>
  <c r="K142" i="1"/>
  <c r="E142" i="1"/>
  <c r="N141" i="1"/>
  <c r="M141" i="1"/>
  <c r="L141" i="1"/>
  <c r="K141" i="1"/>
  <c r="J141" i="1"/>
  <c r="E141" i="1"/>
  <c r="N140" i="1"/>
  <c r="M140" i="1"/>
  <c r="L140" i="1"/>
  <c r="K140" i="1"/>
  <c r="J140" i="1"/>
  <c r="E140" i="1"/>
  <c r="N138" i="1"/>
  <c r="M138" i="1"/>
  <c r="L138" i="1"/>
  <c r="K138" i="1"/>
  <c r="J138" i="1"/>
  <c r="E138" i="1"/>
  <c r="N136" i="1"/>
  <c r="M136" i="1"/>
  <c r="L136" i="1"/>
  <c r="K136" i="1"/>
  <c r="E136" i="1"/>
  <c r="N139" i="1"/>
  <c r="M139" i="1"/>
  <c r="L139" i="1"/>
  <c r="K139" i="1"/>
  <c r="J139" i="1"/>
  <c r="E139" i="1"/>
  <c r="N133" i="1"/>
  <c r="M133" i="1"/>
  <c r="L133" i="1"/>
  <c r="K133" i="1"/>
  <c r="J133" i="1"/>
  <c r="E133" i="1"/>
  <c r="N130" i="1"/>
  <c r="M130" i="1"/>
  <c r="L130" i="1"/>
  <c r="K130" i="1"/>
  <c r="J130" i="1"/>
  <c r="E130" i="1"/>
  <c r="N129" i="1"/>
  <c r="M129" i="1"/>
  <c r="L129" i="1"/>
  <c r="K129" i="1"/>
  <c r="J129" i="1"/>
  <c r="E129" i="1"/>
  <c r="N127" i="1"/>
  <c r="M127" i="1"/>
  <c r="L127" i="1"/>
  <c r="K127" i="1"/>
  <c r="J127" i="1"/>
  <c r="E127" i="1"/>
  <c r="N126" i="1"/>
  <c r="M126" i="1"/>
  <c r="L126" i="1"/>
  <c r="K126" i="1"/>
  <c r="J126" i="1"/>
  <c r="E126" i="1"/>
  <c r="N123" i="1"/>
  <c r="M123" i="1"/>
  <c r="L123" i="1"/>
  <c r="K123" i="1"/>
  <c r="J123" i="1"/>
  <c r="E123" i="1"/>
  <c r="N122" i="1"/>
  <c r="M122" i="1"/>
  <c r="L122" i="1"/>
  <c r="K122" i="1"/>
  <c r="J122" i="1"/>
  <c r="E122" i="1"/>
  <c r="N121" i="1"/>
  <c r="M121" i="1"/>
  <c r="L121" i="1"/>
  <c r="K121" i="1"/>
  <c r="J121" i="1"/>
  <c r="E121" i="1"/>
  <c r="N119" i="1"/>
  <c r="M119" i="1"/>
  <c r="L119" i="1"/>
  <c r="K119" i="1"/>
  <c r="J119" i="1"/>
  <c r="E119" i="1"/>
  <c r="N118" i="1"/>
  <c r="M118" i="1"/>
  <c r="L118" i="1"/>
  <c r="K118" i="1"/>
  <c r="J118" i="1"/>
  <c r="E118" i="1"/>
  <c r="N117" i="1"/>
  <c r="M117" i="1"/>
  <c r="L117" i="1"/>
  <c r="K117" i="1"/>
  <c r="J117" i="1"/>
  <c r="E117" i="1"/>
  <c r="N115" i="1"/>
  <c r="M115" i="1"/>
  <c r="L115" i="1"/>
  <c r="K115" i="1"/>
  <c r="J115" i="1"/>
  <c r="E115" i="1"/>
  <c r="N110" i="1"/>
  <c r="M110" i="1"/>
  <c r="L110" i="1"/>
  <c r="K110" i="1"/>
  <c r="J110" i="1"/>
  <c r="E110" i="1"/>
  <c r="N111" i="1"/>
  <c r="M111" i="1"/>
  <c r="L111" i="1"/>
  <c r="K111" i="1"/>
  <c r="J111" i="1"/>
  <c r="E111" i="1"/>
  <c r="N109" i="1"/>
  <c r="M109" i="1"/>
  <c r="L109" i="1"/>
  <c r="K109" i="1"/>
  <c r="J109" i="1"/>
  <c r="E109" i="1"/>
  <c r="N108" i="1"/>
  <c r="M108" i="1"/>
  <c r="L108" i="1"/>
  <c r="K108" i="1"/>
  <c r="J108" i="1"/>
  <c r="E108" i="1"/>
  <c r="N107" i="1"/>
  <c r="M107" i="1"/>
  <c r="L107" i="1"/>
  <c r="K107" i="1"/>
  <c r="J107" i="1"/>
  <c r="E107" i="1"/>
  <c r="N106" i="1"/>
  <c r="M106" i="1"/>
  <c r="L106" i="1"/>
  <c r="K106" i="1"/>
  <c r="J106" i="1"/>
  <c r="E106" i="1"/>
  <c r="N102" i="1"/>
  <c r="M102" i="1"/>
  <c r="L102" i="1"/>
  <c r="K102" i="1"/>
  <c r="J102" i="1"/>
  <c r="E102" i="1"/>
  <c r="N101" i="1"/>
  <c r="M101" i="1"/>
  <c r="L101" i="1"/>
  <c r="K101" i="1"/>
  <c r="J101" i="1"/>
  <c r="E101" i="1"/>
  <c r="N99" i="1"/>
  <c r="M99" i="1"/>
  <c r="L99" i="1"/>
  <c r="K99" i="1"/>
  <c r="J99" i="1"/>
  <c r="E99" i="1"/>
  <c r="N98" i="1"/>
  <c r="M98" i="1"/>
  <c r="L98" i="1"/>
  <c r="K98" i="1"/>
  <c r="J98" i="1"/>
  <c r="E98" i="1"/>
  <c r="N97" i="1"/>
  <c r="M97" i="1"/>
  <c r="L97" i="1"/>
  <c r="K97" i="1"/>
  <c r="J97" i="1"/>
  <c r="E97" i="1"/>
  <c r="N96" i="1"/>
  <c r="M96" i="1"/>
  <c r="L96" i="1"/>
  <c r="K96" i="1"/>
  <c r="J96" i="1"/>
  <c r="E96" i="1"/>
  <c r="N95" i="1"/>
  <c r="M95" i="1"/>
  <c r="L95" i="1"/>
  <c r="K95" i="1"/>
  <c r="J95" i="1"/>
  <c r="E95" i="1"/>
  <c r="N94" i="1"/>
  <c r="M94" i="1"/>
  <c r="L94" i="1"/>
  <c r="K94" i="1"/>
  <c r="J94" i="1"/>
  <c r="E94" i="1"/>
  <c r="N93" i="1"/>
  <c r="M93" i="1"/>
  <c r="L93" i="1"/>
  <c r="K93" i="1"/>
  <c r="J93" i="1"/>
  <c r="E93" i="1"/>
  <c r="N92" i="1"/>
  <c r="M92" i="1"/>
  <c r="L92" i="1"/>
  <c r="K92" i="1"/>
  <c r="J92" i="1"/>
  <c r="E92" i="1"/>
  <c r="N91" i="1"/>
  <c r="M91" i="1"/>
  <c r="L91" i="1"/>
  <c r="K91" i="1"/>
  <c r="J91" i="1"/>
  <c r="E91" i="1"/>
  <c r="N90" i="1"/>
  <c r="M90" i="1"/>
  <c r="L90" i="1"/>
  <c r="K90" i="1"/>
  <c r="J90" i="1"/>
  <c r="E90" i="1"/>
  <c r="N89" i="1"/>
  <c r="M89" i="1"/>
  <c r="L89" i="1"/>
  <c r="K89" i="1"/>
  <c r="J89" i="1"/>
  <c r="E89" i="1"/>
  <c r="N88" i="1"/>
  <c r="M88" i="1"/>
  <c r="L88" i="1"/>
  <c r="K88" i="1"/>
  <c r="J88" i="1"/>
  <c r="E88" i="1"/>
  <c r="N87" i="1"/>
  <c r="M87" i="1"/>
  <c r="L87" i="1"/>
  <c r="K87" i="1"/>
  <c r="J87" i="1"/>
  <c r="E87" i="1"/>
  <c r="N86" i="1"/>
  <c r="M86" i="1"/>
  <c r="L86" i="1"/>
  <c r="K86" i="1"/>
  <c r="J86" i="1"/>
  <c r="E86" i="1"/>
  <c r="N84" i="1"/>
  <c r="M84" i="1"/>
  <c r="L84" i="1"/>
  <c r="K84" i="1"/>
  <c r="J84" i="1"/>
  <c r="E84" i="1"/>
  <c r="N85" i="1"/>
  <c r="M85" i="1"/>
  <c r="L85" i="1"/>
  <c r="K85" i="1"/>
  <c r="J85" i="1"/>
  <c r="E85" i="1"/>
  <c r="N83" i="1"/>
  <c r="M83" i="1"/>
  <c r="L83" i="1"/>
  <c r="K83" i="1"/>
  <c r="J83" i="1"/>
  <c r="E83" i="1"/>
  <c r="N82" i="1"/>
  <c r="M82" i="1"/>
  <c r="L82" i="1"/>
  <c r="K82" i="1"/>
  <c r="J82" i="1"/>
  <c r="E82" i="1"/>
  <c r="N81" i="1"/>
  <c r="M81" i="1"/>
  <c r="L81" i="1"/>
  <c r="K81" i="1"/>
  <c r="J81" i="1"/>
  <c r="E81" i="1"/>
  <c r="N135" i="1"/>
  <c r="M135" i="1"/>
  <c r="L135" i="1"/>
  <c r="K135" i="1"/>
  <c r="J135" i="1"/>
  <c r="E135" i="1"/>
  <c r="N134" i="1"/>
  <c r="M134" i="1"/>
  <c r="L134" i="1"/>
  <c r="K134" i="1"/>
  <c r="J134" i="1"/>
  <c r="E134" i="1"/>
  <c r="N132" i="1"/>
  <c r="M132" i="1"/>
  <c r="L132" i="1"/>
  <c r="K132" i="1"/>
  <c r="J132" i="1"/>
  <c r="E132" i="1"/>
  <c r="N131" i="1"/>
  <c r="M131" i="1"/>
  <c r="L131" i="1"/>
  <c r="K131" i="1"/>
  <c r="J131" i="1"/>
  <c r="E131" i="1"/>
  <c r="E103" i="1"/>
  <c r="J103" i="1"/>
  <c r="K103" i="1"/>
  <c r="L103" i="1"/>
  <c r="M103" i="1"/>
  <c r="N103" i="1"/>
  <c r="N120" i="1"/>
  <c r="M120" i="1"/>
  <c r="L120" i="1"/>
  <c r="K120" i="1"/>
  <c r="J120" i="1"/>
  <c r="E120" i="1"/>
  <c r="N116" i="1"/>
  <c r="M116" i="1"/>
  <c r="L116" i="1"/>
  <c r="K116" i="1"/>
  <c r="J116" i="1"/>
  <c r="E116" i="1"/>
  <c r="N114" i="1"/>
  <c r="M114" i="1"/>
  <c r="L114" i="1"/>
  <c r="K114" i="1"/>
  <c r="J114" i="1"/>
  <c r="E114" i="1"/>
  <c r="N113" i="1"/>
  <c r="M113" i="1"/>
  <c r="L113" i="1"/>
  <c r="K113" i="1"/>
  <c r="J113" i="1"/>
  <c r="E113" i="1"/>
  <c r="N112" i="1"/>
  <c r="M112" i="1"/>
  <c r="L112" i="1"/>
  <c r="K112" i="1"/>
  <c r="J112" i="1"/>
  <c r="E112" i="1"/>
  <c r="N105" i="1"/>
  <c r="M105" i="1"/>
  <c r="L105" i="1"/>
  <c r="K105" i="1"/>
  <c r="J105" i="1"/>
  <c r="E105" i="1"/>
  <c r="N104" i="1"/>
  <c r="M104" i="1"/>
  <c r="L104" i="1"/>
  <c r="K104" i="1"/>
  <c r="J104" i="1"/>
  <c r="E104" i="1"/>
  <c r="N100" i="1"/>
  <c r="M100" i="1"/>
  <c r="L100" i="1"/>
  <c r="K100" i="1"/>
  <c r="J100" i="1"/>
  <c r="E10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6" i="1"/>
  <c r="J44" i="1"/>
  <c r="J37" i="1"/>
  <c r="J33" i="1"/>
  <c r="J29" i="1"/>
  <c r="J22" i="1"/>
  <c r="N52" i="1"/>
  <c r="M52" i="1"/>
  <c r="L52" i="1"/>
  <c r="K52" i="1"/>
  <c r="E52" i="1"/>
  <c r="N46" i="1"/>
  <c r="M46" i="1"/>
  <c r="L46" i="1"/>
  <c r="K46" i="1"/>
  <c r="E46" i="1"/>
  <c r="N29" i="1"/>
  <c r="M29" i="1"/>
  <c r="L29" i="1"/>
  <c r="K29" i="1"/>
  <c r="E29" i="1"/>
  <c r="N22" i="1"/>
  <c r="M22" i="1"/>
  <c r="L22" i="1"/>
  <c r="K22" i="1"/>
  <c r="E22" i="1"/>
  <c r="N54" i="1"/>
  <c r="M54" i="1"/>
  <c r="L54" i="1"/>
  <c r="K54" i="1"/>
  <c r="E54" i="1"/>
  <c r="N49" i="1"/>
  <c r="M49" i="1"/>
  <c r="L49" i="1"/>
  <c r="K49" i="1"/>
  <c r="E49" i="1"/>
  <c r="N44" i="1"/>
  <c r="M44" i="1"/>
  <c r="L44" i="1"/>
  <c r="K44" i="1"/>
  <c r="E44" i="1"/>
  <c r="N37" i="1"/>
  <c r="M37" i="1"/>
  <c r="L37" i="1"/>
  <c r="K37" i="1"/>
  <c r="E37" i="1"/>
  <c r="N11" i="1"/>
  <c r="M11" i="1"/>
  <c r="L11" i="1"/>
  <c r="K11" i="1"/>
  <c r="J11" i="1"/>
  <c r="E11" i="1"/>
  <c r="N79" i="1"/>
  <c r="M79" i="1"/>
  <c r="L79" i="1"/>
  <c r="K79" i="1"/>
  <c r="J79" i="1"/>
  <c r="E79" i="1"/>
  <c r="N77" i="1"/>
  <c r="M77" i="1"/>
  <c r="L77" i="1"/>
  <c r="K77" i="1"/>
  <c r="J77" i="1"/>
  <c r="E77" i="1"/>
  <c r="N75" i="1"/>
  <c r="M75" i="1"/>
  <c r="L75" i="1"/>
  <c r="K75" i="1"/>
  <c r="J75" i="1"/>
  <c r="E75" i="1"/>
  <c r="N74" i="1"/>
  <c r="M74" i="1"/>
  <c r="L74" i="1"/>
  <c r="K74" i="1"/>
  <c r="J74" i="1"/>
  <c r="E74" i="1"/>
  <c r="N73" i="1"/>
  <c r="M73" i="1"/>
  <c r="L73" i="1"/>
  <c r="K73" i="1"/>
  <c r="J73" i="1"/>
  <c r="E73" i="1"/>
  <c r="N71" i="1"/>
  <c r="M71" i="1"/>
  <c r="L71" i="1"/>
  <c r="K71" i="1"/>
  <c r="J71" i="1"/>
  <c r="E71" i="1"/>
  <c r="N69" i="1"/>
  <c r="M69" i="1"/>
  <c r="L69" i="1"/>
  <c r="K69" i="1"/>
  <c r="E69" i="1"/>
  <c r="N65" i="1"/>
  <c r="M65" i="1"/>
  <c r="L65" i="1"/>
  <c r="K65" i="1"/>
  <c r="E65" i="1"/>
  <c r="N64" i="1"/>
  <c r="M64" i="1"/>
  <c r="L64" i="1"/>
  <c r="K64" i="1"/>
  <c r="E64" i="1"/>
  <c r="N62" i="1"/>
  <c r="M62" i="1"/>
  <c r="L62" i="1"/>
  <c r="K62" i="1"/>
  <c r="E62" i="1"/>
  <c r="N59" i="1"/>
  <c r="M59" i="1"/>
  <c r="L59" i="1"/>
  <c r="K59" i="1"/>
  <c r="E59" i="1"/>
  <c r="N58" i="1"/>
  <c r="M58" i="1"/>
  <c r="L58" i="1"/>
  <c r="K58" i="1"/>
  <c r="E58" i="1"/>
  <c r="N57" i="1"/>
  <c r="M57" i="1"/>
  <c r="L57" i="1"/>
  <c r="K57" i="1"/>
  <c r="E57" i="1"/>
  <c r="N53" i="1"/>
  <c r="M53" i="1"/>
  <c r="L53" i="1"/>
  <c r="K53" i="1"/>
  <c r="E53" i="1"/>
  <c r="N51" i="1"/>
  <c r="M51" i="1"/>
  <c r="L51" i="1"/>
  <c r="K51" i="1"/>
  <c r="E51" i="1"/>
  <c r="N47" i="1"/>
  <c r="M47" i="1"/>
  <c r="L47" i="1"/>
  <c r="K47" i="1"/>
  <c r="J47" i="1"/>
  <c r="E47" i="1"/>
  <c r="N42" i="1"/>
  <c r="M42" i="1"/>
  <c r="L42" i="1"/>
  <c r="K42" i="1"/>
  <c r="J42" i="1"/>
  <c r="E42" i="1"/>
  <c r="N41" i="1"/>
  <c r="M41" i="1"/>
  <c r="L41" i="1"/>
  <c r="K41" i="1"/>
  <c r="J41" i="1"/>
  <c r="E41" i="1"/>
  <c r="N40" i="1"/>
  <c r="M40" i="1"/>
  <c r="L40" i="1"/>
  <c r="K40" i="1"/>
  <c r="J40" i="1"/>
  <c r="E40" i="1"/>
  <c r="N39" i="1"/>
  <c r="M39" i="1"/>
  <c r="L39" i="1"/>
  <c r="K39" i="1"/>
  <c r="J39" i="1"/>
  <c r="E39" i="1"/>
  <c r="N36" i="1"/>
  <c r="M36" i="1"/>
  <c r="L36" i="1"/>
  <c r="K36" i="1"/>
  <c r="J36" i="1"/>
  <c r="E36" i="1"/>
  <c r="N35" i="1"/>
  <c r="M35" i="1"/>
  <c r="L35" i="1"/>
  <c r="K35" i="1"/>
  <c r="J35" i="1"/>
  <c r="E35" i="1"/>
  <c r="N33" i="1"/>
  <c r="M33" i="1"/>
  <c r="L33" i="1"/>
  <c r="K33" i="1"/>
  <c r="E33" i="1"/>
  <c r="N30" i="1"/>
  <c r="M30" i="1"/>
  <c r="L30" i="1"/>
  <c r="K30" i="1"/>
  <c r="J30" i="1"/>
  <c r="E30" i="1"/>
  <c r="N25" i="1"/>
  <c r="M25" i="1"/>
  <c r="L25" i="1"/>
  <c r="K25" i="1"/>
  <c r="J25" i="1"/>
  <c r="E25" i="1"/>
  <c r="N24" i="1"/>
  <c r="M24" i="1"/>
  <c r="L24" i="1"/>
  <c r="K24" i="1"/>
  <c r="J24" i="1"/>
  <c r="E24" i="1"/>
  <c r="N20" i="1"/>
  <c r="M20" i="1"/>
  <c r="L20" i="1"/>
  <c r="K20" i="1"/>
  <c r="J20" i="1"/>
  <c r="E20" i="1"/>
  <c r="N19" i="1"/>
  <c r="M19" i="1"/>
  <c r="L19" i="1"/>
  <c r="K19" i="1"/>
  <c r="J19" i="1"/>
  <c r="E19" i="1"/>
  <c r="N18" i="1"/>
  <c r="M18" i="1"/>
  <c r="L18" i="1"/>
  <c r="K18" i="1"/>
  <c r="J18" i="1"/>
  <c r="E18" i="1"/>
  <c r="N21" i="1"/>
  <c r="M21" i="1"/>
  <c r="L21" i="1"/>
  <c r="K21" i="1"/>
  <c r="J21" i="1"/>
  <c r="E21" i="1"/>
  <c r="N23" i="1"/>
  <c r="M23" i="1"/>
  <c r="L23" i="1"/>
  <c r="K23" i="1"/>
  <c r="J23" i="1"/>
  <c r="E23" i="1"/>
  <c r="N14" i="1"/>
  <c r="M14" i="1"/>
  <c r="L14" i="1"/>
  <c r="K14" i="1"/>
  <c r="J14" i="1"/>
  <c r="E14" i="1"/>
  <c r="N76" i="1"/>
  <c r="M76" i="1"/>
  <c r="L76" i="1"/>
  <c r="K76" i="1"/>
  <c r="J76" i="1"/>
  <c r="E76" i="1"/>
  <c r="N78" i="1"/>
  <c r="M78" i="1"/>
  <c r="L78" i="1"/>
  <c r="K78" i="1"/>
  <c r="J78" i="1"/>
  <c r="E78" i="1"/>
  <c r="N80" i="1"/>
  <c r="M80" i="1"/>
  <c r="L80" i="1"/>
  <c r="K80" i="1"/>
  <c r="J80" i="1"/>
  <c r="E80" i="1"/>
  <c r="N72" i="1"/>
  <c r="M72" i="1"/>
  <c r="L72" i="1"/>
  <c r="K72" i="1"/>
  <c r="J72" i="1"/>
  <c r="E72" i="1"/>
  <c r="N70" i="1"/>
  <c r="M70" i="1"/>
  <c r="L70" i="1"/>
  <c r="K70" i="1"/>
  <c r="J70" i="1"/>
  <c r="E70" i="1"/>
  <c r="N61" i="1"/>
  <c r="M61" i="1"/>
  <c r="L61" i="1"/>
  <c r="K61" i="1"/>
  <c r="E61" i="1"/>
  <c r="N60" i="1"/>
  <c r="M60" i="1"/>
  <c r="L60" i="1"/>
  <c r="K60" i="1"/>
  <c r="E60" i="1"/>
  <c r="N68" i="1"/>
  <c r="M68" i="1"/>
  <c r="L68" i="1"/>
  <c r="K68" i="1"/>
  <c r="E68" i="1"/>
  <c r="N67" i="1"/>
  <c r="M67" i="1"/>
  <c r="L67" i="1"/>
  <c r="K67" i="1"/>
  <c r="E67" i="1"/>
  <c r="N66" i="1"/>
  <c r="M66" i="1"/>
  <c r="L66" i="1"/>
  <c r="K66" i="1"/>
  <c r="E66" i="1"/>
  <c r="N63" i="1"/>
  <c r="M63" i="1"/>
  <c r="L63" i="1"/>
  <c r="K63" i="1"/>
  <c r="E63" i="1"/>
  <c r="N56" i="1"/>
  <c r="M56" i="1"/>
  <c r="L56" i="1"/>
  <c r="K56" i="1"/>
  <c r="E56" i="1"/>
  <c r="N55" i="1"/>
  <c r="M55" i="1"/>
  <c r="L55" i="1"/>
  <c r="K55" i="1"/>
  <c r="E55" i="1"/>
  <c r="N50" i="1"/>
  <c r="M50" i="1"/>
  <c r="L50" i="1"/>
  <c r="K50" i="1"/>
  <c r="E50" i="1"/>
  <c r="N48" i="1"/>
  <c r="M48" i="1"/>
  <c r="L48" i="1"/>
  <c r="K48" i="1"/>
  <c r="E48" i="1"/>
  <c r="N34" i="1"/>
  <c r="L34" i="1"/>
  <c r="K34" i="1"/>
  <c r="J34" i="1"/>
  <c r="E34" i="1"/>
  <c r="N27" i="1"/>
  <c r="L27" i="1"/>
  <c r="K27" i="1"/>
  <c r="J27" i="1"/>
  <c r="E27" i="1"/>
  <c r="N45" i="1"/>
  <c r="L45" i="1"/>
  <c r="K45" i="1"/>
  <c r="J45" i="1"/>
  <c r="E45" i="1"/>
  <c r="N28" i="1"/>
  <c r="M28" i="1"/>
  <c r="L28" i="1"/>
  <c r="K28" i="1"/>
  <c r="J28" i="1"/>
  <c r="E28" i="1"/>
  <c r="N32" i="1"/>
  <c r="L32" i="1"/>
  <c r="K32" i="1"/>
  <c r="J32" i="1"/>
  <c r="E32" i="1"/>
  <c r="N43" i="1"/>
  <c r="L43" i="1"/>
  <c r="K43" i="1"/>
  <c r="J43" i="1"/>
  <c r="E43" i="1"/>
  <c r="N38" i="1"/>
  <c r="M38" i="1"/>
  <c r="L38" i="1"/>
  <c r="K38" i="1"/>
  <c r="J38" i="1"/>
  <c r="E38" i="1"/>
  <c r="N31" i="1"/>
  <c r="M31" i="1"/>
  <c r="L31" i="1"/>
  <c r="K31" i="1"/>
  <c r="J31" i="1"/>
  <c r="E31" i="1"/>
  <c r="N17" i="1"/>
  <c r="M17" i="1"/>
  <c r="L17" i="1"/>
  <c r="K17" i="1"/>
  <c r="J17" i="1"/>
  <c r="E17" i="1"/>
  <c r="N15" i="1"/>
  <c r="M15" i="1"/>
  <c r="L15" i="1"/>
  <c r="K15" i="1"/>
  <c r="J15" i="1"/>
  <c r="E15" i="1"/>
  <c r="N16" i="1"/>
  <c r="M16" i="1"/>
  <c r="L16" i="1"/>
  <c r="K16" i="1"/>
  <c r="J16" i="1"/>
  <c r="E16" i="1"/>
  <c r="N26" i="1"/>
  <c r="M26" i="1"/>
  <c r="L26" i="1"/>
  <c r="K26" i="1"/>
  <c r="J26" i="1"/>
  <c r="E26" i="1"/>
  <c r="N13" i="1"/>
  <c r="M13" i="1"/>
  <c r="L13" i="1"/>
  <c r="K13" i="1"/>
  <c r="J13" i="1"/>
  <c r="E13" i="1"/>
  <c r="N12" i="1"/>
  <c r="M12" i="1"/>
  <c r="L12" i="1"/>
  <c r="K12" i="1"/>
  <c r="J12" i="1"/>
  <c r="E12" i="1"/>
  <c r="N10" i="1"/>
  <c r="M10" i="1"/>
  <c r="L10" i="1"/>
  <c r="K10" i="1"/>
  <c r="J10" i="1"/>
  <c r="E10" i="1"/>
  <c r="B44" i="20"/>
  <c r="C44" i="20"/>
  <c r="N44" i="20" s="1"/>
  <c r="D44" i="20"/>
  <c r="E44" i="20"/>
  <c r="F44" i="20"/>
  <c r="G44" i="20"/>
  <c r="H44" i="20"/>
  <c r="I44" i="20"/>
  <c r="J44" i="20"/>
  <c r="K44" i="20"/>
  <c r="L44" i="20"/>
  <c r="M44" i="20"/>
  <c r="J45" i="20" l="1"/>
  <c r="I45" i="20"/>
  <c r="D45" i="20"/>
  <c r="B45" i="20"/>
  <c r="L45" i="20"/>
  <c r="C45" i="20"/>
  <c r="F45" i="20"/>
  <c r="G45" i="20"/>
  <c r="K45" i="20"/>
  <c r="H45" i="20"/>
  <c r="M45" i="20"/>
  <c r="E45" i="20"/>
</calcChain>
</file>

<file path=xl/connections.xml><?xml version="1.0" encoding="utf-8"?>
<connections xmlns="http://schemas.openxmlformats.org/spreadsheetml/2006/main">
  <connection id="1" keepAlive="1" name="ThisWorkbookDataModel" description="Datenmodell" type="5" refreshedVersion="5" minRefreshableVersion="5" background="1">
    <dbPr connection="Data Model Connection" command="Model" commandType="1"/>
    <olapPr sendLocale="1" rowDrillCount="1000" serverFill="0" serverNumberFormat="0" serverFont="0" serverFontColor="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2015_08_ZeitErfassung+Dashboard.xlsm!Tabelle3" type="102" refreshedVersion="5" minRefreshableVersion="5">
    <extLst>
      <ext xmlns:x15="http://schemas.microsoft.com/office/spreadsheetml/2010/11/main" uri="{DE250136-89BD-433C-8126-D09CA5730AF9}">
        <x15:connection id="Tabelle3-e0ed31f8-4124-4100-8f86-1d4121661ffa" autoDelete="1">
          <x15:rangePr sourceName="_xlcn.WorksheetConnection_2015_08_ZeitErfassungDashboard.xlsmTabelle3"/>
        </x15:connection>
      </ext>
    </extLst>
  </connection>
</connections>
</file>

<file path=xl/sharedStrings.xml><?xml version="1.0" encoding="utf-8"?>
<sst xmlns="http://schemas.openxmlformats.org/spreadsheetml/2006/main" count="1483" uniqueCount="508">
  <si>
    <t>Powercharts</t>
  </si>
  <si>
    <t>Datum</t>
  </si>
  <si>
    <t>Durchgeführte Arbeiten</t>
  </si>
  <si>
    <t>Auftragnehmer:</t>
  </si>
  <si>
    <t>IMS GmbH</t>
  </si>
  <si>
    <t>Ansprechpartner</t>
  </si>
  <si>
    <t>Runkel</t>
  </si>
  <si>
    <t>Voigt</t>
  </si>
  <si>
    <t>Pechstein</t>
  </si>
  <si>
    <t>Weileder</t>
  </si>
  <si>
    <t>Despotovic</t>
  </si>
  <si>
    <t>Besteller</t>
  </si>
  <si>
    <t>Projektname</t>
  </si>
  <si>
    <t>BBH</t>
  </si>
  <si>
    <t>Sabine Borchard</t>
  </si>
  <si>
    <t>Johner</t>
  </si>
  <si>
    <t>Sdunzig</t>
  </si>
  <si>
    <t>PP2</t>
  </si>
  <si>
    <t>Salwa-Emmel</t>
  </si>
  <si>
    <t>Stada reports</t>
  </si>
  <si>
    <t>Werner</t>
  </si>
  <si>
    <t>PurchaseOrderNumber</t>
  </si>
  <si>
    <t>Rechnungsempfänger</t>
  </si>
  <si>
    <t>Bemerkung</t>
  </si>
  <si>
    <t>Projekt Code</t>
  </si>
  <si>
    <t>Produktionsportal 2</t>
  </si>
  <si>
    <t>Taunus</t>
  </si>
  <si>
    <t>Powercharts Win7</t>
  </si>
  <si>
    <t>PCHWIN7</t>
  </si>
  <si>
    <t>CALCCHA</t>
  </si>
  <si>
    <t>CHA Calculator</t>
  </si>
  <si>
    <t>PO Nummer</t>
  </si>
  <si>
    <t>Sandra Despotovic</t>
  </si>
  <si>
    <t>Roland Borchard</t>
  </si>
  <si>
    <t>Tanja Geiger</t>
  </si>
  <si>
    <t>Birgit Schilly</t>
  </si>
  <si>
    <t>Powerspreadsheet Win7</t>
  </si>
  <si>
    <t>PSPRWIN</t>
  </si>
  <si>
    <t>Austria Calculator</t>
  </si>
  <si>
    <t>4300043553</t>
  </si>
  <si>
    <t>CALCOTCMEDIA</t>
  </si>
  <si>
    <t>OTC Media Calculator</t>
  </si>
  <si>
    <t>BETTUPD</t>
  </si>
  <si>
    <t>Bettenupdate</t>
  </si>
  <si>
    <t>Interaktiver L'Oreal report</t>
  </si>
  <si>
    <t>4300042016</t>
  </si>
  <si>
    <t>L'Oreal Interaktiv</t>
  </si>
  <si>
    <t>Berichtsbesonderheiten</t>
  </si>
  <si>
    <t>TAUBOOTS</t>
  </si>
  <si>
    <t>Boots</t>
  </si>
  <si>
    <t>CM Calculator</t>
  </si>
  <si>
    <t>CALCCM</t>
  </si>
  <si>
    <t>CALCSRR</t>
  </si>
  <si>
    <t>Sales Rep Regions Calculator</t>
  </si>
  <si>
    <t>PPLORIA</t>
  </si>
  <si>
    <t>TAULORSALES</t>
  </si>
  <si>
    <t>L'Oreal Sales</t>
  </si>
  <si>
    <t>CALCNPA</t>
  </si>
  <si>
    <t>NPA Calculator</t>
  </si>
  <si>
    <t>TAUCESRA</t>
  </si>
  <si>
    <t>Cesra report</t>
  </si>
  <si>
    <t>CALCPTR</t>
  </si>
  <si>
    <t>Pharmatrend Calculator</t>
  </si>
  <si>
    <t>TAULORDISTRI</t>
  </si>
  <si>
    <t>L'Oreal Distributionsreport</t>
  </si>
  <si>
    <t>CALCDPMPSN</t>
  </si>
  <si>
    <t>TAUMEDICEPOS</t>
  </si>
  <si>
    <t>Medice Pos report</t>
  </si>
  <si>
    <t>TAUNIEHAUS</t>
  </si>
  <si>
    <t>Niehaus report</t>
  </si>
  <si>
    <t>TAUGSK</t>
  </si>
  <si>
    <t>GSK Export</t>
  </si>
  <si>
    <t>CALCOTCOFFTAKE</t>
  </si>
  <si>
    <t>TAULORMICRO</t>
  </si>
  <si>
    <t>L'Oreal Micro report</t>
  </si>
  <si>
    <t>TAULORDERMO</t>
  </si>
  <si>
    <t>L'Oreal Dermocosmetics report</t>
  </si>
  <si>
    <t>TAUBIOMED</t>
  </si>
  <si>
    <t>Biomedica report</t>
  </si>
  <si>
    <t>TAUBAYER</t>
  </si>
  <si>
    <t>Bayer Dashboard</t>
  </si>
  <si>
    <t>TAUSTADA</t>
  </si>
  <si>
    <t>TAUNUTRI</t>
  </si>
  <si>
    <t>Nutricia reports</t>
  </si>
  <si>
    <t>Klosterfrau Mass Market</t>
  </si>
  <si>
    <t>TAUKFMAMA</t>
  </si>
  <si>
    <t>TAUOMRON</t>
  </si>
  <si>
    <t>Omron reports</t>
  </si>
  <si>
    <t>CALCPHS</t>
  </si>
  <si>
    <t>PHS Calculator</t>
  </si>
  <si>
    <t>TAULORSYNTH</t>
  </si>
  <si>
    <t>L'Oreal Synthese, Flash + UGK</t>
  </si>
  <si>
    <t>Status</t>
  </si>
  <si>
    <t>Zeiterfassung</t>
  </si>
  <si>
    <t>Gesamtergebnis</t>
  </si>
  <si>
    <t>DPMPSN Calculator</t>
  </si>
  <si>
    <t>cognovo Inhaber Michael Wolff</t>
  </si>
  <si>
    <t>Std.</t>
  </si>
  <si>
    <t xml:space="preserve"> </t>
  </si>
  <si>
    <r>
      <t xml:space="preserve">Berichtsmonat:     </t>
    </r>
    <r>
      <rPr>
        <sz val="11"/>
        <color theme="0"/>
        <rFont val="Calibri"/>
        <family val="2"/>
        <scheme val="minor"/>
      </rPr>
      <t>.</t>
    </r>
  </si>
  <si>
    <r>
      <t xml:space="preserve">Auftraggeber:    </t>
    </r>
    <r>
      <rPr>
        <sz val="11"/>
        <color theme="0"/>
        <rFont val="Calibri"/>
        <family val="2"/>
        <scheme val="minor"/>
      </rPr>
      <t xml:space="preserve"> .</t>
    </r>
  </si>
  <si>
    <r>
      <t xml:space="preserve">Stundenanzahl:     </t>
    </r>
    <r>
      <rPr>
        <sz val="11"/>
        <color theme="0"/>
        <rFont val="Calibri"/>
        <family val="2"/>
        <scheme val="minor"/>
      </rPr>
      <t>.</t>
    </r>
  </si>
  <si>
    <t>?</t>
  </si>
  <si>
    <t>PVTPFIZ</t>
  </si>
  <si>
    <t>TAUKFSSASEXP</t>
  </si>
  <si>
    <t>TAUBDF</t>
  </si>
  <si>
    <t>PVTBOE</t>
  </si>
  <si>
    <t>4300042018</t>
  </si>
  <si>
    <t>Ralf Runkel</t>
  </si>
  <si>
    <t>Norbert Sdunzig</t>
  </si>
  <si>
    <t>Marlen Pechstein</t>
  </si>
  <si>
    <t>Rüdiger Johner</t>
  </si>
  <si>
    <t>INTINFRA</t>
  </si>
  <si>
    <t>Infrastruktur cognovo</t>
  </si>
  <si>
    <t>INTERN</t>
  </si>
  <si>
    <t>intern keine Berechnung</t>
  </si>
  <si>
    <t>cognovo</t>
  </si>
  <si>
    <t>keiner</t>
  </si>
  <si>
    <t>Hema Gajjar</t>
  </si>
  <si>
    <t>Peter Weileder</t>
  </si>
  <si>
    <t>Powerpivot Boehringer</t>
  </si>
  <si>
    <t>Powerpivot Pfizer</t>
  </si>
  <si>
    <t>Klosterfrau SSAS Export</t>
  </si>
  <si>
    <t>Beiersdorf reports</t>
  </si>
  <si>
    <t>Julia Propp</t>
  </si>
  <si>
    <t>Borchard</t>
  </si>
  <si>
    <t>Horst</t>
  </si>
  <si>
    <t>Besprechung</t>
  </si>
  <si>
    <t>Anpassungen</t>
  </si>
  <si>
    <t>Spiegel</t>
  </si>
  <si>
    <t>Witsch</t>
  </si>
  <si>
    <t>Geiger</t>
  </si>
  <si>
    <t>Excel Export</t>
  </si>
  <si>
    <t>Crone</t>
  </si>
  <si>
    <t>Erweiterung</t>
  </si>
  <si>
    <t>Oberfläche</t>
  </si>
  <si>
    <t>Support</t>
  </si>
  <si>
    <t>Spaltenbeschriftungen</t>
  </si>
  <si>
    <t>TAUKFNAT</t>
  </si>
  <si>
    <t>Klosterfrau National</t>
  </si>
  <si>
    <t>TAUKFREG</t>
  </si>
  <si>
    <t>Klosterfrau Regio</t>
  </si>
  <si>
    <t>CALC</t>
  </si>
  <si>
    <t>Calculator übergreifend</t>
  </si>
  <si>
    <t>Sicherheit Log steht noch aus</t>
  </si>
  <si>
    <t>jedes Jahr</t>
  </si>
  <si>
    <t>Versionierung, Admin Schnittstelle, Sicherheit</t>
  </si>
  <si>
    <t>geht dieses Jahr vermutlich weiter</t>
  </si>
  <si>
    <t>User Interface optimieren</t>
  </si>
  <si>
    <t>Folienvervielfältigung</t>
  </si>
  <si>
    <t>Dashboard + Batchsteuerung aus Oberfläche</t>
  </si>
  <si>
    <t>Weiterentwicklung</t>
  </si>
  <si>
    <t>Zusammensetzung Klosterfrau, Eigen- und Vertriebsmarken</t>
  </si>
  <si>
    <t>MDXe stehen noch aus</t>
  </si>
  <si>
    <t>Kundenlisten, Testkunde</t>
  </si>
  <si>
    <t>Neue Todos zu besprechen</t>
  </si>
  <si>
    <t>geschätzter Aufwand</t>
  </si>
  <si>
    <t>STP</t>
  </si>
  <si>
    <t>Subterritory Planner</t>
  </si>
  <si>
    <t>Udo Burger</t>
  </si>
  <si>
    <t>Termin</t>
  </si>
  <si>
    <t>User Story</t>
  </si>
  <si>
    <t>Nachproduktion checken</t>
  </si>
  <si>
    <t>Adhoc Study Erkennung für CMR</t>
  </si>
  <si>
    <t>Prodkey Suche Outputcheck</t>
  </si>
  <si>
    <t>Beim Löschen auch SASMP + Nachproduktionen berücksichtigen</t>
  </si>
  <si>
    <t>Adhoc Produktionen sollen Prodesisexportzeitpunkt nicht mehr bestimmen</t>
  </si>
  <si>
    <t>Mailbenachrichtigung bei Studyfreigabe</t>
  </si>
  <si>
    <t>im neuen Plan sollen alle Produktionen auf ReadyForProd stehen</t>
  </si>
  <si>
    <t>Gesamt</t>
  </si>
  <si>
    <t>Umstellung auf Windows7</t>
  </si>
  <si>
    <t>STB Makrosegmente</t>
  </si>
  <si>
    <t>Integration von 3 STBs in ein Excel AddIn</t>
  </si>
  <si>
    <t>Veränderung der Berechnung für Listpreis</t>
  </si>
  <si>
    <t>TAUSA</t>
  </si>
  <si>
    <t>Sales Analyzer</t>
  </si>
  <si>
    <t>4300058330</t>
  </si>
  <si>
    <t>zu klären</t>
  </si>
  <si>
    <t>Claudia Herrmann</t>
  </si>
  <si>
    <t>Katharina Werner</t>
  </si>
  <si>
    <t>Cost Calculator Regional</t>
  </si>
  <si>
    <t>Cost Calculator National</t>
  </si>
  <si>
    <t>Cost Calculator übergreifend</t>
  </si>
  <si>
    <t>CH Pivot</t>
  </si>
  <si>
    <t>Projekt</t>
  </si>
  <si>
    <t>cognovo Kostenstelle</t>
  </si>
  <si>
    <t>cognovo Kostenstellenname</t>
  </si>
  <si>
    <t>brauche wir den noch ?</t>
  </si>
  <si>
    <t>cognovo Kst.Code</t>
  </si>
  <si>
    <t>cognovo Kst.Name</t>
  </si>
  <si>
    <t>Müller</t>
  </si>
  <si>
    <t>Neue Änderungsanforderungen</t>
  </si>
  <si>
    <t>kleinere Automatisierungen stehen noch aus + zugehörige Tests</t>
  </si>
  <si>
    <t>Importautomatisierung der MPTs steht noch aus</t>
  </si>
  <si>
    <t xml:space="preserve">Sales Analyzer </t>
  </si>
  <si>
    <t>Umstellung Powercharts auf SQL 2012</t>
  </si>
  <si>
    <t>n/a</t>
  </si>
  <si>
    <t>Erste Tests für Aufwandsschätzung, hieraus ergibt sich weiterer Aufwand</t>
  </si>
  <si>
    <t>einige User stories sind allerdings noch episch</t>
  </si>
  <si>
    <t>Neuer Kalkulator Schweiz</t>
  </si>
  <si>
    <t>IMS Schweiz</t>
  </si>
  <si>
    <t>noch nicht beauftragt</t>
  </si>
  <si>
    <t>CALCPHSDOC</t>
  </si>
  <si>
    <t>CALCPHSDIA</t>
  </si>
  <si>
    <t>CALCPHSPOS</t>
  </si>
  <si>
    <t>CALCRPM</t>
  </si>
  <si>
    <t>PHS DocSplit Calculator</t>
  </si>
  <si>
    <t>OTC Offtake Calculator</t>
  </si>
  <si>
    <t>PHS Diagnostics Calculator</t>
  </si>
  <si>
    <t>PHS POS Calculator</t>
  </si>
  <si>
    <t>RPM Calculator</t>
  </si>
  <si>
    <t>CALCPHSMED</t>
  </si>
  <si>
    <t>PHS Medical Calculator</t>
  </si>
  <si>
    <t>PHS Issor Calculator</t>
  </si>
  <si>
    <t>Administrationsschnittstelle</t>
  </si>
  <si>
    <t>Powercharts 2012</t>
  </si>
  <si>
    <t>Umstellung auf SSAS 2012</t>
  </si>
  <si>
    <t>weitere Kalkulatoren</t>
  </si>
  <si>
    <t>verschiedenes</t>
  </si>
  <si>
    <t>Admin Schnittstelle</t>
  </si>
  <si>
    <t>neue Kalkulatoren (erhöhte Komplexität)</t>
  </si>
  <si>
    <t>Besprechung am 20.4.</t>
  </si>
  <si>
    <t>CALCCH</t>
  </si>
  <si>
    <t>CALCISSOR</t>
  </si>
  <si>
    <t>Calculator Schweiz</t>
  </si>
  <si>
    <t>Kalkulatoren Schweiz</t>
  </si>
  <si>
    <t>HBTCheck</t>
  </si>
  <si>
    <t>HBTCHECK</t>
  </si>
  <si>
    <t>PCH2012</t>
  </si>
  <si>
    <t>Tätigkeitsbeschreibung</t>
  </si>
  <si>
    <t>MPT Import</t>
  </si>
  <si>
    <t>Speicher/Laden</t>
  </si>
  <si>
    <t>Export</t>
  </si>
  <si>
    <t>Berechnungsmodell</t>
  </si>
  <si>
    <t>Kalkulator Tätigkeit</t>
  </si>
  <si>
    <t>System</t>
  </si>
  <si>
    <t>CALCRVM</t>
  </si>
  <si>
    <t>CALCXMM</t>
  </si>
  <si>
    <t>RVM Calculator</t>
  </si>
  <si>
    <t>XMM Calculator</t>
  </si>
  <si>
    <t>HBT Check Anpassung SQL 2012</t>
  </si>
  <si>
    <t>4300062776</t>
  </si>
  <si>
    <t>HBTCHK2012</t>
  </si>
  <si>
    <t>Powercharts Anpassung SQL 2012</t>
  </si>
  <si>
    <t>CALCDA</t>
  </si>
  <si>
    <t>Disease Analyzer Calculator</t>
  </si>
  <si>
    <t>Neuer Kalkulator</t>
  </si>
  <si>
    <t>Madelung</t>
  </si>
  <si>
    <t>Calculator allgemein</t>
  </si>
  <si>
    <t>Umstrukturierung des Projekts zwecks Vereinfachung Deployment</t>
  </si>
  <si>
    <t>Vorhaltung von n Jahren</t>
  </si>
  <si>
    <t>Beim Import soll es möglich sein beliebige Jahre laden zu können</t>
  </si>
  <si>
    <t>Preisversionierung</t>
  </si>
  <si>
    <t>Alle geladenen Preise müssen versioniert werden</t>
  </si>
  <si>
    <t>4300064786</t>
  </si>
  <si>
    <t>Disease Analyzer</t>
  </si>
  <si>
    <t>Madelung/Cikes</t>
  </si>
  <si>
    <t>Druckeinstellungen Excel Export justiert</t>
  </si>
  <si>
    <t>Anforderungsanalyse</t>
  </si>
  <si>
    <t>AdminFunktion</t>
  </si>
  <si>
    <t>CALCDAALT</t>
  </si>
  <si>
    <t>Disease Analyzer falscher Entwurf</t>
  </si>
  <si>
    <t>Cost Calcualtor Disease Analyzer</t>
  </si>
  <si>
    <t>Kerstin Bode-Greul</t>
  </si>
  <si>
    <t>Aufwand für falsche Calculator Vorlage</t>
  </si>
  <si>
    <t>4300064785</t>
  </si>
  <si>
    <t>CALCLRX</t>
  </si>
  <si>
    <t>LRx Calculator</t>
  </si>
  <si>
    <t>4300064787</t>
  </si>
  <si>
    <t>Cost Calculator LRx</t>
  </si>
  <si>
    <t>Vervollständigung Anpassung 2012 + weitere Anpassungen</t>
  </si>
  <si>
    <t>wurde im Juni noch nicht begonnen</t>
  </si>
  <si>
    <t>konnte im Juni noch nicht begonnen werden</t>
  </si>
  <si>
    <t>Cesra Anpassungen</t>
  </si>
  <si>
    <t>nicht inbegriffen sind der Zusatzaufwand für MPT Import, Jahresmodell und Preisversionierung</t>
  </si>
  <si>
    <t>PP2ACC</t>
  </si>
  <si>
    <t>PP2 Accessibility</t>
  </si>
  <si>
    <t>Uwe Gruhn</t>
  </si>
  <si>
    <t>Gruhn</t>
  </si>
  <si>
    <t>Test</t>
  </si>
  <si>
    <t>4300065760</t>
  </si>
  <si>
    <t>CALCHOS</t>
  </si>
  <si>
    <t>Hospital Calculator</t>
  </si>
  <si>
    <t>4300065717</t>
  </si>
  <si>
    <t>Cost Calculator Hospital</t>
  </si>
  <si>
    <t>Layoutänderungen Powercharts 2015 SA + CHA</t>
  </si>
  <si>
    <t>Neuer  Kalkulator DA Workstation</t>
  </si>
  <si>
    <t>Cikes</t>
  </si>
  <si>
    <t>Jahresmodell, Preisversionierung</t>
  </si>
  <si>
    <t>Fertigstellung des Kalkulators</t>
  </si>
  <si>
    <t>Marlies Spiegel</t>
  </si>
  <si>
    <t xml:space="preserve">Marlies Spiegel </t>
  </si>
  <si>
    <t>Kerstin Bode-Greuel</t>
  </si>
  <si>
    <t>4300064783</t>
  </si>
  <si>
    <t>CALCDAWS</t>
  </si>
  <si>
    <t>Disease Analyzer Workstation</t>
  </si>
  <si>
    <t>CALCDAAH</t>
  </si>
  <si>
    <t>Disease Analyzer Adhoc</t>
  </si>
  <si>
    <t>CALCCOMMON</t>
  </si>
  <si>
    <t>CALCADMIN</t>
  </si>
  <si>
    <t>Calculator Allgemein</t>
  </si>
  <si>
    <t>Calculator Admin Schnittstelle</t>
  </si>
  <si>
    <t>Kosten, die nicht pro Kalkulator ausgewiesen sind, z.B. Arbeiten an 10 Kalk gleichzeitig 3 Stunden</t>
  </si>
  <si>
    <t>CALCREFACT</t>
  </si>
  <si>
    <t>Calculator Refactoring</t>
  </si>
  <si>
    <t>Umstrukturierung aller Kalkulatoren</t>
  </si>
  <si>
    <t>Versionierung, Admin Schnittstelle, Sicherheit: wird nicht mehr verwendet</t>
  </si>
  <si>
    <t>Jahr</t>
  </si>
  <si>
    <t>(Mehrere Elemente)</t>
  </si>
  <si>
    <t>Summe von Std.</t>
  </si>
  <si>
    <t>Direkte Aufwände sind unter CALC gebuchte Aufwände, die den Kalkulatoren zuzurechnen sind, da sie bei jedem neuen Kalkulator erneut anfallen</t>
  </si>
  <si>
    <t>Durchschnittswert</t>
  </si>
  <si>
    <t>Direkte Aufwände</t>
  </si>
  <si>
    <t>Übersicht aller Kalkulatoraufwände inklusive der Direktaufwände</t>
  </si>
  <si>
    <t>Übersicht allgemeiner Aufwände*</t>
  </si>
  <si>
    <t>*allgemeine Aufwände fallen bei neuen Kalkulatoren nicht mehr an</t>
  </si>
  <si>
    <t>Calculator Direkter Aufwand</t>
  </si>
  <si>
    <t>2015</t>
  </si>
  <si>
    <t>Entwurf</t>
  </si>
  <si>
    <t>PCHSALO</t>
  </si>
  <si>
    <t>Powercharts SA Layout Anpassungen</t>
  </si>
  <si>
    <t>Powercharts Layout Anpassungen</t>
  </si>
  <si>
    <t>PCHCHALO</t>
  </si>
  <si>
    <t>Powercharts CHA Layout Anpassungen</t>
  </si>
  <si>
    <t>Szenariorechnung</t>
  </si>
  <si>
    <t>Datenbank</t>
  </si>
  <si>
    <t>4300068060</t>
  </si>
  <si>
    <t>4300067616</t>
  </si>
  <si>
    <t>4300067760</t>
  </si>
  <si>
    <t>offen</t>
  </si>
  <si>
    <t>n.n.</t>
  </si>
  <si>
    <t>erledigt</t>
  </si>
  <si>
    <t>Schwarz</t>
  </si>
  <si>
    <t>Schulung</t>
  </si>
  <si>
    <t>Installation</t>
  </si>
  <si>
    <t>CALCAUSTRIA</t>
  </si>
  <si>
    <t>Calculator Österreich, allgemein</t>
  </si>
  <si>
    <t>Johner/Baumgartner</t>
  </si>
  <si>
    <t>PP3</t>
  </si>
  <si>
    <t>Produktionsportal 3</t>
  </si>
  <si>
    <t>Baumgartner/Johner</t>
  </si>
  <si>
    <t xml:space="preserve">PP3 </t>
  </si>
  <si>
    <t>AustriaCalculator</t>
  </si>
  <si>
    <t>Block 2 Angebotsphase für Erweiterungen, Umfang voraussichtlich &lt; 100</t>
  </si>
  <si>
    <t>Block 1 Datenanpassungen Angebotsphase voraussichtlich &lt; 50</t>
  </si>
  <si>
    <t>Anpassungen Kalkulator DA Workstation</t>
  </si>
  <si>
    <t>ALK</t>
  </si>
  <si>
    <t>Gebietsmanagement Dashboard Alk</t>
  </si>
  <si>
    <t>Andreas Horst</t>
  </si>
  <si>
    <t>CALCRELMGMT</t>
  </si>
  <si>
    <t>Calculator ReleaseManagement</t>
  </si>
  <si>
    <t>Release Management</t>
  </si>
  <si>
    <t>CALCBETRIEB</t>
  </si>
  <si>
    <t>Calculator Betriebskosten</t>
  </si>
  <si>
    <t>Konfiguration, Bereitstellung und Installation Produktionsserver</t>
  </si>
  <si>
    <t>Neue Reporting Projekt für ALK</t>
  </si>
  <si>
    <t>NOVO</t>
  </si>
  <si>
    <t>Performance Tuning wegen Server Umzugs</t>
  </si>
  <si>
    <t>von Tmeout auf unter eine halbe Stunde</t>
  </si>
  <si>
    <t>Köhnke</t>
  </si>
  <si>
    <t>Cubeerstellung</t>
  </si>
  <si>
    <t>Einrichtung</t>
  </si>
  <si>
    <t>Projektmanagement</t>
  </si>
  <si>
    <t>4300071964</t>
  </si>
  <si>
    <t>Neue Reporting Projekt für Novo Anforderungen stehen noch aus. Prototyp bereits erstellt</t>
  </si>
  <si>
    <t>Anpassung Speicher/Laden</t>
  </si>
  <si>
    <t>Letzte Tests, Erstellung neues Setup + Bereitstellung</t>
  </si>
  <si>
    <t>Online Meeting aktueller Stand Änderungen</t>
  </si>
  <si>
    <t>MPT Import angepasst</t>
  </si>
  <si>
    <t>Teilmarktdaten wurden als Gesamtmarkt importiert</t>
  </si>
  <si>
    <t>Einführung in PSA</t>
  </si>
  <si>
    <t>Bereitstellung neues Update Logging CreateCubes</t>
  </si>
  <si>
    <t>Konzeptionierung Parallelisierung</t>
  </si>
  <si>
    <t>Neuer Prototyp mit Produktivdaten 2013er Version</t>
  </si>
  <si>
    <t>Neuer Prototyp mit Produktivdaten 2010er Version</t>
  </si>
  <si>
    <t>Anbindung an SMP Datenbank</t>
  </si>
  <si>
    <t>Unterstützung m-n Beziehung zwischen Produkt und Wettbewerber</t>
  </si>
  <si>
    <t>war bei den Testdaten nicht der Fall</t>
  </si>
  <si>
    <t>Das Dashboard musste komplett neu aufgebaut werden</t>
  </si>
  <si>
    <t>neue Navigation</t>
  </si>
  <si>
    <t>Systemtest</t>
  </si>
  <si>
    <t>wurde wieder verworfen</t>
  </si>
  <si>
    <t>Erweiterung ReportId auf Eindeutigkeit pro Servergruppe, Analyse der notwendigen Anpassungen</t>
  </si>
  <si>
    <t>abschließendes Feintuning</t>
  </si>
  <si>
    <t>Abschlusstest</t>
  </si>
  <si>
    <t>Besprechung Erweiterung ReportId Eindeutigkeit pro Servergruppe</t>
  </si>
  <si>
    <t>Besprechung neuer Powercharts Report</t>
  </si>
  <si>
    <t>Umstellung der Produktion auf Version Visual Studio 2013 erforderlich</t>
  </si>
  <si>
    <t>Systemtest neuer Qualicheck + Umsetzungsplanung neue Stammdatenregel</t>
  </si>
  <si>
    <t>Datenbankerstellung 11/2015 + Versionsupdate</t>
  </si>
  <si>
    <t>letzte Tests, neues Setup + Bereitstellung neue Version</t>
  </si>
  <si>
    <t>Integration neue Stammdatenregel in Freigabedialog für Study</t>
  </si>
  <si>
    <t>Anzeige neue Qualicheck result files in Web Oberfläche</t>
  </si>
  <si>
    <t>gleichzeitig Unterstützung auch der alten result files</t>
  </si>
  <si>
    <t>neuer Qualicheck</t>
  </si>
  <si>
    <t>Erstellung 10/15 Bericht</t>
  </si>
  <si>
    <t>Anforderungsanalyse, Machbarkeit und Ermittlung Aufwand</t>
  </si>
  <si>
    <t>Online Meeting</t>
  </si>
  <si>
    <t>Abklärung Qualicheck für Nachproduktionen Version &gt; 1</t>
  </si>
  <si>
    <t>Issues in MPT Import behoben</t>
  </si>
  <si>
    <t>Analyse und Umsetzungsplanung Qualicheck</t>
  </si>
  <si>
    <t>Rings</t>
  </si>
  <si>
    <t>Rückfrage und Beantwortung</t>
  </si>
  <si>
    <t>Planung der weiteren Vorgehensweise</t>
  </si>
  <si>
    <t>Analyse Fehlende Cubeerstellung für RPM Produktionen</t>
  </si>
  <si>
    <t>Einbau von detailliertem Logging</t>
  </si>
  <si>
    <t>kann beim nächsten Auftreten durch das detaillierte Logging besser analysiert werden</t>
  </si>
  <si>
    <t>Konzeptionierung Qualicheck</t>
  </si>
  <si>
    <t>Analyse Stammdatencheck</t>
  </si>
  <si>
    <t>Start Implementierung neuer Qualicheck</t>
  </si>
  <si>
    <t>Fortsetzung Implementieurng Qualicheck</t>
  </si>
  <si>
    <t>Implementierung Qualicheck</t>
  </si>
  <si>
    <t>abschließender Systemtest und Bugfixing</t>
  </si>
  <si>
    <t>3 Stunden Bugfixing, unser Fehler</t>
  </si>
  <si>
    <t>Systemtest und Bugfixing</t>
  </si>
  <si>
    <t>Anpassung Systemtests für neue Features Stammdaten + Qualicheck</t>
  </si>
  <si>
    <t>Produktion Bericht 11/15</t>
  </si>
  <si>
    <t>Fertigstellung Qualicheck</t>
  </si>
  <si>
    <t>Klärung offener Fragen Stammdatencheck + Start Umsetzung</t>
  </si>
  <si>
    <t>Implementierung Stammdatencheck</t>
  </si>
  <si>
    <t>Fertigstellung Stammdatencheck</t>
  </si>
  <si>
    <t>Analyse neue Issues vom 4.12.</t>
  </si>
  <si>
    <t>Anpassungen für Jahresswitch</t>
  </si>
  <si>
    <t>Versionierung und Jahresswitch</t>
  </si>
  <si>
    <t>Adminstrationsschnittstelle</t>
  </si>
  <si>
    <t>Anzeige technische Version</t>
  </si>
  <si>
    <t>Analyse UAT vom 08.01.</t>
  </si>
  <si>
    <t>Fix für neues UAT Speichern/Laden</t>
  </si>
  <si>
    <t xml:space="preserve">Anpassung Freigabe Dialog </t>
  </si>
  <si>
    <t>Stammdatenverzeichis</t>
  </si>
  <si>
    <t>erneute Tests Vergleich Testsystem mit aktuellem Entwicklungsstand</t>
  </si>
  <si>
    <t>Kelek</t>
  </si>
  <si>
    <t>Rückfragen Feliks bezüglich Server Powercharts</t>
  </si>
  <si>
    <t>Sichtbarkeit Powercharts für ffmaadmincha auf ffmssql030</t>
  </si>
  <si>
    <t>Support Installation ffmssql031 und Rückfragen Feliks bezüglich Deinstallation</t>
  </si>
  <si>
    <t>Anpassung der Reihenfolgen Markt und Produktparameter</t>
  </si>
  <si>
    <t>Bereitstellung neue Version auf 030</t>
  </si>
  <si>
    <t>4300074429</t>
  </si>
  <si>
    <t>4300074434</t>
  </si>
  <si>
    <t>4300074431</t>
  </si>
  <si>
    <t>4300074409</t>
  </si>
  <si>
    <t>4300075042</t>
  </si>
  <si>
    <t>CALCCHACHANGE</t>
  </si>
  <si>
    <t>CHA Calculator Change Request</t>
  </si>
  <si>
    <t>CHA Calc Maintenance</t>
  </si>
  <si>
    <t>CALCXMMCHANGE</t>
  </si>
  <si>
    <t>Calculator Xponent Maintenance</t>
  </si>
  <si>
    <t>CALCDPMPSNCHANGE</t>
  </si>
  <si>
    <t>DPMPSN Calculator Change Request</t>
  </si>
  <si>
    <t>Calculator DPMPSN Maintenace</t>
  </si>
  <si>
    <t xml:space="preserve">Marlen Pechstein </t>
  </si>
  <si>
    <t>Vorbereitung, Zeitplanung Installation</t>
  </si>
  <si>
    <t>Neue Projektstruktur PP3</t>
  </si>
  <si>
    <t>Aufbau Projektstruktur PP3: Übernahme, Umbenennungen, Reorganisation</t>
  </si>
  <si>
    <t>Zusammenfassung Ergebnisse letzter UAT und Terminvereinbarung</t>
  </si>
  <si>
    <t>Vorbereitung Installations Update: Bereitstellung MPT Folder</t>
  </si>
  <si>
    <t>Vorbereitung Installations Update neue Benutzerrollen, Abstimmung</t>
  </si>
  <si>
    <t>Vorbereitung der Installtion, Konfiguration aller Folder und anderer Parameter</t>
  </si>
  <si>
    <t>Anpassung Logo und Text in Kopfzeile</t>
  </si>
  <si>
    <t>Anpassung Qualicheck Countdata</t>
  </si>
  <si>
    <t>Installation PP3 auf ffmssql016</t>
  </si>
  <si>
    <t>Anpassung(Nutzerrollen, Version, etc.) und Installation Update, Test MPT-Import und Abstimmung bezügl. Rückfragen</t>
  </si>
  <si>
    <t>Import Produktionsplan von PP2 201511</t>
  </si>
  <si>
    <t>Anpassung Qualicheck-Log Countdata</t>
  </si>
  <si>
    <t>Support Funktionsweise neuer ProductionToUnix Export</t>
  </si>
  <si>
    <t>Änderungswünsche Cube, Qualicheck</t>
  </si>
  <si>
    <t>Anpassung der Installationsroutine + Neuinstallation</t>
  </si>
  <si>
    <t>Online Meeting neues UAT inklusive Vor- und Nachbesprechung, Thorsten und Michael</t>
  </si>
  <si>
    <t>Neuer Speicherort ProductionExport</t>
  </si>
  <si>
    <t>Prüfung, Analyse 11 und 12 bzw. zugehörige Bsp Kalk. Und Abstimmung Zwischenstand</t>
  </si>
  <si>
    <t>Korrektur ATC Preis, Punkt 13</t>
  </si>
  <si>
    <t>Anpassung Änderungswünsche Roland</t>
  </si>
  <si>
    <t>Tests nach Änderungen an Speichern/Laden Logik</t>
  </si>
  <si>
    <t>Online Meeting Thorsten + Michael + Nachbereitung</t>
  </si>
  <si>
    <t>Anpassung Stammdatencheck: Erweiterung Zugriffsrechte des Web Servers</t>
  </si>
  <si>
    <t>Benennung Stammdaten Quellverzeichnis, Support</t>
  </si>
  <si>
    <t>Zusatzinformationen + Kalk. Variablen</t>
  </si>
  <si>
    <t>Berichtserstellung, manuelle Anpassungen 12/15</t>
  </si>
  <si>
    <t>Anpassung Qualicheck compact.csv nur für SUHxxx.dat und Erweiterung Kopfzeile</t>
  </si>
  <si>
    <t>Anpassung MPT Import Specialty Preisstaffel</t>
  </si>
  <si>
    <t>Vorbereitung Release Update, Erstellung Setup</t>
  </si>
  <si>
    <t>Versuch Update</t>
  </si>
  <si>
    <t>Troubleshooting, konnte mangels Berechtigungen nicht durchgeführt werden</t>
  </si>
  <si>
    <t>Erster Entwurf Service Parallelisierung</t>
  </si>
  <si>
    <t>Planung der Umsetzung +  Abstimmung</t>
  </si>
  <si>
    <t>Überarbeitung Service Parallelisierung</t>
  </si>
  <si>
    <t>Allgemeine Rückfragen und Support</t>
  </si>
  <si>
    <t>Unterstützung Import Adhoc Produktion</t>
  </si>
  <si>
    <t>Installation und Abstimmung</t>
  </si>
  <si>
    <t>Installation Update</t>
  </si>
  <si>
    <t xml:space="preserve"> Abstimmung allgemeine Vorgehensweise bei Releasewechsel</t>
  </si>
  <si>
    <t>Datenbankanpassungen letzter UAT</t>
  </si>
  <si>
    <t>Anpassungen Import Logik und Datenbankanpassungen</t>
  </si>
  <si>
    <t>Anpassungen Import Logik</t>
  </si>
  <si>
    <t>Schulung + Klärung vermeintlich falscher Preise</t>
  </si>
  <si>
    <t>Alexander Crone</t>
  </si>
  <si>
    <t>Parallelisierung Service</t>
  </si>
  <si>
    <t>Feedback steht aus</t>
  </si>
  <si>
    <t>PP3ACC</t>
  </si>
  <si>
    <t>50 ?</t>
  </si>
  <si>
    <t>gerade begonnen Entwicklungsumgebung einzurichten</t>
  </si>
  <si>
    <t>PowerchartsSA</t>
  </si>
  <si>
    <t>Kelik</t>
  </si>
  <si>
    <t>Bearbeitung letzter UAT vom 4.2.</t>
  </si>
  <si>
    <t>20?</t>
  </si>
  <si>
    <t>120?</t>
  </si>
  <si>
    <t>Novartis Nordisk Cockpit</t>
  </si>
  <si>
    <t>Novo Nordisk Dashboard Cockpit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</si>
</sst>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mm\ yyyy"/>
    <numFmt numFmtId="165" formatCode="dd/mm/yy"/>
  </numFmts>
  <fonts count="25">
    <font>
      <sz val="10"/>
      <name val="Arial"/>
    </font>
    <font>
      <b/>
      <sz val="10"/>
      <name val="Arial"/>
      <family val="2"/>
    </font>
    <font>
      <sz val="12"/>
      <name val="Arial"/>
      <family val="2"/>
    </font>
    <font>
      <b/>
      <sz val="16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1"/>
      <color rgb="FF545454"/>
      <name val="Calibri"/>
      <family val="2"/>
      <scheme val="minor"/>
    </font>
    <font>
      <b/>
      <sz val="11"/>
      <color rgb="FF545454"/>
      <name val="Calibri"/>
      <family val="2"/>
      <scheme val="minor"/>
    </font>
    <font>
      <b/>
      <sz val="8"/>
      <color rgb="FF9CB92D"/>
      <name val="Calibri"/>
      <family val="2"/>
      <scheme val="minor"/>
    </font>
    <font>
      <sz val="9"/>
      <color rgb="FF545454"/>
      <name val="Calibri"/>
      <family val="2"/>
      <scheme val="minor"/>
    </font>
    <font>
      <b/>
      <sz val="16"/>
      <color rgb="FF9CB92D"/>
      <name val="Calibri"/>
      <family val="2"/>
      <scheme val="minor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0"/>
      <color theme="1"/>
      <name val="Arial"/>
    </font>
    <font>
      <b/>
      <sz val="10"/>
      <color theme="1"/>
      <name val="Arial"/>
      <family val="2"/>
    </font>
    <font>
      <sz val="11"/>
      <name val="Calibri"/>
      <scheme val="minor"/>
    </font>
    <font>
      <sz val="11"/>
      <color rgb="FF545454"/>
      <name val="Calibri"/>
      <scheme val="minor"/>
    </font>
    <font>
      <sz val="9"/>
      <color rgb="FF545454"/>
      <name val="Calibri"/>
      <scheme val="minor"/>
    </font>
    <font>
      <b/>
      <sz val="8"/>
      <color rgb="FF9CB92D"/>
      <name val="Calibri"/>
      <scheme val="minor"/>
    </font>
    <font>
      <b/>
      <sz val="10"/>
      <color theme="1"/>
      <name val="Arial"/>
    </font>
    <font>
      <sz val="10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DCE6F1"/>
        <bgColor rgb="FFDCE6F1"/>
      </patternFill>
    </fill>
  </fills>
  <borders count="18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medium">
        <color theme="0" tint="-0.34998626667073579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1">
    <xf numFmtId="0" fontId="0" fillId="0" borderId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</cellStyleXfs>
  <cellXfs count="102">
    <xf numFmtId="0" fontId="0" fillId="0" borderId="0" xfId="0"/>
    <xf numFmtId="0" fontId="1" fillId="0" borderId="0" xfId="0" applyFont="1" applyAlignment="1">
      <alignment horizontal="left" vertical="center"/>
    </xf>
    <xf numFmtId="0" fontId="0" fillId="0" borderId="0" xfId="0" quotePrefix="1"/>
    <xf numFmtId="0" fontId="4" fillId="2" borderId="0" xfId="0" applyFont="1" applyFill="1" applyBorder="1"/>
    <xf numFmtId="0" fontId="4" fillId="2" borderId="2" xfId="0" applyFont="1" applyFill="1" applyBorder="1"/>
    <xf numFmtId="0" fontId="0" fillId="0" borderId="0" xfId="0" applyAlignment="1">
      <alignment horizontal="left"/>
    </xf>
    <xf numFmtId="0" fontId="0" fillId="0" borderId="3" xfId="0" applyBorder="1"/>
    <xf numFmtId="0" fontId="0" fillId="0" borderId="5" xfId="0" applyBorder="1"/>
    <xf numFmtId="0" fontId="0" fillId="0" borderId="4" xfId="0" applyBorder="1"/>
    <xf numFmtId="0" fontId="0" fillId="0" borderId="1" xfId="0" applyBorder="1"/>
    <xf numFmtId="0" fontId="0" fillId="0" borderId="0" xfId="0" applyBorder="1"/>
    <xf numFmtId="0" fontId="0" fillId="0" borderId="4" xfId="0" quotePrefix="1" applyBorder="1"/>
    <xf numFmtId="0" fontId="0" fillId="0" borderId="0" xfId="0" quotePrefix="1" applyBorder="1"/>
    <xf numFmtId="0" fontId="4" fillId="2" borderId="6" xfId="0" applyFont="1" applyFill="1" applyBorder="1"/>
    <xf numFmtId="0" fontId="5" fillId="0" borderId="0" xfId="0" applyFont="1"/>
    <xf numFmtId="0" fontId="2" fillId="0" borderId="0" xfId="0" applyFont="1" applyFill="1" applyAlignment="1">
      <alignment horizontal="left" vertical="center"/>
    </xf>
    <xf numFmtId="17" fontId="2" fillId="0" borderId="0" xfId="0" quotePrefix="1" applyNumberFormat="1" applyFont="1" applyFill="1" applyAlignment="1">
      <alignment horizontal="left" vertical="center"/>
    </xf>
    <xf numFmtId="0" fontId="3" fillId="0" borderId="0" xfId="0" applyFont="1" applyFill="1" applyAlignment="1">
      <alignment vertical="center" wrapText="1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vertical="center"/>
    </xf>
    <xf numFmtId="0" fontId="0" fillId="0" borderId="0" xfId="0" applyFill="1"/>
    <xf numFmtId="0" fontId="5" fillId="0" borderId="0" xfId="0" applyFont="1" applyAlignment="1">
      <alignment horizontal="left"/>
    </xf>
    <xf numFmtId="0" fontId="7" fillId="0" borderId="0" xfId="0" applyFont="1" applyFill="1" applyAlignment="1">
      <alignment horizontal="left" vertical="center"/>
    </xf>
    <xf numFmtId="0" fontId="7" fillId="0" borderId="0" xfId="0" applyFont="1" applyFill="1" applyAlignment="1">
      <alignment vertical="center"/>
    </xf>
    <xf numFmtId="17" fontId="7" fillId="0" borderId="0" xfId="0" quotePrefix="1" applyNumberFormat="1" applyFont="1" applyFill="1" applyAlignment="1">
      <alignment horizontal="left" vertical="center"/>
    </xf>
    <xf numFmtId="0" fontId="7" fillId="0" borderId="0" xfId="0" applyFont="1" applyFill="1" applyAlignment="1">
      <alignment horizontal="right" vertical="center"/>
    </xf>
    <xf numFmtId="0" fontId="8" fillId="0" borderId="0" xfId="0" applyFont="1" applyFill="1" applyAlignment="1">
      <alignment horizontal="left" vertical="center"/>
    </xf>
    <xf numFmtId="164" fontId="8" fillId="0" borderId="0" xfId="0" applyNumberFormat="1" applyFont="1" applyAlignment="1">
      <alignment horizontal="left"/>
    </xf>
    <xf numFmtId="0" fontId="8" fillId="0" borderId="0" xfId="0" applyFont="1" applyAlignment="1">
      <alignment horizontal="left"/>
    </xf>
    <xf numFmtId="0" fontId="7" fillId="0" borderId="0" xfId="0" applyFont="1" applyFill="1" applyAlignment="1">
      <alignment horizontal="left"/>
    </xf>
    <xf numFmtId="0" fontId="10" fillId="0" borderId="0" xfId="0" applyFont="1" applyFill="1" applyBorder="1" applyAlignment="1">
      <alignment horizontal="left" vertical="center"/>
    </xf>
    <xf numFmtId="0" fontId="9" fillId="0" borderId="7" xfId="0" applyFont="1" applyFill="1" applyBorder="1" applyAlignment="1">
      <alignment horizontal="center" vertical="center" wrapText="1"/>
    </xf>
    <xf numFmtId="0" fontId="12" fillId="4" borderId="0" xfId="0" applyFont="1" applyFill="1" applyBorder="1"/>
    <xf numFmtId="0" fontId="12" fillId="3" borderId="0" xfId="0" applyFont="1" applyFill="1" applyBorder="1"/>
    <xf numFmtId="0" fontId="12" fillId="3" borderId="0" xfId="0" quotePrefix="1" applyFont="1" applyFill="1" applyBorder="1"/>
    <xf numFmtId="9" fontId="0" fillId="0" borderId="0" xfId="0" applyNumberFormat="1"/>
    <xf numFmtId="9" fontId="0" fillId="0" borderId="0" xfId="0" applyNumberFormat="1" applyBorder="1"/>
    <xf numFmtId="9" fontId="12" fillId="3" borderId="0" xfId="0" applyNumberFormat="1" applyFont="1" applyFill="1" applyBorder="1"/>
    <xf numFmtId="9" fontId="5" fillId="0" borderId="0" xfId="0" applyNumberFormat="1" applyFont="1"/>
    <xf numFmtId="0" fontId="4" fillId="2" borderId="8" xfId="0" applyFont="1" applyFill="1" applyBorder="1"/>
    <xf numFmtId="0" fontId="13" fillId="2" borderId="8" xfId="0" applyFont="1" applyFill="1" applyBorder="1"/>
    <xf numFmtId="0" fontId="13" fillId="2" borderId="9" xfId="0" applyFont="1" applyFill="1" applyBorder="1"/>
    <xf numFmtId="0" fontId="12" fillId="0" borderId="0" xfId="0" quotePrefix="1" applyFont="1" applyFill="1" applyBorder="1"/>
    <xf numFmtId="0" fontId="12" fillId="0" borderId="0" xfId="0" applyFont="1" applyFill="1" applyBorder="1"/>
    <xf numFmtId="0" fontId="0" fillId="0" borderId="0" xfId="0" applyFill="1" applyBorder="1"/>
    <xf numFmtId="0" fontId="14" fillId="0" borderId="10" xfId="0" applyFont="1" applyFill="1" applyBorder="1"/>
    <xf numFmtId="0" fontId="14" fillId="0" borderId="11" xfId="0" applyFont="1" applyFill="1" applyBorder="1"/>
    <xf numFmtId="9" fontId="14" fillId="0" borderId="11" xfId="0" applyNumberFormat="1" applyFont="1" applyFill="1" applyBorder="1"/>
    <xf numFmtId="14" fontId="14" fillId="0" borderId="12" xfId="0" applyNumberFormat="1" applyFont="1" applyFill="1" applyBorder="1"/>
    <xf numFmtId="0" fontId="12" fillId="0" borderId="11" xfId="0" applyFont="1" applyFill="1" applyBorder="1"/>
    <xf numFmtId="9" fontId="12" fillId="0" borderId="11" xfId="0" applyNumberFormat="1" applyFont="1" applyFill="1" applyBorder="1"/>
    <xf numFmtId="0" fontId="12" fillId="0" borderId="10" xfId="0" applyFont="1" applyFill="1" applyBorder="1"/>
    <xf numFmtId="0" fontId="5" fillId="0" borderId="0" xfId="0" applyFont="1" applyFill="1"/>
    <xf numFmtId="0" fontId="5" fillId="0" borderId="0" xfId="0" applyFont="1" applyBorder="1"/>
    <xf numFmtId="0" fontId="5" fillId="0" borderId="0" xfId="0" quotePrefix="1" applyFont="1" applyBorder="1"/>
    <xf numFmtId="0" fontId="5" fillId="0" borderId="0" xfId="0" quotePrefix="1" applyFont="1"/>
    <xf numFmtId="0" fontId="5" fillId="0" borderId="1" xfId="0" applyFont="1" applyBorder="1"/>
    <xf numFmtId="0" fontId="0" fillId="0" borderId="0" xfId="0" quotePrefix="1" applyFont="1"/>
    <xf numFmtId="0" fontId="0" fillId="0" borderId="0" xfId="0" quotePrefix="1" applyFont="1" applyBorder="1"/>
    <xf numFmtId="0" fontId="12" fillId="0" borderId="12" xfId="0" applyFont="1" applyFill="1" applyBorder="1"/>
    <xf numFmtId="0" fontId="12" fillId="0" borderId="13" xfId="0" applyFont="1" applyFill="1" applyBorder="1"/>
    <xf numFmtId="0" fontId="12" fillId="0" borderId="14" xfId="0" applyFont="1" applyFill="1" applyBorder="1"/>
    <xf numFmtId="9" fontId="12" fillId="0" borderId="14" xfId="0" applyNumberFormat="1" applyFont="1" applyFill="1" applyBorder="1"/>
    <xf numFmtId="0" fontId="12" fillId="0" borderId="1" xfId="0" applyFont="1" applyFill="1" applyBorder="1"/>
    <xf numFmtId="14" fontId="12" fillId="0" borderId="12" xfId="0" applyNumberFormat="1" applyFont="1" applyFill="1" applyBorder="1"/>
    <xf numFmtId="0" fontId="11" fillId="0" borderId="0" xfId="0" applyFont="1" applyFill="1" applyAlignment="1">
      <alignment horizontal="center" vertical="top" wrapText="1"/>
    </xf>
    <xf numFmtId="14" fontId="12" fillId="0" borderId="1" xfId="0" applyNumberFormat="1" applyFont="1" applyFill="1" applyBorder="1"/>
    <xf numFmtId="0" fontId="17" fillId="0" borderId="10" xfId="0" applyFont="1" applyFill="1" applyBorder="1"/>
    <xf numFmtId="0" fontId="17" fillId="0" borderId="11" xfId="0" applyFont="1" applyFill="1" applyBorder="1"/>
    <xf numFmtId="9" fontId="17" fillId="0" borderId="11" xfId="0" applyNumberFormat="1" applyFont="1" applyFill="1" applyBorder="1"/>
    <xf numFmtId="0" fontId="17" fillId="0" borderId="12" xfId="0" applyFont="1" applyFill="1" applyBorder="1"/>
    <xf numFmtId="0" fontId="17" fillId="0" borderId="13" xfId="0" applyFont="1" applyFill="1" applyBorder="1"/>
    <xf numFmtId="0" fontId="17" fillId="0" borderId="14" xfId="0" applyFont="1" applyFill="1" applyBorder="1"/>
    <xf numFmtId="9" fontId="17" fillId="0" borderId="14" xfId="0" applyNumberFormat="1" applyFont="1" applyFill="1" applyBorder="1"/>
    <xf numFmtId="0" fontId="17" fillId="0" borderId="1" xfId="0" applyFont="1" applyFill="1" applyBorder="1"/>
    <xf numFmtId="0" fontId="10" fillId="0" borderId="0" xfId="0" applyNumberFormat="1" applyFont="1" applyFill="1" applyBorder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0" fontId="19" fillId="0" borderId="0" xfId="0" pivotButton="1" applyFont="1"/>
    <xf numFmtId="0" fontId="19" fillId="0" borderId="0" xfId="0" applyFont="1"/>
    <xf numFmtId="0" fontId="20" fillId="0" borderId="0" xfId="0" applyFont="1" applyFill="1"/>
    <xf numFmtId="0" fontId="20" fillId="0" borderId="0" xfId="0" applyNumberFormat="1" applyFont="1" applyFill="1"/>
    <xf numFmtId="0" fontId="21" fillId="0" borderId="0" xfId="0" applyNumberFormat="1" applyFont="1" applyFill="1" applyBorder="1" applyAlignment="1">
      <alignment horizontal="left" vertical="center"/>
    </xf>
    <xf numFmtId="0" fontId="22" fillId="0" borderId="7" xfId="0" applyFont="1" applyFill="1" applyBorder="1" applyAlignment="1">
      <alignment horizontal="center" vertical="center" wrapText="1"/>
    </xf>
    <xf numFmtId="0" fontId="23" fillId="4" borderId="15" xfId="0" applyFont="1" applyFill="1" applyBorder="1"/>
    <xf numFmtId="0" fontId="23" fillId="4" borderId="16" xfId="0" applyFont="1" applyFill="1" applyBorder="1"/>
    <xf numFmtId="0" fontId="23" fillId="4" borderId="16" xfId="0" applyNumberFormat="1" applyFont="1" applyFill="1" applyBorder="1"/>
    <xf numFmtId="0" fontId="23" fillId="4" borderId="0" xfId="0" applyNumberFormat="1" applyFont="1" applyFill="1" applyBorder="1"/>
    <xf numFmtId="2" fontId="23" fillId="4" borderId="16" xfId="0" applyNumberFormat="1" applyFont="1" applyFill="1" applyBorder="1"/>
    <xf numFmtId="0" fontId="18" fillId="4" borderId="16" xfId="0" applyFont="1" applyFill="1" applyBorder="1"/>
    <xf numFmtId="9" fontId="24" fillId="5" borderId="17" xfId="0" applyNumberFormat="1" applyFont="1" applyFill="1" applyBorder="1"/>
    <xf numFmtId="0" fontId="21" fillId="0" borderId="0" xfId="0" applyFont="1" applyFill="1" applyBorder="1" applyAlignment="1">
      <alignment horizontal="left" vertical="center"/>
    </xf>
    <xf numFmtId="9" fontId="24" fillId="5" borderId="0" xfId="0" applyNumberFormat="1" applyFont="1" applyFill="1" applyBorder="1"/>
    <xf numFmtId="14" fontId="17" fillId="0" borderId="12" xfId="0" applyNumberFormat="1" applyFont="1" applyFill="1" applyBorder="1"/>
    <xf numFmtId="9" fontId="4" fillId="2" borderId="0" xfId="0" applyNumberFormat="1" applyFont="1" applyFill="1" applyBorder="1"/>
    <xf numFmtId="14" fontId="21" fillId="0" borderId="0" xfId="0" applyNumberFormat="1" applyFont="1" applyFill="1" applyBorder="1" applyAlignment="1">
      <alignment horizontal="left" vertical="center"/>
    </xf>
    <xf numFmtId="14" fontId="21" fillId="0" borderId="0" xfId="0" applyNumberFormat="1" applyFont="1" applyFill="1" applyBorder="1" applyAlignment="1">
      <alignment horizontal="left" vertical="center"/>
    </xf>
    <xf numFmtId="165" fontId="21" fillId="0" borderId="0" xfId="0" applyNumberFormat="1" applyFont="1" applyFill="1" applyBorder="1" applyAlignment="1">
      <alignment horizontal="left" vertical="center"/>
    </xf>
    <xf numFmtId="0" fontId="7" fillId="0" borderId="0" xfId="0" applyFont="1" applyFill="1" applyAlignment="1">
      <alignment horizontal="left" vertical="center" wrapText="1"/>
    </xf>
    <xf numFmtId="0" fontId="11" fillId="0" borderId="0" xfId="0" applyFont="1" applyFill="1" applyAlignment="1">
      <alignment horizontal="center" vertical="top" wrapText="1"/>
    </xf>
    <xf numFmtId="0" fontId="8" fillId="0" borderId="0" xfId="0" applyFont="1" applyFill="1" applyAlignment="1">
      <alignment horizontal="left" vertical="center"/>
    </xf>
  </cellXfs>
  <cellStyles count="21">
    <cellStyle name="Besuchter Hyperlink" xfId="2" builtinId="9" hidden="1"/>
    <cellStyle name="Besuchter Hyperlink" xfId="4" builtinId="9" hidden="1"/>
    <cellStyle name="Besuchter Hyperlink" xfId="6" builtinId="9" hidden="1"/>
    <cellStyle name="Besuchter Hyperlink" xfId="8" builtinId="9" hidden="1"/>
    <cellStyle name="Besuchter Hyperlink" xfId="10" builtinId="9" hidden="1"/>
    <cellStyle name="Besuchter Hyperlink" xfId="12" builtinId="9" hidden="1"/>
    <cellStyle name="Besuchter Hyperlink" xfId="14" builtinId="9" hidden="1"/>
    <cellStyle name="Besuchter Hyperlink" xfId="16" builtinId="9" hidden="1"/>
    <cellStyle name="Besuchter Hyperlink" xfId="18" builtinId="9" hidden="1"/>
    <cellStyle name="Besuchter Hyperlink" xfId="20" builtinId="9" hidden="1"/>
    <cellStyle name="Link" xfId="1" builtinId="8" hidden="1"/>
    <cellStyle name="Link" xfId="3" builtinId="8" hidden="1"/>
    <cellStyle name="Link" xfId="5" builtinId="8" hidden="1"/>
    <cellStyle name="Link" xfId="7" builtinId="8" hidden="1"/>
    <cellStyle name="Link" xfId="9" builtinId="8" hidden="1"/>
    <cellStyle name="Link" xfId="11" builtinId="8" hidden="1"/>
    <cellStyle name="Link" xfId="13" builtinId="8" hidden="1"/>
    <cellStyle name="Link" xfId="15" builtinId="8" hidden="1"/>
    <cellStyle name="Link" xfId="17" builtinId="8" hidden="1"/>
    <cellStyle name="Link" xfId="19" builtinId="8" hidden="1"/>
    <cellStyle name="Standard" xfId="0" builtinId="0"/>
  </cellStyles>
  <dxfs count="1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3" formatCode="0%"/>
      <fill>
        <patternFill patternType="none">
          <fgColor indexed="64"/>
          <bgColor auto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rgb="FF000000"/>
          <bgColor auto="1"/>
        </patternFill>
      </fill>
    </dxf>
    <dxf>
      <border outline="0">
        <bottom style="thick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3" formatCode="0%"/>
      <fill>
        <patternFill patternType="none">
          <fgColor indexed="64"/>
          <bgColor auto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3" formatCode="0%"/>
      <fill>
        <patternFill patternType="none">
          <fgColor indexed="64"/>
          <bgColor auto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rgb="FF000000"/>
          <bgColor auto="1"/>
        </patternFill>
      </fill>
    </dxf>
    <dxf>
      <border outline="0">
        <bottom style="thick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3" formatCode="0%"/>
      <fill>
        <patternFill patternType="none">
          <fgColor indexed="64"/>
          <bgColor auto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rgb="FF000000"/>
          <bgColor auto="1"/>
        </patternFill>
      </fill>
    </dxf>
    <dxf>
      <border outline="0">
        <bottom style="thick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3" formatCode="0%"/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border outline="0">
        <bottom style="thick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3" formatCode="0%"/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rgb="FF000000"/>
          <bgColor rgb="FFFFFFFF"/>
        </patternFill>
      </fill>
    </dxf>
    <dxf>
      <border outline="0">
        <bottom style="thick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3" formatCode="0%"/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rgb="FF000000"/>
          <bgColor rgb="FFFFFFFF"/>
        </patternFill>
      </fill>
    </dxf>
    <dxf>
      <border outline="0">
        <bottom style="thick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3" formatCode="0%"/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rgb="FF000000"/>
          <bgColor rgb="FFFFFFFF"/>
        </patternFill>
      </fill>
    </dxf>
    <dxf>
      <border outline="0">
        <bottom style="thick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3" formatCode="0%"/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rgb="FF000000"/>
          <bgColor rgb="FFFFFFFF"/>
        </patternFill>
      </fill>
    </dxf>
    <dxf>
      <border outline="0">
        <bottom style="thick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3" formatCode="0%"/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rgb="FF000000"/>
          <bgColor rgb="FFFFFFFF"/>
        </patternFill>
      </fill>
    </dxf>
    <dxf>
      <border outline="0">
        <bottom style="thick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3" formatCode="0%"/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rgb="FF000000"/>
          <bgColor rgb="FFFFFFFF"/>
        </patternFill>
      </fill>
    </dxf>
    <dxf>
      <border outline="0">
        <bottom style="thick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color rgb="FF545454"/>
      </font>
    </dxf>
    <dxf>
      <font>
        <color rgb="FF545454"/>
      </font>
    </dxf>
    <dxf>
      <font>
        <color rgb="FF545454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ill>
        <patternFill>
          <bgColor auto="1"/>
        </patternFill>
      </fill>
    </dxf>
    <dxf>
      <font>
        <color rgb="FF9CB92D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rgb="FF9CB92D"/>
      </font>
    </dxf>
    <dxf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545454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545454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545454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545454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545454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545454"/>
        <name val="Calibri"/>
        <scheme val="minor"/>
      </font>
      <fill>
        <patternFill patternType="solid">
          <fgColor indexed="24"/>
          <bgColor indexed="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545454"/>
        <name val="Calibri"/>
        <scheme val="minor"/>
      </font>
      <fill>
        <patternFill patternType="solid">
          <fgColor indexed="24"/>
          <bgColor indexed="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545454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545454"/>
        <name val="Calibri"/>
        <scheme val="minor"/>
      </font>
      <fill>
        <patternFill patternType="solid">
          <fgColor indexed="24"/>
          <bgColor indexed="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545454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545454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545454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545454"/>
        <name val="Calibri"/>
        <scheme val="minor"/>
      </font>
      <numFmt numFmtId="165" formatCode="dd/mm/yy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545454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border outline="0">
        <bottom style="medium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9CB92D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545454"/>
      <color rgb="FFE8E8E8"/>
      <color rgb="FF9CB9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4.xml"/><Relationship Id="rId28" Type="http://schemas.openxmlformats.org/officeDocument/2006/relationships/powerPivotData" Target="model/item.data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[2016_01_ZeitErfassung+Dashboard_currentProcess.xlsm]Report!PivotTable8</c:name>
    <c:fmtId val="2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Report!$B$4:$B$5</c:f>
              <c:strCache>
                <c:ptCount val="1"/>
                <c:pt idx="0">
                  <c:v>DPMPSN Calculator</c:v>
                </c:pt>
              </c:strCache>
            </c:strRef>
          </c:tx>
          <c:invertIfNegative val="0"/>
          <c:cat>
            <c:strRef>
              <c:f>Report!$A$6</c:f>
              <c:strCache>
                <c:ptCount val="1"/>
                <c:pt idx="0">
                  <c:v>Ergebnis</c:v>
                </c:pt>
              </c:strCache>
            </c:strRef>
          </c:cat>
          <c:val>
            <c:numRef>
              <c:f>Report!$B$6</c:f>
              <c:numCache>
                <c:formatCode>General</c:formatCode>
                <c:ptCount val="1"/>
                <c:pt idx="0">
                  <c:v>159</c:v>
                </c:pt>
              </c:numCache>
            </c:numRef>
          </c:val>
        </c:ser>
        <c:ser>
          <c:idx val="1"/>
          <c:order val="1"/>
          <c:tx>
            <c:strRef>
              <c:f>Report!$C$4:$C$5</c:f>
              <c:strCache>
                <c:ptCount val="1"/>
                <c:pt idx="0">
                  <c:v>Calculator Allgemein</c:v>
                </c:pt>
              </c:strCache>
            </c:strRef>
          </c:tx>
          <c:invertIfNegative val="0"/>
          <c:cat>
            <c:strRef>
              <c:f>Report!$A$6</c:f>
              <c:strCache>
                <c:ptCount val="1"/>
                <c:pt idx="0">
                  <c:v>Ergebnis</c:v>
                </c:pt>
              </c:strCache>
            </c:strRef>
          </c:cat>
          <c:val>
            <c:numRef>
              <c:f>Report!$C$6</c:f>
              <c:numCache>
                <c:formatCode>General</c:formatCode>
                <c:ptCount val="1"/>
                <c:pt idx="0">
                  <c:v>152.5</c:v>
                </c:pt>
              </c:numCache>
            </c:numRef>
          </c:val>
        </c:ser>
        <c:ser>
          <c:idx val="2"/>
          <c:order val="2"/>
          <c:tx>
            <c:strRef>
              <c:f>Report!$D$4:$D$5</c:f>
              <c:strCache>
                <c:ptCount val="1"/>
                <c:pt idx="0">
                  <c:v>PHS Calculator</c:v>
                </c:pt>
              </c:strCache>
            </c:strRef>
          </c:tx>
          <c:invertIfNegative val="0"/>
          <c:cat>
            <c:strRef>
              <c:f>Report!$A$6</c:f>
              <c:strCache>
                <c:ptCount val="1"/>
                <c:pt idx="0">
                  <c:v>Ergebnis</c:v>
                </c:pt>
              </c:strCache>
            </c:strRef>
          </c:cat>
          <c:val>
            <c:numRef>
              <c:f>Report!$D$6</c:f>
              <c:numCache>
                <c:formatCode>General</c:formatCode>
                <c:ptCount val="1"/>
                <c:pt idx="0">
                  <c:v>144.5</c:v>
                </c:pt>
              </c:numCache>
            </c:numRef>
          </c:val>
        </c:ser>
        <c:ser>
          <c:idx val="3"/>
          <c:order val="3"/>
          <c:tx>
            <c:strRef>
              <c:f>Report!$E$4:$E$5</c:f>
              <c:strCache>
                <c:ptCount val="1"/>
                <c:pt idx="0">
                  <c:v>CM Calculator</c:v>
                </c:pt>
              </c:strCache>
            </c:strRef>
          </c:tx>
          <c:invertIfNegative val="0"/>
          <c:cat>
            <c:strRef>
              <c:f>Report!$A$6</c:f>
              <c:strCache>
                <c:ptCount val="1"/>
                <c:pt idx="0">
                  <c:v>Ergebnis</c:v>
                </c:pt>
              </c:strCache>
            </c:strRef>
          </c:cat>
          <c:val>
            <c:numRef>
              <c:f>Report!$E$6</c:f>
              <c:numCache>
                <c:formatCode>General</c:formatCode>
                <c:ptCount val="1"/>
                <c:pt idx="0">
                  <c:v>95</c:v>
                </c:pt>
              </c:numCache>
            </c:numRef>
          </c:val>
        </c:ser>
        <c:ser>
          <c:idx val="4"/>
          <c:order val="4"/>
          <c:tx>
            <c:strRef>
              <c:f>Report!$F$4:$F$5</c:f>
              <c:strCache>
                <c:ptCount val="1"/>
                <c:pt idx="0">
                  <c:v>Calculator Admin Schnittstelle</c:v>
                </c:pt>
              </c:strCache>
            </c:strRef>
          </c:tx>
          <c:invertIfNegative val="0"/>
          <c:cat>
            <c:strRef>
              <c:f>Report!$A$6</c:f>
              <c:strCache>
                <c:ptCount val="1"/>
                <c:pt idx="0">
                  <c:v>Ergebnis</c:v>
                </c:pt>
              </c:strCache>
            </c:strRef>
          </c:cat>
          <c:val>
            <c:numRef>
              <c:f>Report!$F$6</c:f>
              <c:numCache>
                <c:formatCode>General</c:formatCode>
                <c:ptCount val="1"/>
                <c:pt idx="0">
                  <c:v>63.5</c:v>
                </c:pt>
              </c:numCache>
            </c:numRef>
          </c:val>
        </c:ser>
        <c:ser>
          <c:idx val="5"/>
          <c:order val="5"/>
          <c:tx>
            <c:strRef>
              <c:f>Report!$G$4:$G$5</c:f>
              <c:strCache>
                <c:ptCount val="1"/>
                <c:pt idx="0">
                  <c:v>NPA Calculator</c:v>
                </c:pt>
              </c:strCache>
            </c:strRef>
          </c:tx>
          <c:invertIfNegative val="0"/>
          <c:cat>
            <c:strRef>
              <c:f>Report!$A$6</c:f>
              <c:strCache>
                <c:ptCount val="1"/>
                <c:pt idx="0">
                  <c:v>Ergebnis</c:v>
                </c:pt>
              </c:strCache>
            </c:strRef>
          </c:cat>
          <c:val>
            <c:numRef>
              <c:f>Report!$G$6</c:f>
              <c:numCache>
                <c:formatCode>General</c:formatCode>
                <c:ptCount val="1"/>
                <c:pt idx="0">
                  <c:v>59.5</c:v>
                </c:pt>
              </c:numCache>
            </c:numRef>
          </c:val>
        </c:ser>
        <c:ser>
          <c:idx val="6"/>
          <c:order val="6"/>
          <c:tx>
            <c:strRef>
              <c:f>Report!$H$4:$H$5</c:f>
              <c:strCache>
                <c:ptCount val="1"/>
                <c:pt idx="0">
                  <c:v>Calculator Refactoring</c:v>
                </c:pt>
              </c:strCache>
            </c:strRef>
          </c:tx>
          <c:invertIfNegative val="0"/>
          <c:cat>
            <c:strRef>
              <c:f>Report!$A$6</c:f>
              <c:strCache>
                <c:ptCount val="1"/>
                <c:pt idx="0">
                  <c:v>Ergebnis</c:v>
                </c:pt>
              </c:strCache>
            </c:strRef>
          </c:cat>
          <c:val>
            <c:numRef>
              <c:f>Report!$H$6</c:f>
              <c:numCache>
                <c:formatCode>General</c:formatCode>
                <c:ptCount val="1"/>
                <c:pt idx="0">
                  <c:v>58</c:v>
                </c:pt>
              </c:numCache>
            </c:numRef>
          </c:val>
        </c:ser>
        <c:ser>
          <c:idx val="7"/>
          <c:order val="7"/>
          <c:tx>
            <c:strRef>
              <c:f>Report!$I$4:$I$5</c:f>
              <c:strCache>
                <c:ptCount val="1"/>
                <c:pt idx="0">
                  <c:v>XMM Calculator</c:v>
                </c:pt>
              </c:strCache>
            </c:strRef>
          </c:tx>
          <c:invertIfNegative val="0"/>
          <c:cat>
            <c:strRef>
              <c:f>Report!$A$6</c:f>
              <c:strCache>
                <c:ptCount val="1"/>
                <c:pt idx="0">
                  <c:v>Ergebnis</c:v>
                </c:pt>
              </c:strCache>
            </c:strRef>
          </c:cat>
          <c:val>
            <c:numRef>
              <c:f>Report!$I$6</c:f>
              <c:numCache>
                <c:formatCode>General</c:formatCode>
                <c:ptCount val="1"/>
                <c:pt idx="0">
                  <c:v>49.5</c:v>
                </c:pt>
              </c:numCache>
            </c:numRef>
          </c:val>
        </c:ser>
        <c:ser>
          <c:idx val="8"/>
          <c:order val="8"/>
          <c:tx>
            <c:strRef>
              <c:f>Report!$J$4:$J$5</c:f>
              <c:strCache>
                <c:ptCount val="1"/>
                <c:pt idx="0">
                  <c:v>PHS Issor Calculator</c:v>
                </c:pt>
              </c:strCache>
            </c:strRef>
          </c:tx>
          <c:invertIfNegative val="0"/>
          <c:cat>
            <c:strRef>
              <c:f>Report!$A$6</c:f>
              <c:strCache>
                <c:ptCount val="1"/>
                <c:pt idx="0">
                  <c:v>Ergebnis</c:v>
                </c:pt>
              </c:strCache>
            </c:strRef>
          </c:cat>
          <c:val>
            <c:numRef>
              <c:f>Report!$J$6</c:f>
              <c:numCache>
                <c:formatCode>General</c:formatCode>
                <c:ptCount val="1"/>
                <c:pt idx="0">
                  <c:v>35.5</c:v>
                </c:pt>
              </c:numCache>
            </c:numRef>
          </c:val>
        </c:ser>
        <c:ser>
          <c:idx val="9"/>
          <c:order val="9"/>
          <c:tx>
            <c:strRef>
              <c:f>Report!$K$4:$K$5</c:f>
              <c:strCache>
                <c:ptCount val="1"/>
                <c:pt idx="0">
                  <c:v>RVM Calculator</c:v>
                </c:pt>
              </c:strCache>
            </c:strRef>
          </c:tx>
          <c:invertIfNegative val="0"/>
          <c:cat>
            <c:strRef>
              <c:f>Report!$A$6</c:f>
              <c:strCache>
                <c:ptCount val="1"/>
                <c:pt idx="0">
                  <c:v>Ergebnis</c:v>
                </c:pt>
              </c:strCache>
            </c:strRef>
          </c:cat>
          <c:val>
            <c:numRef>
              <c:f>Report!$K$6</c:f>
              <c:numCache>
                <c:formatCode>General</c:formatCode>
                <c:ptCount val="1"/>
                <c:pt idx="0">
                  <c:v>34</c:v>
                </c:pt>
              </c:numCache>
            </c:numRef>
          </c:val>
        </c:ser>
        <c:ser>
          <c:idx val="10"/>
          <c:order val="10"/>
          <c:tx>
            <c:strRef>
              <c:f>Report!$L$4:$L$5</c:f>
              <c:strCache>
                <c:ptCount val="1"/>
                <c:pt idx="0">
                  <c:v>PHS Diagnostics Calculator</c:v>
                </c:pt>
              </c:strCache>
            </c:strRef>
          </c:tx>
          <c:invertIfNegative val="0"/>
          <c:cat>
            <c:strRef>
              <c:f>Report!$A$6</c:f>
              <c:strCache>
                <c:ptCount val="1"/>
                <c:pt idx="0">
                  <c:v>Ergebnis</c:v>
                </c:pt>
              </c:strCache>
            </c:strRef>
          </c:cat>
          <c:val>
            <c:numRef>
              <c:f>Report!$L$6</c:f>
              <c:numCache>
                <c:formatCode>General</c:formatCode>
                <c:ptCount val="1"/>
                <c:pt idx="0">
                  <c:v>19.5</c:v>
                </c:pt>
              </c:numCache>
            </c:numRef>
          </c:val>
        </c:ser>
        <c:ser>
          <c:idx val="11"/>
          <c:order val="11"/>
          <c:tx>
            <c:strRef>
              <c:f>Report!$M$4:$M$5</c:f>
              <c:strCache>
                <c:ptCount val="1"/>
                <c:pt idx="0">
                  <c:v>PHS DocSplit Calculator</c:v>
                </c:pt>
              </c:strCache>
            </c:strRef>
          </c:tx>
          <c:invertIfNegative val="0"/>
          <c:cat>
            <c:strRef>
              <c:f>Report!$A$6</c:f>
              <c:strCache>
                <c:ptCount val="1"/>
                <c:pt idx="0">
                  <c:v>Ergebnis</c:v>
                </c:pt>
              </c:strCache>
            </c:strRef>
          </c:cat>
          <c:val>
            <c:numRef>
              <c:f>Report!$M$6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</c:ser>
        <c:ser>
          <c:idx val="12"/>
          <c:order val="12"/>
          <c:tx>
            <c:strRef>
              <c:f>Report!$N$4:$N$5</c:f>
              <c:strCache>
                <c:ptCount val="1"/>
                <c:pt idx="0">
                  <c:v>PHS Medical Calculator</c:v>
                </c:pt>
              </c:strCache>
            </c:strRef>
          </c:tx>
          <c:invertIfNegative val="0"/>
          <c:cat>
            <c:strRef>
              <c:f>Report!$A$6</c:f>
              <c:strCache>
                <c:ptCount val="1"/>
                <c:pt idx="0">
                  <c:v>Ergebnis</c:v>
                </c:pt>
              </c:strCache>
            </c:strRef>
          </c:cat>
          <c:val>
            <c:numRef>
              <c:f>Report!$N$6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ser>
          <c:idx val="13"/>
          <c:order val="13"/>
          <c:tx>
            <c:strRef>
              <c:f>Report!$O$4:$O$5</c:f>
              <c:strCache>
                <c:ptCount val="1"/>
                <c:pt idx="0">
                  <c:v>PHS POS Calculator</c:v>
                </c:pt>
              </c:strCache>
            </c:strRef>
          </c:tx>
          <c:invertIfNegative val="0"/>
          <c:cat>
            <c:strRef>
              <c:f>Report!$A$6</c:f>
              <c:strCache>
                <c:ptCount val="1"/>
                <c:pt idx="0">
                  <c:v>Ergebnis</c:v>
                </c:pt>
              </c:strCache>
            </c:strRef>
          </c:cat>
          <c:val>
            <c:numRef>
              <c:f>Report!$O$6</c:f>
              <c:numCache>
                <c:formatCode>General</c:formatCode>
                <c:ptCount val="1"/>
                <c:pt idx="0">
                  <c:v>4.5</c:v>
                </c:pt>
              </c:numCache>
            </c:numRef>
          </c:val>
        </c:ser>
        <c:ser>
          <c:idx val="14"/>
          <c:order val="14"/>
          <c:tx>
            <c:strRef>
              <c:f>Report!$P$4:$P$5</c:f>
              <c:strCache>
                <c:ptCount val="1"/>
                <c:pt idx="0">
                  <c:v>RPM Calculator</c:v>
                </c:pt>
              </c:strCache>
            </c:strRef>
          </c:tx>
          <c:invertIfNegative val="0"/>
          <c:cat>
            <c:strRef>
              <c:f>Report!$A$6</c:f>
              <c:strCache>
                <c:ptCount val="1"/>
                <c:pt idx="0">
                  <c:v>Ergebnis</c:v>
                </c:pt>
              </c:strCache>
            </c:strRef>
          </c:cat>
          <c:val>
            <c:numRef>
              <c:f>Report!$P$6</c:f>
              <c:numCache>
                <c:formatCode>General</c:formatCode>
                <c:ptCount val="1"/>
                <c:pt idx="0">
                  <c:v>4.5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5221664"/>
        <c:axId val="524735320"/>
      </c:barChart>
      <c:catAx>
        <c:axId val="5252216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24735320"/>
        <c:crosses val="autoZero"/>
        <c:auto val="1"/>
        <c:lblAlgn val="ctr"/>
        <c:lblOffset val="100"/>
        <c:noMultiLvlLbl val="0"/>
      </c:catAx>
      <c:valAx>
        <c:axId val="524735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52216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70000000000000395" r="0.70000000000000395" t="0.7874015749999999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[2016_01_ZeitErfassung+Dashboard_currentProcess.xlsm]Kalkulator Aufwände!PivotTable2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43"/>
        <c:spPr>
          <a:solidFill>
            <a:schemeClr val="accent5">
              <a:lumMod val="6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44"/>
        <c:spPr>
          <a:solidFill>
            <a:schemeClr val="accent6">
              <a:lumMod val="6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"/>
        <c:spPr>
          <a:solidFill>
            <a:schemeClr val="accent1">
              <a:lumMod val="80000"/>
              <a:lumOff val="2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53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'Kalkulator Aufwände'!$B$4:$B$5</c:f>
              <c:strCache>
                <c:ptCount val="1"/>
                <c:pt idx="0">
                  <c:v>DPMPSN Calculator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'Kalkulator Aufwände'!$A$6</c:f>
              <c:strCache>
                <c:ptCount val="1"/>
                <c:pt idx="0">
                  <c:v>Ergebnis</c:v>
                </c:pt>
              </c:strCache>
            </c:strRef>
          </c:cat>
          <c:val>
            <c:numRef>
              <c:f>'Kalkulator Aufwände'!$B$6</c:f>
              <c:numCache>
                <c:formatCode>General</c:formatCode>
                <c:ptCount val="1"/>
                <c:pt idx="0">
                  <c:v>159</c:v>
                </c:pt>
              </c:numCache>
            </c:numRef>
          </c:val>
        </c:ser>
        <c:ser>
          <c:idx val="1"/>
          <c:order val="1"/>
          <c:tx>
            <c:strRef>
              <c:f>'Kalkulator Aufwände'!$C$4:$C$5</c:f>
              <c:strCache>
                <c:ptCount val="1"/>
                <c:pt idx="0">
                  <c:v>Calculator Allgemein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'Kalkulator Aufwände'!$A$6</c:f>
              <c:strCache>
                <c:ptCount val="1"/>
                <c:pt idx="0">
                  <c:v>Ergebnis</c:v>
                </c:pt>
              </c:strCache>
            </c:strRef>
          </c:cat>
          <c:val>
            <c:numRef>
              <c:f>'Kalkulator Aufwände'!$C$6</c:f>
              <c:numCache>
                <c:formatCode>General</c:formatCode>
                <c:ptCount val="1"/>
                <c:pt idx="0">
                  <c:v>152.5</c:v>
                </c:pt>
              </c:numCache>
            </c:numRef>
          </c:val>
        </c:ser>
        <c:ser>
          <c:idx val="2"/>
          <c:order val="2"/>
          <c:tx>
            <c:strRef>
              <c:f>'Kalkulator Aufwände'!$D$4:$D$5</c:f>
              <c:strCache>
                <c:ptCount val="1"/>
                <c:pt idx="0">
                  <c:v>PHS Calculator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'Kalkulator Aufwände'!$A$6</c:f>
              <c:strCache>
                <c:ptCount val="1"/>
                <c:pt idx="0">
                  <c:v>Ergebnis</c:v>
                </c:pt>
              </c:strCache>
            </c:strRef>
          </c:cat>
          <c:val>
            <c:numRef>
              <c:f>'Kalkulator Aufwände'!$D$6</c:f>
              <c:numCache>
                <c:formatCode>General</c:formatCode>
                <c:ptCount val="1"/>
                <c:pt idx="0">
                  <c:v>144.5</c:v>
                </c:pt>
              </c:numCache>
            </c:numRef>
          </c:val>
        </c:ser>
        <c:ser>
          <c:idx val="3"/>
          <c:order val="3"/>
          <c:tx>
            <c:strRef>
              <c:f>'Kalkulator Aufwände'!$E$4:$E$5</c:f>
              <c:strCache>
                <c:ptCount val="1"/>
                <c:pt idx="0">
                  <c:v>CM Calculator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'Kalkulator Aufwände'!$A$6</c:f>
              <c:strCache>
                <c:ptCount val="1"/>
                <c:pt idx="0">
                  <c:v>Ergebnis</c:v>
                </c:pt>
              </c:strCache>
            </c:strRef>
          </c:cat>
          <c:val>
            <c:numRef>
              <c:f>'Kalkulator Aufwände'!$E$6</c:f>
              <c:numCache>
                <c:formatCode>General</c:formatCode>
                <c:ptCount val="1"/>
                <c:pt idx="0">
                  <c:v>95</c:v>
                </c:pt>
              </c:numCache>
            </c:numRef>
          </c:val>
        </c:ser>
        <c:ser>
          <c:idx val="4"/>
          <c:order val="4"/>
          <c:tx>
            <c:strRef>
              <c:f>'Kalkulator Aufwände'!$F$4:$F$5</c:f>
              <c:strCache>
                <c:ptCount val="1"/>
                <c:pt idx="0">
                  <c:v>NPA Calculator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'Kalkulator Aufwände'!$A$6</c:f>
              <c:strCache>
                <c:ptCount val="1"/>
                <c:pt idx="0">
                  <c:v>Ergebnis</c:v>
                </c:pt>
              </c:strCache>
            </c:strRef>
          </c:cat>
          <c:val>
            <c:numRef>
              <c:f>'Kalkulator Aufwände'!$F$6</c:f>
              <c:numCache>
                <c:formatCode>General</c:formatCode>
                <c:ptCount val="1"/>
                <c:pt idx="0">
                  <c:v>59.5</c:v>
                </c:pt>
              </c:numCache>
            </c:numRef>
          </c:val>
        </c:ser>
        <c:ser>
          <c:idx val="5"/>
          <c:order val="5"/>
          <c:tx>
            <c:strRef>
              <c:f>'Kalkulator Aufwände'!$G$4:$G$5</c:f>
              <c:strCache>
                <c:ptCount val="1"/>
                <c:pt idx="0">
                  <c:v>XMM Calculator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'Kalkulator Aufwände'!$A$6</c:f>
              <c:strCache>
                <c:ptCount val="1"/>
                <c:pt idx="0">
                  <c:v>Ergebnis</c:v>
                </c:pt>
              </c:strCache>
            </c:strRef>
          </c:cat>
          <c:val>
            <c:numRef>
              <c:f>'Kalkulator Aufwände'!$G$6</c:f>
              <c:numCache>
                <c:formatCode>General</c:formatCode>
                <c:ptCount val="1"/>
                <c:pt idx="0">
                  <c:v>49.5</c:v>
                </c:pt>
              </c:numCache>
            </c:numRef>
          </c:val>
        </c:ser>
        <c:ser>
          <c:idx val="6"/>
          <c:order val="6"/>
          <c:tx>
            <c:strRef>
              <c:f>'Kalkulator Aufwände'!$H$4:$H$5</c:f>
              <c:strCache>
                <c:ptCount val="1"/>
                <c:pt idx="0">
                  <c:v>PHS Issor Calculator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'Kalkulator Aufwände'!$A$6</c:f>
              <c:strCache>
                <c:ptCount val="1"/>
                <c:pt idx="0">
                  <c:v>Ergebnis</c:v>
                </c:pt>
              </c:strCache>
            </c:strRef>
          </c:cat>
          <c:val>
            <c:numRef>
              <c:f>'Kalkulator Aufwände'!$H$6</c:f>
              <c:numCache>
                <c:formatCode>General</c:formatCode>
                <c:ptCount val="1"/>
                <c:pt idx="0">
                  <c:v>35.5</c:v>
                </c:pt>
              </c:numCache>
            </c:numRef>
          </c:val>
        </c:ser>
        <c:ser>
          <c:idx val="7"/>
          <c:order val="7"/>
          <c:tx>
            <c:strRef>
              <c:f>'Kalkulator Aufwände'!$I$4:$I$5</c:f>
              <c:strCache>
                <c:ptCount val="1"/>
                <c:pt idx="0">
                  <c:v>RVM Calculator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'Kalkulator Aufwände'!$A$6</c:f>
              <c:strCache>
                <c:ptCount val="1"/>
                <c:pt idx="0">
                  <c:v>Ergebnis</c:v>
                </c:pt>
              </c:strCache>
            </c:strRef>
          </c:cat>
          <c:val>
            <c:numRef>
              <c:f>'Kalkulator Aufwände'!$I$6</c:f>
              <c:numCache>
                <c:formatCode>General</c:formatCode>
                <c:ptCount val="1"/>
                <c:pt idx="0">
                  <c:v>34</c:v>
                </c:pt>
              </c:numCache>
            </c:numRef>
          </c:val>
        </c:ser>
        <c:ser>
          <c:idx val="8"/>
          <c:order val="8"/>
          <c:tx>
            <c:strRef>
              <c:f>'Kalkulator Aufwände'!$J$4:$J$5</c:f>
              <c:strCache>
                <c:ptCount val="1"/>
                <c:pt idx="0">
                  <c:v>PHS Diagnostics Calculator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'Kalkulator Aufwände'!$A$6</c:f>
              <c:strCache>
                <c:ptCount val="1"/>
                <c:pt idx="0">
                  <c:v>Ergebnis</c:v>
                </c:pt>
              </c:strCache>
            </c:strRef>
          </c:cat>
          <c:val>
            <c:numRef>
              <c:f>'Kalkulator Aufwände'!$J$6</c:f>
              <c:numCache>
                <c:formatCode>General</c:formatCode>
                <c:ptCount val="1"/>
                <c:pt idx="0">
                  <c:v>19.5</c:v>
                </c:pt>
              </c:numCache>
            </c:numRef>
          </c:val>
        </c:ser>
        <c:ser>
          <c:idx val="9"/>
          <c:order val="9"/>
          <c:tx>
            <c:strRef>
              <c:f>'Kalkulator Aufwände'!$K$4:$K$5</c:f>
              <c:strCache>
                <c:ptCount val="1"/>
                <c:pt idx="0">
                  <c:v>PHS DocSplit Calculator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'Kalkulator Aufwände'!$A$6</c:f>
              <c:strCache>
                <c:ptCount val="1"/>
                <c:pt idx="0">
                  <c:v>Ergebnis</c:v>
                </c:pt>
              </c:strCache>
            </c:strRef>
          </c:cat>
          <c:val>
            <c:numRef>
              <c:f>'Kalkulator Aufwände'!$K$6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</c:ser>
        <c:ser>
          <c:idx val="10"/>
          <c:order val="10"/>
          <c:tx>
            <c:strRef>
              <c:f>'Kalkulator Aufwände'!$L$4:$L$5</c:f>
              <c:strCache>
                <c:ptCount val="1"/>
                <c:pt idx="0">
                  <c:v>PHS Medical Calculator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'Kalkulator Aufwände'!$A$6</c:f>
              <c:strCache>
                <c:ptCount val="1"/>
                <c:pt idx="0">
                  <c:v>Ergebnis</c:v>
                </c:pt>
              </c:strCache>
            </c:strRef>
          </c:cat>
          <c:val>
            <c:numRef>
              <c:f>'Kalkulator Aufwände'!$L$6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ser>
          <c:idx val="11"/>
          <c:order val="11"/>
          <c:tx>
            <c:strRef>
              <c:f>'Kalkulator Aufwände'!$M$4:$M$5</c:f>
              <c:strCache>
                <c:ptCount val="1"/>
                <c:pt idx="0">
                  <c:v>PHS POS Calculator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'Kalkulator Aufwände'!$A$6</c:f>
              <c:strCache>
                <c:ptCount val="1"/>
                <c:pt idx="0">
                  <c:v>Ergebnis</c:v>
                </c:pt>
              </c:strCache>
            </c:strRef>
          </c:cat>
          <c:val>
            <c:numRef>
              <c:f>'Kalkulator Aufwände'!$M$6</c:f>
              <c:numCache>
                <c:formatCode>General</c:formatCode>
                <c:ptCount val="1"/>
                <c:pt idx="0">
                  <c:v>4.5</c:v>
                </c:pt>
              </c:numCache>
            </c:numRef>
          </c:val>
        </c:ser>
        <c:ser>
          <c:idx val="12"/>
          <c:order val="12"/>
          <c:tx>
            <c:strRef>
              <c:f>'Kalkulator Aufwände'!$N$4:$N$5</c:f>
              <c:strCache>
                <c:ptCount val="1"/>
                <c:pt idx="0">
                  <c:v>RPM Calculator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'Kalkulator Aufwände'!$A$6</c:f>
              <c:strCache>
                <c:ptCount val="1"/>
                <c:pt idx="0">
                  <c:v>Ergebnis</c:v>
                </c:pt>
              </c:strCache>
            </c:strRef>
          </c:cat>
          <c:val>
            <c:numRef>
              <c:f>'Kalkulator Aufwände'!$N$6</c:f>
              <c:numCache>
                <c:formatCode>General</c:formatCode>
                <c:ptCount val="1"/>
                <c:pt idx="0">
                  <c:v>4.5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909304"/>
        <c:axId val="218341824"/>
      </c:barChart>
      <c:catAx>
        <c:axId val="218909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8341824"/>
        <c:crosses val="autoZero"/>
        <c:auto val="1"/>
        <c:lblAlgn val="ctr"/>
        <c:lblOffset val="100"/>
        <c:noMultiLvlLbl val="0"/>
      </c:catAx>
      <c:valAx>
        <c:axId val="21834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8909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0000000000000095" r="0.70000000000000095" t="0.78740157499999996" header="0.30000000000000032" footer="0.3000000000000003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Kalkulatoraufwände inklusive</a:t>
            </a:r>
            <a:r>
              <a:rPr lang="de-DE" baseline="0"/>
              <a:t> direkten Aufwänden*</a:t>
            </a:r>
            <a:endParaRPr lang="de-DE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'Kalkulator Aufwände'!$A$43</c:f>
              <c:strCache>
                <c:ptCount val="1"/>
                <c:pt idx="0">
                  <c:v>Summe von Std.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'Kalkulator Aufwände'!$B$42:$M$42</c:f>
              <c:strCache>
                <c:ptCount val="12"/>
                <c:pt idx="0">
                  <c:v>DPMPSN Calculator</c:v>
                </c:pt>
                <c:pt idx="1">
                  <c:v>PHS Calculator</c:v>
                </c:pt>
                <c:pt idx="2">
                  <c:v>CM Calculator</c:v>
                </c:pt>
                <c:pt idx="3">
                  <c:v>NPA Calculator</c:v>
                </c:pt>
                <c:pt idx="4">
                  <c:v>XMM Calculator</c:v>
                </c:pt>
                <c:pt idx="5">
                  <c:v>PHS Issor Calculator</c:v>
                </c:pt>
                <c:pt idx="6">
                  <c:v>RVM Calculator</c:v>
                </c:pt>
                <c:pt idx="7">
                  <c:v>PHS Diagnostics Calculator</c:v>
                </c:pt>
                <c:pt idx="8">
                  <c:v>PHS DocSplit Calculator</c:v>
                </c:pt>
                <c:pt idx="9">
                  <c:v>PHS Medical Calculator</c:v>
                </c:pt>
                <c:pt idx="10">
                  <c:v>PHS POS Calculator</c:v>
                </c:pt>
                <c:pt idx="11">
                  <c:v>RPM Calculator</c:v>
                </c:pt>
              </c:strCache>
            </c:strRef>
          </c:cat>
          <c:val>
            <c:numRef>
              <c:f>'Kalkulator Aufwände'!$B$43:$M$43</c:f>
              <c:numCache>
                <c:formatCode>General</c:formatCode>
                <c:ptCount val="12"/>
                <c:pt idx="0">
                  <c:v>159</c:v>
                </c:pt>
                <c:pt idx="1">
                  <c:v>144.5</c:v>
                </c:pt>
                <c:pt idx="2">
                  <c:v>95</c:v>
                </c:pt>
                <c:pt idx="3">
                  <c:v>59.5</c:v>
                </c:pt>
                <c:pt idx="4">
                  <c:v>49.5</c:v>
                </c:pt>
                <c:pt idx="5">
                  <c:v>35.5</c:v>
                </c:pt>
                <c:pt idx="6">
                  <c:v>34</c:v>
                </c:pt>
                <c:pt idx="7">
                  <c:v>19.5</c:v>
                </c:pt>
                <c:pt idx="8">
                  <c:v>19</c:v>
                </c:pt>
                <c:pt idx="9">
                  <c:v>5</c:v>
                </c:pt>
                <c:pt idx="10">
                  <c:v>4.5</c:v>
                </c:pt>
                <c:pt idx="11">
                  <c:v>4.5</c:v>
                </c:pt>
              </c:numCache>
            </c:numRef>
          </c:val>
        </c:ser>
        <c:ser>
          <c:idx val="1"/>
          <c:order val="1"/>
          <c:tx>
            <c:strRef>
              <c:f>'Kalkulator Aufwände'!$A$44</c:f>
              <c:strCache>
                <c:ptCount val="1"/>
                <c:pt idx="0">
                  <c:v>Direkte Aufwände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'Kalkulator Aufwände'!$B$42:$M$42</c:f>
              <c:strCache>
                <c:ptCount val="12"/>
                <c:pt idx="0">
                  <c:v>DPMPSN Calculator</c:v>
                </c:pt>
                <c:pt idx="1">
                  <c:v>PHS Calculator</c:v>
                </c:pt>
                <c:pt idx="2">
                  <c:v>CM Calculator</c:v>
                </c:pt>
                <c:pt idx="3">
                  <c:v>NPA Calculator</c:v>
                </c:pt>
                <c:pt idx="4">
                  <c:v>XMM Calculator</c:v>
                </c:pt>
                <c:pt idx="5">
                  <c:v>PHS Issor Calculator</c:v>
                </c:pt>
                <c:pt idx="6">
                  <c:v>RVM Calculator</c:v>
                </c:pt>
                <c:pt idx="7">
                  <c:v>PHS Diagnostics Calculator</c:v>
                </c:pt>
                <c:pt idx="8">
                  <c:v>PHS DocSplit Calculator</c:v>
                </c:pt>
                <c:pt idx="9">
                  <c:v>PHS Medical Calculator</c:v>
                </c:pt>
                <c:pt idx="10">
                  <c:v>PHS POS Calculator</c:v>
                </c:pt>
                <c:pt idx="11">
                  <c:v>RPM Calculator</c:v>
                </c:pt>
              </c:strCache>
            </c:strRef>
          </c:cat>
          <c:val>
            <c:numRef>
              <c:f>'Kalkulator Aufwände'!$B$44:$M$44</c:f>
              <c:numCache>
                <c:formatCode>0.00</c:formatCode>
                <c:ptCount val="12"/>
                <c:pt idx="0">
                  <c:v>12.708333333333334</c:v>
                </c:pt>
                <c:pt idx="1">
                  <c:v>12.708333333333334</c:v>
                </c:pt>
                <c:pt idx="2">
                  <c:v>12.708333333333334</c:v>
                </c:pt>
                <c:pt idx="3">
                  <c:v>12.708333333333334</c:v>
                </c:pt>
                <c:pt idx="4">
                  <c:v>12.708333333333334</c:v>
                </c:pt>
                <c:pt idx="5">
                  <c:v>12.708333333333334</c:v>
                </c:pt>
                <c:pt idx="6">
                  <c:v>12.708333333333334</c:v>
                </c:pt>
                <c:pt idx="7">
                  <c:v>12.708333333333334</c:v>
                </c:pt>
                <c:pt idx="8">
                  <c:v>12.708333333333334</c:v>
                </c:pt>
                <c:pt idx="9">
                  <c:v>12.708333333333334</c:v>
                </c:pt>
                <c:pt idx="10">
                  <c:v>12.708333333333334</c:v>
                </c:pt>
                <c:pt idx="11">
                  <c:v>12.708333333333334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0692176"/>
        <c:axId val="220435688"/>
      </c:barChart>
      <c:lineChart>
        <c:grouping val="standard"/>
        <c:varyColors val="0"/>
        <c:ser>
          <c:idx val="2"/>
          <c:order val="2"/>
          <c:tx>
            <c:strRef>
              <c:f>'Kalkulator Aufwände'!$A$45</c:f>
              <c:strCache>
                <c:ptCount val="1"/>
                <c:pt idx="0">
                  <c:v>Durchschnittswert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'Kalkulator Aufwände'!$B$42:$M$42</c:f>
              <c:strCache>
                <c:ptCount val="12"/>
                <c:pt idx="0">
                  <c:v>DPMPSN Calculator</c:v>
                </c:pt>
                <c:pt idx="1">
                  <c:v>PHS Calculator</c:v>
                </c:pt>
                <c:pt idx="2">
                  <c:v>CM Calculator</c:v>
                </c:pt>
                <c:pt idx="3">
                  <c:v>NPA Calculator</c:v>
                </c:pt>
                <c:pt idx="4">
                  <c:v>XMM Calculator</c:v>
                </c:pt>
                <c:pt idx="5">
                  <c:v>PHS Issor Calculator</c:v>
                </c:pt>
                <c:pt idx="6">
                  <c:v>RVM Calculator</c:v>
                </c:pt>
                <c:pt idx="7">
                  <c:v>PHS Diagnostics Calculator</c:v>
                </c:pt>
                <c:pt idx="8">
                  <c:v>PHS DocSplit Calculator</c:v>
                </c:pt>
                <c:pt idx="9">
                  <c:v>PHS Medical Calculator</c:v>
                </c:pt>
                <c:pt idx="10">
                  <c:v>PHS POS Calculator</c:v>
                </c:pt>
                <c:pt idx="11">
                  <c:v>RPM Calculator</c:v>
                </c:pt>
              </c:strCache>
            </c:strRef>
          </c:cat>
          <c:val>
            <c:numRef>
              <c:f>'Kalkulator Aufwände'!$B$45:$M$45</c:f>
              <c:numCache>
                <c:formatCode>0.00</c:formatCode>
                <c:ptCount val="12"/>
                <c:pt idx="0">
                  <c:v>65.166666666666671</c:v>
                </c:pt>
                <c:pt idx="1">
                  <c:v>65.166666666666671</c:v>
                </c:pt>
                <c:pt idx="2">
                  <c:v>65.166666666666671</c:v>
                </c:pt>
                <c:pt idx="3">
                  <c:v>65.166666666666671</c:v>
                </c:pt>
                <c:pt idx="4">
                  <c:v>65.166666666666671</c:v>
                </c:pt>
                <c:pt idx="5">
                  <c:v>65.166666666666671</c:v>
                </c:pt>
                <c:pt idx="6">
                  <c:v>65.166666666666671</c:v>
                </c:pt>
                <c:pt idx="7">
                  <c:v>65.166666666666671</c:v>
                </c:pt>
                <c:pt idx="8">
                  <c:v>65.166666666666671</c:v>
                </c:pt>
                <c:pt idx="9">
                  <c:v>65.166666666666671</c:v>
                </c:pt>
                <c:pt idx="10">
                  <c:v>65.166666666666671</c:v>
                </c:pt>
                <c:pt idx="11">
                  <c:v>65.166666666666671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692176"/>
        <c:axId val="220435688"/>
      </c:lineChart>
      <c:catAx>
        <c:axId val="22069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20435688"/>
        <c:crosses val="autoZero"/>
        <c:auto val="1"/>
        <c:lblAlgn val="ctr"/>
        <c:lblOffset val="100"/>
        <c:noMultiLvlLbl val="0"/>
      </c:catAx>
      <c:valAx>
        <c:axId val="220435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2069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0000000000000095" r="0.70000000000000095" t="0.7874015749999999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[2016_01_ZeitErfassung+Dashboard_currentProcess.xlsm]Kalkulator Allgemeine Aufwände!PivotTable3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'Kalkulator Allgemeine Aufwände'!$B$4:$B$5</c:f>
              <c:strCache>
                <c:ptCount val="1"/>
                <c:pt idx="0">
                  <c:v>Calculator Admin Schnittstelle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'Kalkulator Allgemeine Aufwände'!$A$6</c:f>
              <c:strCache>
                <c:ptCount val="1"/>
                <c:pt idx="0">
                  <c:v>Ergebnis</c:v>
                </c:pt>
              </c:strCache>
            </c:strRef>
          </c:cat>
          <c:val>
            <c:numRef>
              <c:f>'Kalkulator Allgemeine Aufwände'!$B$6</c:f>
              <c:numCache>
                <c:formatCode>General</c:formatCode>
                <c:ptCount val="1"/>
                <c:pt idx="0">
                  <c:v>63.5</c:v>
                </c:pt>
              </c:numCache>
            </c:numRef>
          </c:val>
        </c:ser>
        <c:ser>
          <c:idx val="1"/>
          <c:order val="1"/>
          <c:tx>
            <c:strRef>
              <c:f>'Kalkulator Allgemeine Aufwände'!$C$4:$C$5</c:f>
              <c:strCache>
                <c:ptCount val="1"/>
                <c:pt idx="0">
                  <c:v>Calculator Refactoring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'Kalkulator Allgemeine Aufwände'!$A$6</c:f>
              <c:strCache>
                <c:ptCount val="1"/>
                <c:pt idx="0">
                  <c:v>Ergebnis</c:v>
                </c:pt>
              </c:strCache>
            </c:strRef>
          </c:cat>
          <c:val>
            <c:numRef>
              <c:f>'Kalkulator Allgemeine Aufwände'!$C$6</c:f>
              <c:numCache>
                <c:formatCode>General</c:formatCode>
                <c:ptCount val="1"/>
                <c:pt idx="0">
                  <c:v>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3595856"/>
        <c:axId val="221571192"/>
      </c:barChart>
      <c:catAx>
        <c:axId val="14359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21571192"/>
        <c:crosses val="autoZero"/>
        <c:auto val="1"/>
        <c:lblAlgn val="ctr"/>
        <c:lblOffset val="100"/>
        <c:noMultiLvlLbl val="0"/>
      </c:catAx>
      <c:valAx>
        <c:axId val="221571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3595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0000000000000095" r="0.70000000000000095" t="0.78740157499999996" header="0.30000000000000032" footer="0.3000000000000003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152400</xdr:colOff>
      <xdr:row>1</xdr:row>
      <xdr:rowOff>647728</xdr:rowOff>
    </xdr:to>
    <xdr:pic>
      <xdr:nvPicPr>
        <xdr:cNvPr id="3" name="Grafik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548360" cy="1226848"/>
        </a:xfrm>
        <a:prstGeom prst="rect">
          <a:avLst/>
        </a:prstGeom>
      </xdr:spPr>
    </xdr:pic>
    <xdr:clientData/>
  </xdr:twoCellAnchor>
  <xdr:twoCellAnchor editAs="oneCell">
    <xdr:from>
      <xdr:col>1</xdr:col>
      <xdr:colOff>22860</xdr:colOff>
      <xdr:row>0</xdr:row>
      <xdr:rowOff>151503</xdr:rowOff>
    </xdr:from>
    <xdr:to>
      <xdr:col>3</xdr:col>
      <xdr:colOff>342900</xdr:colOff>
      <xdr:row>1</xdr:row>
      <xdr:rowOff>45720</xdr:rowOff>
    </xdr:to>
    <xdr:pic>
      <xdr:nvPicPr>
        <xdr:cNvPr id="4" name="Grafik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" y="151503"/>
          <a:ext cx="1760220" cy="473337"/>
        </a:xfrm>
        <a:prstGeom prst="rect">
          <a:avLst/>
        </a:prstGeom>
      </xdr:spPr>
    </xdr:pic>
    <xdr:clientData/>
  </xdr:twoCellAnchor>
  <xdr:twoCellAnchor>
    <xdr:from>
      <xdr:col>11</xdr:col>
      <xdr:colOff>487680</xdr:colOff>
      <xdr:row>0</xdr:row>
      <xdr:rowOff>160020</xdr:rowOff>
    </xdr:from>
    <xdr:to>
      <xdr:col>12</xdr:col>
      <xdr:colOff>822960</xdr:colOff>
      <xdr:row>1</xdr:row>
      <xdr:rowOff>182880</xdr:rowOff>
    </xdr:to>
    <xdr:sp macro="" textlink="">
      <xdr:nvSpPr>
        <xdr:cNvPr id="5" name="Textfeld 4"/>
        <xdr:cNvSpPr txBox="1"/>
      </xdr:nvSpPr>
      <xdr:spPr>
        <a:xfrm>
          <a:off x="11582400" y="160020"/>
          <a:ext cx="1447800" cy="601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 anchorCtr="0"/>
        <a:lstStyle/>
        <a:p>
          <a:pPr marL="0" algn="r" rtl="0">
            <a:lnSpc>
              <a:spcPts val="1600"/>
            </a:lnSpc>
            <a:spcAft>
              <a:spcPts val="0"/>
            </a:spcAft>
          </a:pPr>
          <a:r>
            <a:rPr lang="de-DE" sz="1600" b="0" i="0" u="none" strike="noStrike" baseline="30000" smtClean="0">
              <a:solidFill>
                <a:schemeClr val="bg1"/>
              </a:solidFill>
              <a:latin typeface="+mn-lt"/>
              <a:ea typeface="+mn-ea"/>
              <a:cs typeface="+mn-cs"/>
            </a:rPr>
            <a:t>info@cognovo.de </a:t>
          </a:r>
        </a:p>
        <a:p>
          <a:pPr marL="0" algn="r" rtl="0">
            <a:lnSpc>
              <a:spcPts val="1600"/>
            </a:lnSpc>
            <a:spcAft>
              <a:spcPts val="0"/>
            </a:spcAft>
          </a:pPr>
          <a:r>
            <a:rPr lang="de-DE" sz="1600" b="0" i="0" u="none" strike="noStrike" baseline="30000" smtClean="0">
              <a:solidFill>
                <a:schemeClr val="bg1"/>
              </a:solidFill>
              <a:latin typeface="+mn-lt"/>
              <a:ea typeface="+mn-ea"/>
              <a:cs typeface="+mn-cs"/>
            </a:rPr>
            <a:t>www.cognovo.de</a:t>
          </a:r>
          <a:endParaRPr lang="de-DE" sz="1600" b="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937260</xdr:colOff>
      <xdr:row>0</xdr:row>
      <xdr:rowOff>160020</xdr:rowOff>
    </xdr:from>
    <xdr:to>
      <xdr:col>11</xdr:col>
      <xdr:colOff>160020</xdr:colOff>
      <xdr:row>1</xdr:row>
      <xdr:rowOff>182880</xdr:rowOff>
    </xdr:to>
    <xdr:sp macro="" textlink="">
      <xdr:nvSpPr>
        <xdr:cNvPr id="6" name="Textfeld 5"/>
        <xdr:cNvSpPr txBox="1"/>
      </xdr:nvSpPr>
      <xdr:spPr>
        <a:xfrm>
          <a:off x="9806940" y="160020"/>
          <a:ext cx="1447800" cy="601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 anchorCtr="0"/>
        <a:lstStyle/>
        <a:p>
          <a:pPr marL="0" algn="r" rtl="0">
            <a:lnSpc>
              <a:spcPts val="1600"/>
            </a:lnSpc>
            <a:spcAft>
              <a:spcPts val="0"/>
            </a:spcAft>
          </a:pPr>
          <a:r>
            <a:rPr lang="de-DE" sz="1600" b="0" i="0" u="none" strike="noStrike" baseline="30000" smtClean="0">
              <a:solidFill>
                <a:schemeClr val="bg1"/>
              </a:solidFill>
              <a:latin typeface="+mn-lt"/>
              <a:ea typeface="+mn-ea"/>
              <a:cs typeface="+mn-cs"/>
            </a:rPr>
            <a:t>+49 721 5979389   </a:t>
          </a:r>
        </a:p>
        <a:p>
          <a:pPr marL="0" algn="r" rtl="0">
            <a:lnSpc>
              <a:spcPts val="1600"/>
            </a:lnSpc>
            <a:spcAft>
              <a:spcPts val="0"/>
            </a:spcAft>
          </a:pPr>
          <a:r>
            <a:rPr lang="de-DE" sz="1600" b="0" i="0" u="none" strike="noStrike" baseline="30000" smtClean="0">
              <a:solidFill>
                <a:schemeClr val="bg1"/>
              </a:solidFill>
              <a:latin typeface="+mn-lt"/>
              <a:ea typeface="+mn-ea"/>
              <a:cs typeface="+mn-cs"/>
            </a:rPr>
            <a:t>+49 170 3445286</a:t>
          </a:r>
          <a:endParaRPr lang="de-DE" sz="1600" b="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11</xdr:col>
      <xdr:colOff>106680</xdr:colOff>
      <xdr:row>0</xdr:row>
      <xdr:rowOff>297180</xdr:rowOff>
    </xdr:from>
    <xdr:to>
      <xdr:col>11</xdr:col>
      <xdr:colOff>228600</xdr:colOff>
      <xdr:row>0</xdr:row>
      <xdr:rowOff>419100</xdr:rowOff>
    </xdr:to>
    <xdr:pic>
      <xdr:nvPicPr>
        <xdr:cNvPr id="7" name="Grafik 6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01400" y="297180"/>
          <a:ext cx="121920" cy="121920"/>
        </a:xfrm>
        <a:prstGeom prst="rect">
          <a:avLst/>
        </a:prstGeom>
      </xdr:spPr>
    </xdr:pic>
    <xdr:clientData/>
  </xdr:twoCellAnchor>
  <xdr:twoCellAnchor editAs="oneCell">
    <xdr:from>
      <xdr:col>11</xdr:col>
      <xdr:colOff>106680</xdr:colOff>
      <xdr:row>0</xdr:row>
      <xdr:rowOff>502920</xdr:rowOff>
    </xdr:from>
    <xdr:to>
      <xdr:col>11</xdr:col>
      <xdr:colOff>229080</xdr:colOff>
      <xdr:row>1</xdr:row>
      <xdr:rowOff>46200</xdr:rowOff>
    </xdr:to>
    <xdr:pic>
      <xdr:nvPicPr>
        <xdr:cNvPr id="9" name="Grafik 8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01400" y="502920"/>
          <a:ext cx="122400" cy="122400"/>
        </a:xfrm>
        <a:prstGeom prst="rect">
          <a:avLst/>
        </a:prstGeom>
      </xdr:spPr>
    </xdr:pic>
    <xdr:clientData/>
  </xdr:twoCellAnchor>
  <xdr:twoCellAnchor editAs="oneCell">
    <xdr:from>
      <xdr:col>12</xdr:col>
      <xdr:colOff>777240</xdr:colOff>
      <xdr:row>0</xdr:row>
      <xdr:rowOff>304800</xdr:rowOff>
    </xdr:from>
    <xdr:to>
      <xdr:col>12</xdr:col>
      <xdr:colOff>899640</xdr:colOff>
      <xdr:row>0</xdr:row>
      <xdr:rowOff>427200</xdr:rowOff>
    </xdr:to>
    <xdr:pic>
      <xdr:nvPicPr>
        <xdr:cNvPr id="10" name="Grafik 9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84480" y="304800"/>
          <a:ext cx="122400" cy="122400"/>
        </a:xfrm>
        <a:prstGeom prst="rect">
          <a:avLst/>
        </a:prstGeom>
      </xdr:spPr>
    </xdr:pic>
    <xdr:clientData/>
  </xdr:twoCellAnchor>
  <xdr:twoCellAnchor editAs="oneCell">
    <xdr:from>
      <xdr:col>12</xdr:col>
      <xdr:colOff>777240</xdr:colOff>
      <xdr:row>0</xdr:row>
      <xdr:rowOff>510540</xdr:rowOff>
    </xdr:from>
    <xdr:to>
      <xdr:col>12</xdr:col>
      <xdr:colOff>899640</xdr:colOff>
      <xdr:row>1</xdr:row>
      <xdr:rowOff>53820</xdr:rowOff>
    </xdr:to>
    <xdr:pic>
      <xdr:nvPicPr>
        <xdr:cNvPr id="11" name="Grafik 10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84480" y="510540"/>
          <a:ext cx="122400" cy="122400"/>
        </a:xfrm>
        <a:prstGeom prst="rect">
          <a:avLst/>
        </a:prstGeom>
      </xdr:spPr>
    </xdr:pic>
    <xdr:clientData/>
  </xdr:twoCellAnchor>
  <xdr:twoCellAnchor>
    <xdr:from>
      <xdr:col>8</xdr:col>
      <xdr:colOff>513587</xdr:colOff>
      <xdr:row>0</xdr:row>
      <xdr:rowOff>160020</xdr:rowOff>
    </xdr:from>
    <xdr:to>
      <xdr:col>10</xdr:col>
      <xdr:colOff>65533</xdr:colOff>
      <xdr:row>1</xdr:row>
      <xdr:rowOff>182880</xdr:rowOff>
    </xdr:to>
    <xdr:sp macro="" textlink="">
      <xdr:nvSpPr>
        <xdr:cNvPr id="12" name="Textfeld 11"/>
        <xdr:cNvSpPr txBox="1"/>
      </xdr:nvSpPr>
      <xdr:spPr>
        <a:xfrm>
          <a:off x="7600187" y="160020"/>
          <a:ext cx="2447546" cy="601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 anchorCtr="0"/>
        <a:lstStyle/>
        <a:p>
          <a:pPr rtl="0">
            <a:lnSpc>
              <a:spcPts val="1600"/>
            </a:lnSpc>
          </a:pPr>
          <a:r>
            <a:rPr lang="de-DE" sz="1600" b="0" i="0" u="none" strike="noStrike" baseline="30000" smtClean="0">
              <a:solidFill>
                <a:schemeClr val="bg1"/>
              </a:solidFill>
              <a:latin typeface="+mn-lt"/>
              <a:ea typeface="+mn-ea"/>
              <a:cs typeface="+mn-cs"/>
            </a:rPr>
            <a:t>Inhaber Dipl.-Ing. Michael Wolff</a:t>
          </a:r>
        </a:p>
        <a:p>
          <a:pPr rtl="0">
            <a:lnSpc>
              <a:spcPts val="1600"/>
            </a:lnSpc>
          </a:pPr>
          <a:r>
            <a:rPr lang="de-DE" sz="1600" b="0" i="0" u="none" strike="noStrike" baseline="30000" smtClean="0">
              <a:solidFill>
                <a:schemeClr val="bg1"/>
              </a:solidFill>
              <a:latin typeface="+mn-lt"/>
              <a:ea typeface="+mn-ea"/>
              <a:cs typeface="+mn-cs"/>
            </a:rPr>
            <a:t>Egelseestraße 2 • 76228 Karlsruhe</a:t>
          </a:r>
          <a:endParaRPr lang="de-DE" sz="2400" b="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13</xdr:row>
      <xdr:rowOff>123825</xdr:rowOff>
    </xdr:from>
    <xdr:to>
      <xdr:col>10</xdr:col>
      <xdr:colOff>676274</xdr:colOff>
      <xdr:row>42</xdr:row>
      <xdr:rowOff>133350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1304925</xdr:colOff>
      <xdr:row>9</xdr:row>
      <xdr:rowOff>142874</xdr:rowOff>
    </xdr:from>
    <xdr:to>
      <xdr:col>10</xdr:col>
      <xdr:colOff>438150</xdr:colOff>
      <xdr:row>37</xdr:row>
      <xdr:rowOff>133349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1495426</xdr:colOff>
      <xdr:row>47</xdr:row>
      <xdr:rowOff>33336</xdr:rowOff>
    </xdr:from>
    <xdr:to>
      <xdr:col>10</xdr:col>
      <xdr:colOff>28576</xdr:colOff>
      <xdr:row>68</xdr:row>
      <xdr:rowOff>47624</xdr:rowOff>
    </xdr:to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304801</xdr:colOff>
      <xdr:row>10</xdr:row>
      <xdr:rowOff>123825</xdr:rowOff>
    </xdr:from>
    <xdr:to>
      <xdr:col>8</xdr:col>
      <xdr:colOff>1</xdr:colOff>
      <xdr:row>34</xdr:row>
      <xdr:rowOff>47625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hael" refreshedDate="42235.30022326389" createdVersion="5" refreshedVersion="5" minRefreshableVersion="3" recordCount="4042">
  <cacheSource type="worksheet">
    <worksheetSource name="Tabelle3"/>
  </cacheSource>
  <cacheFields count="13">
    <cacheField name="Datum" numFmtId="14">
      <sharedItems containsDate="1" containsBlank="1" containsMixedTypes="1" minDate="2003-07-01T00:00:00" maxDate="2015-08-19T00:00:00" count="2095">
        <d v="2003-07-01T00:00:00"/>
        <d v="2003-07-02T00:00:00"/>
        <d v="2003-07-03T00:00:00"/>
        <d v="2003-07-04T00:00:00"/>
        <d v="2003-07-07T00:00:00"/>
        <d v="2003-07-08T00:00:00"/>
        <d v="2003-07-09T00:00:00"/>
        <d v="2003-07-10T00:00:00"/>
        <d v="2003-07-11T00:00:00"/>
        <d v="2003-07-14T00:00:00"/>
        <d v="2003-07-15T00:00:00"/>
        <d v="2003-07-16T00:00:00"/>
        <d v="2003-07-17T00:00:00"/>
        <d v="2003-07-18T00:00:00"/>
        <d v="2003-07-21T00:00:00"/>
        <d v="2003-07-22T00:00:00"/>
        <d v="2003-07-23T00:00:00"/>
        <d v="2003-07-24T00:00:00"/>
        <d v="2003-07-25T00:00:00"/>
        <d v="2003-07-28T00:00:00"/>
        <d v="2003-07-29T00:00:00"/>
        <d v="2003-07-30T00:00:00"/>
        <d v="2003-07-31T00:00:00"/>
        <d v="2003-08-04T00:00:00"/>
        <d v="2003-08-05T00:00:00"/>
        <d v="2003-08-06T00:00:00"/>
        <d v="2003-08-07T00:00:00"/>
        <d v="2003-08-08T00:00:00"/>
        <d v="2003-08-11T00:00:00"/>
        <d v="2003-08-12T00:00:00"/>
        <d v="2003-08-13T00:00:00"/>
        <d v="2003-08-14T00:00:00"/>
        <d v="2003-08-15T00:00:00"/>
        <d v="2003-08-18T00:00:00"/>
        <d v="2003-08-19T00:00:00"/>
        <d v="2003-08-20T00:00:00"/>
        <d v="2003-08-21T00:00:00"/>
        <d v="2003-08-22T00:00:00"/>
        <d v="2003-09-08T00:00:00"/>
        <d v="2003-09-09T00:00:00"/>
        <d v="2003-09-10T00:00:00"/>
        <d v="2003-09-12T00:00:00"/>
        <d v="2003-09-15T00:00:00"/>
        <d v="2003-09-16T00:00:00"/>
        <d v="2003-09-17T00:00:00"/>
        <d v="2003-09-18T00:00:00"/>
        <d v="2003-09-22T00:00:00"/>
        <d v="2003-09-23T00:00:00"/>
        <d v="2003-09-24T00:00:00"/>
        <d v="2003-09-25T00:00:00"/>
        <d v="2003-09-26T00:00:00"/>
        <d v="2003-09-29T00:00:00"/>
        <d v="2003-09-30T00:00:00"/>
        <d v="2003-10-01T00:00:00"/>
        <d v="2003-10-06T00:00:00"/>
        <d v="2003-10-07T00:00:00"/>
        <d v="2003-10-08T00:00:00"/>
        <d v="2003-10-09T00:00:00"/>
        <d v="2003-10-13T00:00:00"/>
        <d v="2003-10-14T00:00:00"/>
        <d v="2003-10-15T00:00:00"/>
        <d v="2003-10-16T00:00:00"/>
        <d v="2003-10-17T00:00:00"/>
        <d v="2003-10-20T00:00:00"/>
        <d v="2003-10-21T00:00:00"/>
        <d v="2003-10-22T00:00:00"/>
        <d v="2003-10-23T00:00:00"/>
        <d v="2003-10-27T00:00:00"/>
        <d v="2003-10-28T00:00:00"/>
        <d v="2003-10-29T00:00:00"/>
        <d v="2003-10-30T00:00:00"/>
        <d v="2003-10-31T00:00:00"/>
        <d v="2003-11-04T00:00:00"/>
        <d v="2003-11-05T00:00:00"/>
        <d v="2003-11-06T00:00:00"/>
        <d v="2003-11-11T00:00:00"/>
        <d v="2003-11-12T00:00:00"/>
        <d v="2003-11-13T00:00:00"/>
        <d v="2003-11-14T00:00:00"/>
        <d v="2003-11-17T00:00:00"/>
        <d v="2003-11-18T00:00:00"/>
        <d v="2003-11-19T00:00:00"/>
        <d v="2003-11-20T00:00:00"/>
        <d v="2003-11-24T00:00:00"/>
        <d v="2003-11-25T00:00:00"/>
        <d v="2003-11-26T00:00:00"/>
        <d v="2003-11-27T00:00:00"/>
        <d v="2003-12-01T00:00:00"/>
        <d v="2003-12-02T00:00:00"/>
        <d v="2003-12-03T00:00:00"/>
        <d v="2003-12-04T00:00:00"/>
        <d v="2003-12-05T00:00:00"/>
        <d v="2003-12-08T00:00:00"/>
        <d v="2003-12-09T00:00:00"/>
        <d v="2003-12-10T00:00:00"/>
        <d v="2003-12-11T00:00:00"/>
        <d v="2003-12-12T00:00:00"/>
        <d v="2003-12-15T00:00:00"/>
        <d v="2003-12-16T00:00:00"/>
        <d v="2003-12-17T00:00:00"/>
        <d v="2003-12-18T00:00:00"/>
        <d v="2004-01-12T00:00:00"/>
        <d v="2004-01-14T00:00:00"/>
        <d v="2004-01-15T00:00:00"/>
        <d v="2004-01-16T00:00:00"/>
        <d v="2004-01-19T00:00:00"/>
        <d v="2004-01-20T00:00:00"/>
        <d v="2004-01-21T00:00:00"/>
        <d v="2004-01-22T00:00:00"/>
        <d v="2004-01-23T00:00:00"/>
        <d v="2004-01-26T00:00:00"/>
        <d v="2004-01-27T00:00:00"/>
        <d v="2004-01-28T00:00:00"/>
        <d v="2004-01-29T00:00:00"/>
        <d v="2004-01-30T00:00:00"/>
        <d v="2004-02-02T00:00:00"/>
        <d v="2004-02-03T00:00:00"/>
        <d v="2004-02-04T00:00:00"/>
        <d v="2004-02-05T00:00:00"/>
        <d v="2004-02-06T00:00:00"/>
        <d v="2004-02-11T00:00:00"/>
        <d v="2004-02-13T00:00:00"/>
        <d v="2004-02-16T00:00:00"/>
        <d v="2004-02-17T00:00:00"/>
        <d v="2004-02-18T00:00:00"/>
        <d v="2004-02-19T00:00:00"/>
        <d v="2004-03-01T00:00:00"/>
        <d v="2004-03-02T00:00:00"/>
        <d v="2004-03-03T00:00:00"/>
        <d v="2004-03-04T00:00:00"/>
        <d v="2004-03-05T00:00:00"/>
        <d v="2004-03-09T00:00:00"/>
        <d v="2004-03-10T00:00:00"/>
        <d v="2004-03-11T00:00:00"/>
        <d v="2004-03-12T00:00:00"/>
        <d v="2004-03-15T00:00:00"/>
        <d v="2004-03-16T00:00:00"/>
        <d v="2004-03-18T00:00:00"/>
        <d v="2004-03-19T00:00:00"/>
        <d v="2004-03-22T00:00:00"/>
        <d v="2004-03-23T00:00:00"/>
        <d v="2004-03-25T00:00:00"/>
        <d v="2004-03-29T00:00:00"/>
        <d v="2004-03-31T00:00:00"/>
        <d v="2004-04-01T00:00:00"/>
        <d v="2004-04-05T00:00:00"/>
        <d v="2004-04-06T00:00:00"/>
        <d v="2004-04-08T00:00:00"/>
        <d v="2004-04-13T00:00:00"/>
        <d v="2004-04-14T00:00:00"/>
        <d v="2004-04-15T00:00:00"/>
        <d v="2004-04-19T00:00:00"/>
        <d v="2004-04-20T00:00:00"/>
        <d v="2004-04-22T00:00:00"/>
        <d v="2004-04-23T00:00:00"/>
        <d v="2004-04-26T00:00:00"/>
        <d v="2004-04-27T00:00:00"/>
        <d v="2004-04-29T00:00:00"/>
        <d v="2004-04-30T00:00:00"/>
        <d v="2004-05-03T00:00:00"/>
        <d v="2004-05-04T00:00:00"/>
        <d v="2004-05-06T00:00:00"/>
        <d v="2004-05-07T00:00:00"/>
        <d v="2004-05-10T00:00:00"/>
        <d v="2004-05-11T00:00:00"/>
        <d v="2004-05-13T00:00:00"/>
        <d v="2004-05-14T00:00:00"/>
        <d v="2004-05-17T00:00:00"/>
        <d v="2004-05-18T00:00:00"/>
        <d v="2004-05-19T00:00:00"/>
        <d v="2004-06-07T00:00:00"/>
        <d v="2004-06-08T00:00:00"/>
        <d v="2004-06-09T00:00:00"/>
        <d v="2004-06-11T00:00:00"/>
        <d v="2004-06-21T00:00:00"/>
        <d v="2004-06-22T00:00:00"/>
        <d v="2004-06-23T00:00:00"/>
        <d v="2004-06-25T00:00:00"/>
        <d v="2004-06-28T00:00:00"/>
        <d v="2004-06-29T00:00:00"/>
        <d v="2004-06-30T00:00:00"/>
        <d v="2004-07-02T00:00:00"/>
        <d v="2004-07-05T00:00:00"/>
        <d v="2004-07-06T00:00:00"/>
        <d v="2004-07-08T00:00:00"/>
        <d v="2004-07-09T00:00:00"/>
        <d v="2004-07-12T00:00:00"/>
        <d v="2004-07-13T00:00:00"/>
        <d v="2004-07-14T00:00:00"/>
        <d v="2004-07-15T00:00:00"/>
        <d v="2004-07-16T00:00:00"/>
        <d v="2004-07-19T00:00:00"/>
        <d v="2004-07-21T00:00:00"/>
        <d v="2004-07-22T00:00:00"/>
        <d v="2004-07-23T00:00:00"/>
        <d v="2004-07-27T00:00:00"/>
        <d v="2004-07-28T00:00:00"/>
        <d v="2004-07-29T00:00:00"/>
        <d v="2004-07-30T00:00:00"/>
        <d v="2004-08-02T00:00:00"/>
        <d v="2004-08-03T00:00:00"/>
        <d v="2004-08-04T00:00:00"/>
        <d v="2004-08-09T00:00:00"/>
        <d v="2004-08-10T00:00:00"/>
        <d v="2004-08-11T00:00:00"/>
        <d v="2004-08-12T00:00:00"/>
        <d v="2004-08-18T00:00:00"/>
        <d v="2004-08-19T00:00:00"/>
        <d v="2004-08-20T00:00:00"/>
        <d v="2004-08-23T00:00:00"/>
        <d v="2004-08-24T00:00:00"/>
        <d v="2004-08-25T00:00:00"/>
        <d v="2004-08-26T00:00:00"/>
        <d v="2004-08-30T00:00:00"/>
        <d v="2004-08-31T00:00:00"/>
        <d v="2004-09-01T00:00:00"/>
        <d v="2004-09-02T00:00:00"/>
        <d v="2004-09-06T00:00:00"/>
        <d v="2004-09-07T00:00:00"/>
        <d v="2004-09-08T00:00:00"/>
        <d v="2004-09-09T00:00:00"/>
        <d v="2004-09-13T00:00:00"/>
        <d v="2004-09-14T00:00:00"/>
        <d v="2004-09-15T00:00:00"/>
        <d v="2004-09-16T00:00:00"/>
        <d v="2004-09-20T00:00:00"/>
        <d v="2004-09-21T00:00:00"/>
        <d v="2004-09-23T00:00:00"/>
        <d v="2004-09-24T00:00:00"/>
        <d v="2004-09-27T00:00:00"/>
        <d v="2004-09-28T00:00:00"/>
        <d v="2004-09-29T00:00:00"/>
        <d v="2004-09-30T00:00:00"/>
        <d v="2004-10-04T00:00:00"/>
        <d v="2004-10-05T00:00:00"/>
        <d v="2004-10-06T00:00:00"/>
        <d v="2004-10-08T00:00:00"/>
        <d v="2004-10-11T00:00:00"/>
        <d v="2004-10-13T00:00:00"/>
        <d v="2004-10-14T00:00:00"/>
        <d v="2004-10-18T00:00:00"/>
        <d v="2004-10-19T00:00:00"/>
        <d v="2004-10-21T00:00:00"/>
        <d v="2004-10-22T00:00:00"/>
        <d v="2004-10-25T00:00:00"/>
        <d v="2004-10-26T00:00:00"/>
        <d v="2004-10-28T00:00:00"/>
        <d v="2004-10-29T00:00:00"/>
        <d v="2004-11-03T00:00:00"/>
        <d v="2004-11-04T00:00:00"/>
        <d v="2004-11-05T00:00:00"/>
        <d v="2004-11-08T00:00:00"/>
        <d v="2004-11-09T00:00:00"/>
        <d v="2004-11-10T00:00:00"/>
        <d v="2004-11-12T00:00:00"/>
        <d v="2004-11-15T00:00:00"/>
        <d v="2004-11-16T00:00:00"/>
        <d v="2004-11-17T00:00:00"/>
        <d v="2004-11-18T00:00:00"/>
        <d v="2004-11-19T00:00:00"/>
        <d v="2004-11-22T00:00:00"/>
        <d v="2004-11-23T00:00:00"/>
        <d v="2004-11-24T00:00:00"/>
        <d v="2004-11-25T00:00:00"/>
        <d v="2005-01-04T00:00:00"/>
        <d v="2005-01-05T00:00:00"/>
        <d v="2005-01-10T00:00:00"/>
        <d v="2005-01-11T00:00:00"/>
        <d v="2005-01-12T00:00:00"/>
        <d v="2005-01-13T00:00:00"/>
        <d v="2005-01-17T00:00:00"/>
        <d v="2005-01-18T00:00:00"/>
        <d v="2005-01-19T00:00:00"/>
        <d v="2005-01-20T00:00:00"/>
        <d v="2005-01-24T00:00:00"/>
        <d v="2005-01-25T00:00:00"/>
        <d v="2005-01-26T00:00:00"/>
        <d v="2005-01-27T00:00:00"/>
        <d v="2005-01-31T00:00:00"/>
        <d v="2005-02-01T00:00:00"/>
        <d v="2005-02-02T00:00:00"/>
        <d v="2005-02-09T00:00:00"/>
        <d v="2005-02-10T00:00:00"/>
        <d v="2005-02-14T00:00:00"/>
        <d v="2005-02-15T00:00:00"/>
        <d v="2005-02-16T00:00:00"/>
        <d v="2005-02-17T00:00:00"/>
        <d v="2005-02-18T00:00:00"/>
        <d v="2005-02-22T00:00:00"/>
        <d v="2005-02-23T00:00:00"/>
        <d v="2005-02-24T00:00:00"/>
        <d v="2005-02-28T00:00:00"/>
        <d v="2005-03-02T00:00:00"/>
        <d v="2005-03-03T00:00:00"/>
        <d v="2005-03-07T00:00:00"/>
        <d v="2005-03-08T00:00:00"/>
        <d v="2005-03-09T00:00:00"/>
        <d v="2005-03-11T00:00:00"/>
        <d v="2005-03-14T00:00:00"/>
        <d v="2005-03-15T00:00:00"/>
        <d v="2005-03-16T00:00:00"/>
        <d v="2005-03-17T00:00:00"/>
        <d v="2005-03-21T00:00:00"/>
        <d v="2005-03-22T00:00:00"/>
        <d v="2005-03-23T00:00:00"/>
        <d v="2005-03-24T00:00:00"/>
        <d v="2005-03-29T00:00:00"/>
        <d v="2005-03-30T00:00:00"/>
        <d v="2005-03-31T00:00:00"/>
        <d v="2005-04-01T00:00:00"/>
        <d v="2005-04-04T00:00:00"/>
        <d v="2005-04-05T00:00:00"/>
        <d v="2005-04-06T00:00:00"/>
        <d v="2005-04-07T00:00:00"/>
        <d v="2005-04-11T00:00:00"/>
        <d v="2005-04-12T00:00:00"/>
        <d v="2005-04-13T00:00:00"/>
        <d v="2005-04-14T00:00:00"/>
        <d v="2005-04-18T00:00:00"/>
        <d v="2005-04-19T00:00:00"/>
        <d v="2005-04-20T00:00:00"/>
        <d v="2005-04-21T00:00:00"/>
        <d v="2005-04-22T00:00:00"/>
        <d v="2005-04-25T00:00:00"/>
        <d v="2005-04-26T00:00:00"/>
        <d v="2005-04-27T00:00:00"/>
        <d v="2005-04-28T00:00:00"/>
        <d v="2005-05-02T00:00:00"/>
        <d v="2005-05-03T00:00:00"/>
        <d v="2005-05-04T00:00:00"/>
        <d v="2005-05-09T00:00:00"/>
        <d v="2005-05-10T00:00:00"/>
        <d v="2005-05-11T00:00:00"/>
        <d v="2005-05-12T00:00:00"/>
        <d v="2005-05-13T00:00:00"/>
        <d v="2005-05-17T00:00:00"/>
        <d v="2005-05-18T00:00:00"/>
        <d v="2005-05-19T00:00:00"/>
        <d v="2005-05-20T00:00:00"/>
        <d v="2005-05-30T00:00:00"/>
        <d v="2005-05-31T00:00:00"/>
        <d v="2005-06-01T00:00:00"/>
        <d v="2005-06-02T00:00:00"/>
        <d v="2005-06-06T00:00:00"/>
        <d v="2005-06-07T00:00:00"/>
        <d v="2005-06-08T00:00:00"/>
        <d v="2005-06-09T00:00:00"/>
        <d v="2005-06-13T00:00:00"/>
        <d v="2005-06-14T00:00:00"/>
        <d v="2005-06-15T00:00:00"/>
        <d v="2005-06-16T00:00:00"/>
        <d v="2005-06-21T00:00:00"/>
        <d v="2005-06-22T00:00:00"/>
        <d v="2005-06-23T00:00:00"/>
        <d v="2005-06-27T00:00:00"/>
        <d v="2005-06-28T00:00:00"/>
        <d v="2005-06-29T00:00:00"/>
        <d v="2005-06-30T00:00:00"/>
        <d v="2005-07-05T00:00:00"/>
        <d v="2005-07-06T00:00:00"/>
        <d v="2005-07-07T00:00:00"/>
        <d v="2005-07-11T00:00:00"/>
        <d v="2005-07-12T00:00:00"/>
        <d v="2005-07-15T00:00:00"/>
        <d v="2005-07-18T00:00:00"/>
        <d v="2005-07-19T00:00:00"/>
        <d v="2005-07-20T00:00:00"/>
        <d v="2005-07-21T00:00:00"/>
        <d v="2005-07-26T00:00:00"/>
        <d v="2005-07-27T00:00:00"/>
        <d v="2005-07-28T00:00:00"/>
        <d v="2005-07-29T00:00:00"/>
        <d v="2005-08-01T00:00:00"/>
        <d v="2005-08-02T00:00:00"/>
        <d v="2005-08-15T00:00:00"/>
        <d v="2005-08-16T00:00:00"/>
        <d v="2005-08-17T00:00:00"/>
        <d v="2005-08-18T00:00:00"/>
        <d v="2005-08-19T00:00:00"/>
        <d v="2005-08-22T00:00:00"/>
        <d v="2005-08-23T00:00:00"/>
        <d v="2005-08-24T00:00:00"/>
        <d v="2005-08-29T00:00:00"/>
        <d v="2005-08-30T00:00:00"/>
        <d v="2005-08-31T00:00:00"/>
        <d v="2005-09-01T00:00:00"/>
        <d v="2005-09-05T00:00:00"/>
        <d v="2005-09-06T00:00:00"/>
        <d v="2005-09-07T00:00:00"/>
        <d v="2005-09-08T00:00:00"/>
        <d v="2005-09-09T00:00:00"/>
        <d v="2005-09-12T00:00:00"/>
        <d v="2005-09-14T00:00:00"/>
        <d v="2005-09-15T00:00:00"/>
        <d v="2005-09-16T00:00:00"/>
        <d v="2005-09-19T00:00:00"/>
        <d v="2005-09-22T00:00:00"/>
        <d v="2005-09-26T00:00:00"/>
        <d v="2005-09-27T00:00:00"/>
        <d v="2005-09-28T00:00:00"/>
        <d v="2005-09-29T00:00:00"/>
        <d v="2005-09-30T00:00:00"/>
        <d v="2005-10-04T00:00:00"/>
        <d v="2005-10-05T00:00:00"/>
        <d v="2005-10-06T00:00:00"/>
        <d v="2005-10-10T00:00:00"/>
        <d v="2005-10-11T00:00:00"/>
        <d v="2005-10-12T00:00:00"/>
        <d v="2005-10-13T00:00:00"/>
        <d v="2005-10-14T00:00:00"/>
        <d v="2005-10-17T00:00:00"/>
        <d v="2005-10-18T00:00:00"/>
        <d v="2005-10-19T00:00:00"/>
        <d v="2005-10-20T00:00:00"/>
        <d v="2005-10-21T00:00:00"/>
        <d v="2005-10-24T00:00:00"/>
        <d v="2005-10-25T00:00:00"/>
        <d v="2005-10-26T00:00:00"/>
        <d v="2005-11-07T00:00:00"/>
        <d v="2005-11-08T00:00:00"/>
        <d v="2005-11-09T00:00:00"/>
        <d v="2005-11-10T00:00:00"/>
        <d v="2005-11-11T00:00:00"/>
        <d v="2005-11-14T00:00:00"/>
        <d v="2005-11-15T00:00:00"/>
        <d v="2005-11-16T00:00:00"/>
        <d v="2005-11-17T00:00:00"/>
        <d v="2005-11-18T00:00:00"/>
        <d v="2005-11-21T00:00:00"/>
        <d v="2005-11-22T00:00:00"/>
        <d v="2005-11-23T00:00:00"/>
        <d v="2005-11-24T00:00:00"/>
        <d v="2005-11-28T00:00:00"/>
        <d v="2005-11-29T00:00:00"/>
        <d v="2005-11-30T00:00:00"/>
        <d v="2005-12-01T00:00:00"/>
        <d v="2005-12-02T00:00:00"/>
        <d v="2005-12-05T00:00:00"/>
        <d v="2005-12-06T00:00:00"/>
        <d v="2005-12-07T00:00:00"/>
        <d v="2005-12-08T00:00:00"/>
        <d v="2005-12-09T00:00:00"/>
        <d v="2005-12-12T00:00:00"/>
        <d v="2005-12-13T00:00:00"/>
        <d v="2005-12-14T00:00:00"/>
        <d v="2005-12-15T00:00:00"/>
        <d v="2005-12-16T00:00:00"/>
        <d v="2005-12-19T00:00:00"/>
        <d v="2005-12-20T00:00:00"/>
        <d v="2005-12-21T00:00:00"/>
        <d v="2005-12-22T00:00:00"/>
        <d v="2005-12-23T00:00:00"/>
        <d v="2006-01-09T00:00:00"/>
        <d v="2006-01-10T00:00:00"/>
        <d v="2006-01-11T00:00:00"/>
        <d v="2006-01-12T00:00:00"/>
        <d v="2006-01-16T00:00:00"/>
        <d v="2006-01-17T00:00:00"/>
        <d v="2006-01-18T00:00:00"/>
        <d v="2006-01-19T00:00:00"/>
        <d v="2006-01-23T00:00:00"/>
        <d v="2006-01-24T00:00:00"/>
        <d v="2006-01-25T00:00:00"/>
        <d v="2006-01-26T00:00:00"/>
        <d v="2006-01-30T00:00:00"/>
        <d v="2006-01-31T00:00:00"/>
        <d v="2006-02-01T00:00:00"/>
        <d v="2006-02-02T00:00:00"/>
        <d v="2006-02-06T00:00:00"/>
        <d v="2006-02-07T00:00:00"/>
        <d v="2006-02-10T00:00:00"/>
        <d v="2006-02-15T00:00:00"/>
        <d v="2006-02-16T00:00:00"/>
        <d v="2006-02-17T00:00:00"/>
        <d v="2006-02-20T00:00:00"/>
        <d v="2006-02-21T00:00:00"/>
        <d v="2006-02-22T00:00:00"/>
        <d v="2006-02-23T00:00:00"/>
        <d v="2006-02-27T00:00:00"/>
        <d v="2006-03-01T00:00:00"/>
        <d v="2006-03-02T00:00:00"/>
        <d v="2006-03-06T00:00:00"/>
        <d v="2006-03-07T00:00:00"/>
        <d v="2006-03-08T00:00:00"/>
        <d v="2006-03-09T00:00:00"/>
        <d v="2006-03-20T00:00:00"/>
        <d v="2006-03-21T00:00:00"/>
        <d v="2006-03-22T00:00:00"/>
        <d v="2006-03-24T00:00:00"/>
        <d v="2006-03-27T00:00:00"/>
        <d v="2006-03-28T00:00:00"/>
        <d v="2006-03-29T00:00:00"/>
        <d v="2006-03-31T00:00:00"/>
        <d v="2006-04-03T00:00:00"/>
        <d v="2006-04-04T00:00:00"/>
        <d v="2006-04-05T00:00:00"/>
        <d v="2006-04-07T00:00:00"/>
        <d v="2006-04-12T00:00:00"/>
        <d v="2006-04-18T00:00:00"/>
        <d v="2006-04-19T00:00:00"/>
        <d v="2006-04-24T00:00:00"/>
        <d v="2006-04-25T00:00:00"/>
        <d v="2006-04-26T00:00:00"/>
        <d v="2006-04-28T00:00:00"/>
        <d v="2006-05-02T00:00:00"/>
        <d v="2006-05-03T00:00:00"/>
        <d v="2006-05-05T00:00:00"/>
        <d v="2006-05-08T00:00:00"/>
        <d v="2006-05-09T00:00:00"/>
        <d v="2006-05-10T00:00:00"/>
        <d v="2006-05-12T00:00:00"/>
        <d v="2006-05-15T00:00:00"/>
        <d v="2006-05-17T00:00:00"/>
        <d v="2006-05-18T00:00:00"/>
        <d v="2006-05-19T00:00:00"/>
        <d v="2006-05-22T00:00:00"/>
        <d v="2006-05-23T00:00:00"/>
        <d v="2006-05-24T00:00:00"/>
        <d v="2006-05-29T00:00:00"/>
        <d v="2006-05-30T00:00:00"/>
        <d v="2006-06-12T00:00:00"/>
        <d v="2006-06-13T00:00:00"/>
        <d v="2006-06-14T00:00:00"/>
        <d v="2006-06-19T00:00:00"/>
        <d v="2006-06-20T00:00:00"/>
        <d v="2006-06-21T00:00:00"/>
        <d v="2006-06-22T00:00:00"/>
        <d v="2006-06-26T00:00:00"/>
        <d v="2006-06-27T00:00:00"/>
        <d v="2006-06-28T00:00:00"/>
        <d v="2006-06-29T00:00:00"/>
        <d v="2006-07-03T00:00:00"/>
        <d v="2006-07-05T00:00:00"/>
        <d v="2006-07-06T00:00:00"/>
        <d v="2006-07-10T00:00:00"/>
        <d v="2006-07-11T00:00:00"/>
        <d v="2006-07-12T00:00:00"/>
        <d v="2006-07-13T00:00:00"/>
        <d v="2006-07-14T00:00:00"/>
        <d v="2006-07-17T00:00:00"/>
        <d v="2006-07-18T00:00:00"/>
        <d v="2006-07-19T00:00:00"/>
        <d v="2006-07-20T00:00:00"/>
        <d v="2006-07-21T00:00:00"/>
        <d v="2006-07-24T00:00:00"/>
        <d v="2006-07-25T00:00:00"/>
        <d v="2006-07-26T00:00:00"/>
        <d v="2006-07-27T00:00:00"/>
        <d v="2006-07-28T00:00:00"/>
        <d v="2006-08-01T00:00:00"/>
        <d v="2006-08-14T00:00:00"/>
        <d v="2006-08-15T00:00:00"/>
        <d v="2006-08-16T00:00:00"/>
        <d v="2006-08-17T00:00:00"/>
        <d v="2006-08-21T00:00:00"/>
        <d v="2006-08-22T00:00:00"/>
        <d v="2006-08-23T00:00:00"/>
        <d v="2006-08-24T00:00:00"/>
        <d v="2006-08-28T00:00:00"/>
        <d v="2006-08-29T00:00:00"/>
        <d v="2006-08-30T00:00:00"/>
        <d v="2006-09-06T00:00:00"/>
        <d v="2006-09-07T00:00:00"/>
        <d v="2006-09-08T00:00:00"/>
        <d v="2006-09-11T00:00:00"/>
        <d v="2006-09-12T00:00:00"/>
        <d v="2006-09-13T00:00:00"/>
        <d v="2006-09-14T00:00:00"/>
        <d v="2006-09-15T00:00:00"/>
        <d v="2006-09-18T00:00:00"/>
        <d v="2006-09-19T00:00:00"/>
        <d v="2006-09-20T00:00:00"/>
        <d v="2006-09-21T00:00:00"/>
        <d v="2006-09-25T00:00:00"/>
        <d v="2006-10-04T00:00:00"/>
        <d v="2006-10-06T00:00:00"/>
        <d v="2006-10-13T00:00:00"/>
        <d v="2006-10-20T00:00:00"/>
        <d v="2006-10-27T00:00:00"/>
        <d v="2006-10-26T00:00:00"/>
        <d v="2006-11-03T00:00:00"/>
        <d v="2006-11-10T00:00:00"/>
        <d v="2006-11-15T00:00:00"/>
        <d v="2006-11-16T00:00:00"/>
        <d v="2006-11-17T00:00:00"/>
        <d v="2006-11-24T00:00:00"/>
        <d v="2006-11-30T00:00:00"/>
        <d v="2006-12-01T00:00:00"/>
        <d v="2006-12-11T00:00:00"/>
        <d v="2006-12-18T00:00:00"/>
        <d v="2007-01-08T00:00:00"/>
        <d v="2007-01-09T00:00:00"/>
        <d v="2007-01-11T00:00:00"/>
        <d v="2007-01-12T00:00:00"/>
        <d v="2007-01-17T00:00:00"/>
        <d v="2007-01-20T00:00:00"/>
        <d v="2007-01-21T00:00:00"/>
        <d v="2007-01-23T00:00:00"/>
        <d v="2007-01-24T00:00:00"/>
        <d v="2007-01-26T00:00:00"/>
        <d v="2007-01-30T00:00:00"/>
        <d v="2007-02-02T00:00:00"/>
        <d v="2007-02-05T00:00:00"/>
        <d v="2007-02-06T00:00:00"/>
        <d v="2007-02-07T00:00:00"/>
        <d v="2007-02-08T00:00:00"/>
        <d v="2007-02-09T00:00:00"/>
        <d v="2007-02-12T00:00:00"/>
        <d v="2007-02-13T00:00:00"/>
        <d v="2007-02-14T00:00:00"/>
        <d v="2007-02-19T00:00:00"/>
        <d v="2007-02-22T00:00:00"/>
        <d v="2007-02-23T00:00:00"/>
        <d v="2007-02-25T00:00:00"/>
        <e v="#VALUE!"/>
        <d v="2007-03-01T00:00:00"/>
        <d v="2007-03-07T00:00:00"/>
        <d v="2007-03-09T00:00:00"/>
        <d v="2007-03-12T00:00:00"/>
        <d v="2007-03-13T00:00:00"/>
        <d v="2007-03-15T00:00:00"/>
        <d v="2007-03-16T00:00:00"/>
        <d v="2007-03-19T00:00:00"/>
        <d v="2007-03-21T00:00:00"/>
        <d v="2007-03-24T00:00:00"/>
        <d v="2007-03-25T00:00:00"/>
        <d v="2007-04-11T00:00:00"/>
        <d v="2007-04-15T00:00:00"/>
        <d v="2007-04-16T00:00:00"/>
        <d v="2007-04-17T00:00:00"/>
        <d v="2007-04-18T00:00:00"/>
        <d v="2007-04-19T00:00:00"/>
        <d v="2007-04-20T00:00:00"/>
        <d v="2007-04-21T00:00:00"/>
        <d v="2007-04-22T00:00:00"/>
        <d v="2007-04-23T00:00:00"/>
        <d v="2007-04-27T00:00:00"/>
        <d v="2007-04-29T00:00:00"/>
        <d v="2007-04-30T00:00:00"/>
        <d v="2007-05-03T00:00:00"/>
        <d v="2007-05-04T00:00:00"/>
        <d v="2007-05-05T00:00:00"/>
        <d v="2007-05-06T00:00:00"/>
        <d v="2007-05-07T00:00:00"/>
        <d v="2007-05-09T00:00:00"/>
        <d v="2007-05-14T00:00:00"/>
        <d v="2007-05-15T00:00:00"/>
        <d v="2007-05-16T00:00:00"/>
        <d v="2007-05-18T00:00:00"/>
        <d v="2007-05-22T00:00:00"/>
        <d v="2007-05-23T00:00:00"/>
        <d v="2007-05-25T00:00:00"/>
        <d v="2007-05-26T00:00:00"/>
        <d v="2007-06-01T00:00:00"/>
        <d v="2007-06-13T00:00:00"/>
        <d v="2007-06-14T00:00:00"/>
        <d v="2007-06-15T00:00:00"/>
        <d v="2007-06-18T00:00:00"/>
        <d v="2007-06-19T00:00:00"/>
        <d v="2007-06-20T00:00:00"/>
        <d v="2007-06-22T00:00:00"/>
        <d v="2007-06-25T00:00:00"/>
        <d v="2007-06-26T00:00:00"/>
        <d v="2007-06-28T00:00:00"/>
        <d v="2007-07-02T00:00:00"/>
        <d v="2007-07-09T00:00:00"/>
        <d v="2007-07-10T00:00:00"/>
        <d v="2007-07-14T00:00:00"/>
        <d v="2007-07-16T00:00:00"/>
        <d v="2007-07-17T00:00:00"/>
        <d v="2007-07-18T00:00:00"/>
        <d v="2007-07-19T00:00:00"/>
        <d v="2007-07-20T00:00:00"/>
        <d v="2007-07-21T00:00:00"/>
        <d v="2007-07-22T00:00:00"/>
        <d v="2007-07-23T00:00:00"/>
        <d v="2007-07-24T00:00:00"/>
        <d v="2007-07-25T00:00:00"/>
        <d v="2007-07-26T00:00:00"/>
        <d v="2007-07-27T00:00:00"/>
        <d v="2007-07-29T00:00:00"/>
        <d v="2007-07-30T00:00:00"/>
        <d v="2007-07-31T00:00:00"/>
        <d v="2007-08-01T00:00:00"/>
        <d v="2007-08-02T00:00:00"/>
        <d v="2007-08-03T00:00:00"/>
        <d v="2007-08-23T00:00:00"/>
        <d v="2007-08-27T00:00:00"/>
        <d v="2007-08-28T00:00:00"/>
        <d v="2007-08-29T00:00:00"/>
        <d v="2007-08-30T00:00:00"/>
        <d v="2007-08-31T00:00:00"/>
        <d v="2007-09-03T00:00:00"/>
        <d v="2007-09-04T00:00:00"/>
        <d v="2007-09-05T00:00:00"/>
        <d v="2007-09-06T00:00:00"/>
        <d v="2007-09-07T00:00:00"/>
        <d v="2007-09-11T00:00:00"/>
        <d v="2007-09-12T00:00:00"/>
        <d v="2007-09-17T00:00:00"/>
        <d v="2007-09-19T00:00:00"/>
        <d v="2007-09-23T00:00:00"/>
        <d v="2007-09-24T00:00:00"/>
        <d v="2007-09-27T00:00:00"/>
        <d v="2007-09-28T00:00:00"/>
        <d v="2007-09-29T00:00:00"/>
        <d v="2007-09-30T00:00:00"/>
        <d v="2007-10-03T00:00:00"/>
        <d v="2007-10-04T00:00:00"/>
        <d v="2007-10-08T00:00:00"/>
        <d v="2007-10-09T00:00:00"/>
        <d v="2007-10-15T00:00:00"/>
        <d v="2007-10-16T00:00:00"/>
        <d v="2007-10-19T00:00:00"/>
        <d v="2007-10-22T00:00:00"/>
        <d v="2007-10-23T00:00:00"/>
        <d v="2007-10-25T00:00:00"/>
        <d v="2007-10-29T00:00:00"/>
        <d v="2007-10-30T00:00:00"/>
        <d v="2007-10-31T00:00:00"/>
        <d v="2007-11-01T00:00:00"/>
        <d v="2007-11-05T00:00:00"/>
        <d v="2007-11-06T00:00:00"/>
        <d v="2007-11-07T00:00:00"/>
        <d v="2007-11-08T00:00:00"/>
        <d v="2007-11-11T00:00:00"/>
        <d v="2007-11-12T00:00:00"/>
        <d v="2007-11-13T00:00:00"/>
        <d v="2007-11-14T00:00:00"/>
        <d v="2007-11-15T00:00:00"/>
        <d v="2007-11-16T00:00:00"/>
        <d v="2007-11-19T00:00:00"/>
        <d v="2007-11-20T00:00:00"/>
        <d v="2007-11-26T00:00:00"/>
        <d v="2007-11-30T00:00:00"/>
        <d v="2007-12-03T00:00:00"/>
        <d v="2007-12-10T00:00:00"/>
        <d v="2007-12-11T00:00:00"/>
        <d v="2007-12-18T00:00:00"/>
        <d v="2007-12-20T00:00:00"/>
        <d v="2007-12-21T00:00:00"/>
        <d v="2008-01-16T00:00:00"/>
        <d v="2008-01-25T00:00:00"/>
        <d v="2008-01-28T00:00:00"/>
        <d v="2008-01-29T00:00:00"/>
        <d v="2008-01-30T00:00:00"/>
        <d v="2008-01-31T00:00:00"/>
        <d v="2008-02-01T00:00:00"/>
        <d v="2008-02-20T00:00:00"/>
        <d v="2008-02-26T00:00:00"/>
        <d v="2008-02-28T00:00:00"/>
        <d v="2008-03-07T00:00:00"/>
        <d v="2008-03-18T00:00:00"/>
        <d v="2008-03-19T00:00:00"/>
        <d v="2008-03-30T00:00:00"/>
        <d v="2008-03-31T00:00:00"/>
        <d v="2008-04-02T00:00:00"/>
        <d v="2008-04-08T00:00:00"/>
        <d v="2008-04-09T00:00:00"/>
        <d v="2008-04-11T00:00:00"/>
        <d v="2008-04-14T00:00:00"/>
        <d v="2008-04-23T00:00:00"/>
        <d v="2008-04-24T00:00:00"/>
        <d v="2008-04-25T00:00:00"/>
        <d v="2008-04-28T00:00:00"/>
        <d v="2008-04-30T00:00:00"/>
        <d v="2008-05-02T00:00:00"/>
        <d v="2008-05-08T00:00:00"/>
        <d v="2008-05-09T00:00:00"/>
        <d v="2008-05-16T00:00:00"/>
        <d v="2008-05-19T00:00:00"/>
        <d v="2008-05-20T00:00:00"/>
        <d v="2008-05-22T00:00:00"/>
        <d v="2008-05-23T00:00:00"/>
        <d v="2008-05-26T00:00:00"/>
        <d v="2008-05-27T00:00:00"/>
        <d v="2008-05-28T00:00:00"/>
        <d v="2008-05-29T00:00:00"/>
        <d v="2008-05-30T00:00:00"/>
        <d v="2008-06-04T00:00:00"/>
        <d v="2008-06-10T00:00:00"/>
        <d v="2008-06-11T00:00:00"/>
        <d v="2008-06-19T00:00:00"/>
        <d v="2008-06-20T00:00:00"/>
        <d v="2008-06-21T00:00:00"/>
        <d v="2008-06-25T00:00:00"/>
        <d v="2008-06-30T00:00:00"/>
        <d v="2008-07-02T00:00:00"/>
        <d v="2008-07-03T00:00:00"/>
        <d v="2008-07-09T00:00:00"/>
        <d v="2008-07-10T00:00:00"/>
        <d v="2008-07-11T00:00:00"/>
        <d v="2008-07-16T00:00:00"/>
        <d v="2008-07-24T00:00:00"/>
        <d v="2008-08-19T00:00:00"/>
        <d v="2008-08-21T00:00:00"/>
        <d v="2008-08-22T00:00:00"/>
        <d v="2008-08-25T00:00:00"/>
        <d v="2008-08-28T00:00:00"/>
        <d v="2008-08-29T00:00:00"/>
        <d v="2008-09-01T00:00:00"/>
        <d v="2008-09-09T00:00:00"/>
        <d v="2008-09-10T00:00:00"/>
        <d v="2008-09-16T00:00:00"/>
        <d v="2008-09-22T00:00:00"/>
        <d v="2008-09-23T00:00:00"/>
        <d v="2008-09-24T00:00:00"/>
        <d v="2008-09-25T00:00:00"/>
        <d v="2008-10-07T00:00:00"/>
        <d v="2008-10-10T00:00:00"/>
        <d v="2008-10-14T00:00:00"/>
        <d v="2008-10-15T00:00:00"/>
        <d v="2008-10-16T00:00:00"/>
        <d v="2008-10-22T00:00:00"/>
        <d v="2008-10-28T00:00:00"/>
        <d v="2008-10-29T00:00:00"/>
        <d v="2008-11-17T00:00:00"/>
        <d v="2008-11-21T00:00:00"/>
        <d v="2008-11-25T00:00:00"/>
        <d v="2008-11-26T00:00:00"/>
        <d v="2008-12-09T00:00:00"/>
        <d v="2008-12-10T00:00:00"/>
        <d v="2008-12-15T00:00:00"/>
        <d v="2008-12-17T00:00:00"/>
        <d v="2008-12-18T00:00:00"/>
        <d v="2008-12-19T00:00:00"/>
        <d v="2008-12-20T00:00:00"/>
        <d v="2008-12-23T00:00:00"/>
        <d v="2009-01-05T00:00:00"/>
        <d v="2009-01-12T00:00:00"/>
        <d v="2009-01-14T00:00:00"/>
        <d v="2009-01-15T00:00:00"/>
        <d v="2009-01-16T00:00:00"/>
        <d v="2009-01-19T00:00:00"/>
        <d v="2009-01-30T00:00:00"/>
        <d v="2009-02-05T00:00:00"/>
        <d v="2009-02-12T00:00:00"/>
        <d v="2009-02-13T00:00:00"/>
        <d v="2009-02-15T00:00:00"/>
        <d v="2009-02-16T00:00:00"/>
        <d v="2009-02-17T00:00:00"/>
        <d v="2009-02-18T00:00:00"/>
        <d v="2009-02-20T00:00:00"/>
        <d v="2009-02-23T00:00:00"/>
        <d v="2009-02-24T00:00:00"/>
        <d v="2009-02-27T00:00:00"/>
        <d v="2009-03-04T00:00:00"/>
        <d v="2009-03-05T00:00:00"/>
        <d v="2009-03-06T00:00:00"/>
        <d v="2009-03-09T00:00:00"/>
        <d v="2009-03-10T00:00:00"/>
        <d v="2009-03-11T00:00:00"/>
        <d v="2009-03-12T00:00:00"/>
        <d v="2009-03-18T00:00:00"/>
        <d v="2009-03-24T00:00:00"/>
        <d v="2009-03-25T00:00:00"/>
        <d v="2009-03-26T00:00:00"/>
        <d v="2009-03-30T00:00:00"/>
        <d v="2009-03-31T00:00:00"/>
        <d v="2009-04-03T00:00:00"/>
        <d v="2009-04-06T00:00:00"/>
        <d v="2009-04-07T00:00:00"/>
        <d v="2009-04-15T00:00:00"/>
        <d v="2009-04-16T00:00:00"/>
        <d v="2009-04-17T00:00:00"/>
        <d v="2009-04-20T00:00:00"/>
        <d v="2009-04-21T00:00:00"/>
        <d v="2009-04-29T00:00:00"/>
        <d v="2009-04-30T00:00:00"/>
        <d v="2009-05-05T00:00:00"/>
        <d v="2009-05-06T00:00:00"/>
        <d v="2009-05-07T00:00:00"/>
        <d v="2009-05-11T00:00:00"/>
        <d v="2009-05-12T00:00:00"/>
        <d v="2009-05-13T00:00:00"/>
        <d v="2009-05-14T00:00:00"/>
        <d v="2009-05-15T00:00:00"/>
        <d v="2009-05-18T00:00:00"/>
        <d v="2009-05-19T00:00:00"/>
        <d v="2009-06-04T00:00:00"/>
        <d v="2009-06-05T00:00:00"/>
        <d v="2009-06-08T00:00:00"/>
        <d v="2009-06-09T00:00:00"/>
        <d v="2009-06-10T00:00:00"/>
        <d v="2009-06-12T00:00:00"/>
        <d v="2009-06-16T00:00:00"/>
        <d v="2009-06-17T00:00:00"/>
        <d v="2009-06-18T00:00:00"/>
        <d v="2009-06-22T00:00:00"/>
        <d v="2009-06-23T00:00:00"/>
        <d v="2009-06-26T00:00:00"/>
        <d v="2009-06-29T00:00:00"/>
        <d v="2009-07-01T00:00:00"/>
        <d v="2009-07-06T00:00:00"/>
        <d v="2009-07-07T00:00:00"/>
        <d v="2009-07-08T00:00:00"/>
        <d v="2009-07-10T00:00:00"/>
        <d v="2009-07-13T00:00:00"/>
        <d v="2009-07-17T00:00:00"/>
        <d v="2009-07-20T00:00:00"/>
        <d v="2009-07-21T00:00:00"/>
        <d v="2009-07-22T00:00:00"/>
        <d v="2009-07-28T00:00:00"/>
        <d v="2009-07-29T00:00:00"/>
        <d v="2009-07-31T00:00:00"/>
        <d v="2009-08-03T00:00:00"/>
        <d v="2009-08-06T00:00:00"/>
        <d v="2009-08-12T00:00:00"/>
        <d v="2009-09-03T00:00:00"/>
        <d v="2009-09-10T00:00:00"/>
        <d v="2009-09-17T00:00:00"/>
        <d v="2009-09-18T00:00:00"/>
        <d v="2009-09-21T00:00:00"/>
        <d v="2009-09-22T00:00:00"/>
        <d v="2009-09-23T00:00:00"/>
        <d v="2009-09-25T00:00:00"/>
        <d v="2009-09-28T00:00:00"/>
        <d v="2009-09-29T00:00:00"/>
        <d v="2009-09-30T00:00:00"/>
        <d v="2009-10-14T00:00:00"/>
        <d v="2009-10-16T00:00:00"/>
        <d v="2009-10-19T00:00:00"/>
        <d v="2009-10-20T00:00:00"/>
        <d v="2009-11-02T00:00:00"/>
        <d v="2009-11-03T00:00:00"/>
        <d v="2009-11-04T00:00:00"/>
        <d v="2009-11-09T00:00:00"/>
        <d v="2009-11-10T00:00:00"/>
        <d v="2009-11-11T00:00:00"/>
        <d v="2009-11-12T00:00:00"/>
        <d v="2009-11-13T00:00:00"/>
        <d v="2009-11-17T00:00:00"/>
        <d v="2009-11-23T00:00:00"/>
        <d v="2009-11-30T00:00:00"/>
        <d v="2009-12-03T00:00:00"/>
        <d v="2009-12-04T00:00:00"/>
        <d v="2009-12-07T00:00:00"/>
        <d v="2009-12-08T00:00:00"/>
        <d v="2009-12-09T00:00:00"/>
        <d v="2010-01-12T00:00:00"/>
        <d v="2010-01-13T00:00:00"/>
        <d v="2010-01-14T00:00:00"/>
        <d v="2010-01-18T00:00:00"/>
        <d v="2010-01-19T00:00:00"/>
        <d v="2010-01-22T00:00:00"/>
        <d v="2010-01-27T00:00:00"/>
        <d v="2010-01-28T00:00:00"/>
        <d v="2010-02-10T00:00:00"/>
        <d v="2010-02-22T00:00:00"/>
        <d v="2010-02-25T00:00:00"/>
        <d v="2010-02-26T00:00:00"/>
        <d v="2010-03-04T00:00:00"/>
        <d v="2010-03-05T00:00:00"/>
        <d v="2010-03-08T00:00:00"/>
        <d v="2010-03-09T00:00:00"/>
        <d v="2010-03-18T00:00:00"/>
        <d v="2010-03-19T00:00:00"/>
        <d v="2010-04-15T00:00:00"/>
        <d v="2010-04-26T00:00:00"/>
        <d v="2010-04-27T00:00:00"/>
        <d v="2010-04-30T00:00:00"/>
        <d v="2010-05-01T00:00:00"/>
        <d v="2010-05-05T00:00:00"/>
        <d v="2010-05-06T00:00:00"/>
        <d v="2010-05-12T00:00:00"/>
        <d v="2010-05-19T00:00:00"/>
        <d v="2010-05-26T00:00:00"/>
        <d v="2010-05-27T00:00:00"/>
        <d v="2010-06-02T00:00:00"/>
        <d v="2010-06-03T00:00:00"/>
        <d v="2010-06-14T00:00:00"/>
        <d v="2010-06-15T00:00:00"/>
        <d v="2010-06-21T00:00:00"/>
        <d v="2010-06-22T00:00:00"/>
        <d v="2010-06-25T00:00:00"/>
        <d v="2010-08-25T00:00:00"/>
        <d v="2010-08-26T00:00:00"/>
        <d v="2010-08-30T00:00:00"/>
        <d v="2010-08-31T00:00:00"/>
        <d v="2010-09-01T00:00:00"/>
        <d v="2010-09-02T00:00:00"/>
        <d v="2010-09-03T00:00:00"/>
        <d v="2010-09-06T00:00:00"/>
        <d v="2010-09-13T00:00:00"/>
        <d v="2010-09-20T00:00:00"/>
        <d v="2010-09-21T00:00:00"/>
        <d v="2010-09-23T00:00:00"/>
        <d v="2010-09-24T00:00:00"/>
        <d v="2010-09-27T00:00:00"/>
        <d v="2010-09-28T00:00:00"/>
        <d v="2010-09-29T00:00:00"/>
        <d v="2010-10-06T00:00:00"/>
        <d v="2010-10-07T00:00:00"/>
        <d v="2010-10-13T00:00:00"/>
        <d v="2010-10-14T00:00:00"/>
        <d v="2010-10-15T00:00:00"/>
        <d v="2010-10-18T00:00:00"/>
        <d v="2010-10-25T00:00:00"/>
        <d v="2010-10-28T00:00:00"/>
        <d v="2010-11-03T00:00:00"/>
        <d v="2010-11-09T00:00:00"/>
        <d v="2010-11-10T00:00:00"/>
        <d v="2010-11-11T00:00:00"/>
        <d v="2010-11-12T00:00:00"/>
        <d v="2010-11-18T00:00:00"/>
        <d v="2010-11-19T00:00:00"/>
        <d v="2010-12-05T00:00:00"/>
        <d v="2010-12-06T00:00:00"/>
        <d v="2010-12-13T00:00:00"/>
        <d v="2010-12-23T00:00:00"/>
        <d v="2010-12-17T00:00:00"/>
        <d v="2010-12-19T00:00:00"/>
        <d v="2010-12-24T00:00:00"/>
        <d v="2010-12-26T00:00:00"/>
        <d v="2010-12-01T00:00:00"/>
        <d v="2010-12-02T00:00:00"/>
        <d v="2010-12-04T00:00:00"/>
        <d v="2010-12-07T00:00:00"/>
        <d v="2010-12-08T00:00:00"/>
        <d v="2010-12-09T00:00:00"/>
        <d v="2010-12-14T00:00:00"/>
        <d v="2010-12-15T00:00:00"/>
        <d v="2010-12-16T00:00:00"/>
        <d v="2010-12-28T00:00:00"/>
        <d v="2011-03-03T00:00:00"/>
        <d v="2011-03-14T00:00:00"/>
        <d v="2011-03-15T00:00:00"/>
        <d v="2011-03-16T00:00:00"/>
        <d v="2011-03-20T00:00:00"/>
        <d v="2011-03-28T00:00:00"/>
        <d v="2011-03-29T00:00:00"/>
        <d v="2011-04-08T00:00:00"/>
        <d v="2011-04-15T00:00:00"/>
        <d v="2011-04-27T00:00:00"/>
        <d v="2011-04-28T00:00:00"/>
        <d v="2011-04-29T00:00:00"/>
        <d v="2011-05-02T00:00:00"/>
        <d v="2011-05-03T00:00:00"/>
        <d v="2011-05-04T00:00:00"/>
        <d v="2011-05-05T00:00:00"/>
        <d v="2011-05-06T00:00:00"/>
        <d v="2011-05-09T00:00:00"/>
        <d v="2011-05-10T00:00:00"/>
        <d v="2011-05-12T00:00:00"/>
        <d v="2011-05-13T00:00:00"/>
        <d v="2011-05-16T00:00:00"/>
        <d v="2011-05-17T00:00:00"/>
        <d v="2011-05-18T00:00:00"/>
        <d v="2011-05-19T00:00:00"/>
        <d v="2011-05-20T00:00:00"/>
        <d v="2011-05-23T00:00:00"/>
        <d v="2011-05-24T00:00:00"/>
        <d v="2011-05-25T00:00:00"/>
        <d v="2011-05-26T00:00:00"/>
        <d v="2011-05-27T00:00:00"/>
        <d v="2011-05-30T00:00:00"/>
        <d v="2011-05-31T00:00:00"/>
        <d v="2011-06-01T00:00:00"/>
        <d v="2011-06-02T00:00:00"/>
        <d v="2011-06-03T00:00:00"/>
        <d v="2011-06-06T00:00:00"/>
        <d v="2011-06-07T00:00:00"/>
        <d v="2011-06-08T00:00:00"/>
        <d v="2011-06-09T00:00:00"/>
        <d v="2011-06-10T00:00:00"/>
        <d v="2011-06-11T00:00:00"/>
        <d v="2011-06-28T00:00:00"/>
        <d v="2011-06-29T00:00:00"/>
        <d v="2011-07-04T00:00:00"/>
        <d v="2011-07-05T00:00:00"/>
        <d v="2011-07-06T00:00:00"/>
        <d v="2011-07-07T00:00:00"/>
        <d v="2011-07-08T00:00:00"/>
        <d v="2011-07-11T00:00:00"/>
        <d v="2011-07-12T00:00:00"/>
        <d v="2011-07-13T00:00:00"/>
        <d v="2011-07-15T00:00:00"/>
        <d v="2011-07-18T00:00:00"/>
        <d v="2011-07-19T00:00:00"/>
        <d v="2011-07-27T00:00:00"/>
        <d v="2011-07-28T00:00:00"/>
        <d v="2011-07-29T00:00:00"/>
        <d v="2011-08-01T00:00:00"/>
        <d v="2011-08-02T00:00:00"/>
        <d v="2011-08-03T00:00:00"/>
        <d v="2011-08-05T00:00:00"/>
        <d v="2011-08-17T00:00:00"/>
        <d v="2011-08-18T00:00:00"/>
        <d v="2011-08-22T00:00:00"/>
        <d v="2011-08-23T00:00:00"/>
        <d v="2011-08-24T00:00:00"/>
        <d v="2011-08-25T00:00:00"/>
        <d v="2011-08-29T00:00:00"/>
        <d v="2011-08-30T00:00:00"/>
        <d v="2011-08-31T00:00:00"/>
        <d v="2011-09-05T00:00:00"/>
        <d v="2011-09-06T00:00:00"/>
        <d v="2011-09-07T00:00:00"/>
        <d v="2011-09-08T00:00:00"/>
        <d v="2011-09-12T00:00:00"/>
        <d v="2011-09-13T00:00:00"/>
        <d v="2011-09-14T00:00:00"/>
        <d v="2011-09-15T00:00:00"/>
        <d v="2011-09-16T00:00:00"/>
        <d v="2011-09-19T00:00:00"/>
        <d v="2011-09-20T00:00:00"/>
        <d v="2011-09-21T00:00:00"/>
        <d v="2011-09-22T00:00:00"/>
        <d v="2011-09-23T00:00:00"/>
        <d v="2011-09-26T00:00:00"/>
        <d v="2011-09-27T00:00:00"/>
        <d v="2011-09-28T00:00:00"/>
        <d v="2011-09-29T00:00:00"/>
        <d v="2011-09-30T00:00:00"/>
        <d v="2011-10-04T00:00:00"/>
        <d v="2011-10-05T00:00:00"/>
        <d v="2011-10-06T00:00:00"/>
        <d v="2011-10-07T00:00:00"/>
        <d v="2011-10-10T00:00:00"/>
        <d v="2011-10-11T00:00:00"/>
        <d v="2011-10-12T00:00:00"/>
        <d v="2011-10-20T00:00:00"/>
        <d v="2011-10-21T00:00:00"/>
        <d v="2011-10-25T00:00:00"/>
        <d v="2011-10-26T00:00:00"/>
        <d v="2011-10-31T00:00:00"/>
        <d v="2011-11-01T00:00:00"/>
        <d v="2011-11-07T00:00:00"/>
        <d v="2011-11-08T00:00:00"/>
        <d v="2011-11-09T00:00:00"/>
        <d v="2011-11-10T00:00:00"/>
        <d v="2011-11-14T00:00:00"/>
        <d v="2011-11-15T00:00:00"/>
        <d v="2011-11-17T00:00:00"/>
        <d v="2011-11-18T00:00:00"/>
        <d v="2011-11-21T00:00:00"/>
        <d v="2011-11-22T00:00:00"/>
        <d v="2011-11-23T00:00:00"/>
        <d v="2011-11-28T00:00:00"/>
        <d v="2011-11-29T00:00:00"/>
        <d v="2011-11-30T00:00:00"/>
        <d v="2011-12-01T00:00:00"/>
        <d v="2011-12-02T00:00:00"/>
        <d v="2011-12-05T00:00:00"/>
        <d v="2011-12-06T00:00:00"/>
        <d v="2011-12-08T00:00:00"/>
        <d v="2011-12-09T00:00:00"/>
        <d v="2011-12-12T00:00:00"/>
        <d v="2011-12-13T00:00:00"/>
        <d v="2011-12-14T00:00:00"/>
        <d v="2011-12-15T00:00:00"/>
        <d v="2011-12-16T00:00:00"/>
        <d v="2011-12-20T00:00:00"/>
        <d v="2011-12-22T00:00:00"/>
        <d v="2011-12-23T00:00:00"/>
        <d v="2012-01-09T00:00:00"/>
        <d v="2012-01-10T00:00:00"/>
        <d v="2012-01-11T00:00:00"/>
        <d v="2012-01-12T00:00:00"/>
        <d v="2012-01-13T00:00:00"/>
        <d v="2012-01-16T00:00:00"/>
        <d v="2012-01-19T00:00:00"/>
        <d v="2012-01-20T00:00:00"/>
        <d v="2012-01-23T00:00:00"/>
        <d v="2012-01-24T00:00:00"/>
        <d v="2012-01-25T00:00:00"/>
        <d v="2012-01-26T00:00:00"/>
        <d v="2012-01-27T00:00:00"/>
        <d v="2012-01-30T00:00:00"/>
        <d v="2012-01-31T00:00:00"/>
        <d v="2012-02-01T00:00:00"/>
        <d v="2012-02-02T00:00:00"/>
        <d v="2012-02-04T00:00:00"/>
        <d v="2012-02-05T00:00:00"/>
        <d v="2012-02-06T00:00:00"/>
        <d v="2012-02-07T00:00:00"/>
        <d v="2012-02-08T00:00:00"/>
        <d v="2012-02-09T00:00:00"/>
        <d v="2012-02-10T00:00:00"/>
        <d v="2012-02-13T00:00:00"/>
        <d v="2012-02-14T00:00:00"/>
        <d v="2012-02-15T00:00:00"/>
        <d v="2012-02-16T00:00:00"/>
        <d v="2012-02-17T00:00:00"/>
        <d v="2012-02-20T00:00:00"/>
        <d v="2012-02-21T00:00:00"/>
        <d v="2012-02-22T00:00:00"/>
        <d v="2012-02-23T00:00:00"/>
        <d v="2012-02-24T00:00:00"/>
        <d v="2012-02-26T00:00:00"/>
        <d v="2012-02-27T00:00:00"/>
        <d v="2012-02-28T00:00:00"/>
        <d v="2012-02-29T00:00:00"/>
        <d v="2012-03-01T00:00:00"/>
        <d v="2012-03-02T00:00:00"/>
        <d v="2012-03-06T00:00:00"/>
        <d v="2012-03-09T00:00:00"/>
        <d v="2012-03-12T00:00:00"/>
        <d v="2012-03-13T00:00:00"/>
        <d v="2012-03-14T00:00:00"/>
        <d v="2012-03-15T00:00:00"/>
        <d v="2012-03-16T00:00:00"/>
        <d v="2012-03-19T00:00:00"/>
        <d v="2012-03-20T00:00:00"/>
        <d v="2012-03-21T00:00:00"/>
        <d v="2012-03-22T00:00:00"/>
        <d v="2012-03-23T00:00:00"/>
        <d v="2012-03-25T00:00:00"/>
        <d v="2012-03-26T00:00:00"/>
        <d v="2012-03-27T00:00:00"/>
        <d v="2012-03-28T00:00:00"/>
        <d v="2012-03-29T00:00:00"/>
        <d v="2012-03-30T00:00:00"/>
        <d v="2012-04-02T00:00:00"/>
        <d v="2012-04-03T00:00:00"/>
        <d v="2012-04-04T00:00:00"/>
        <d v="2012-04-05T00:00:00"/>
        <d v="2012-04-06T00:00:00"/>
        <d v="2012-04-10T00:00:00"/>
        <d v="2012-04-11T00:00:00"/>
        <d v="2012-04-12T00:00:00"/>
        <d v="2012-04-13T00:00:00"/>
        <d v="2012-04-16T00:00:00"/>
        <d v="2012-04-17T00:00:00"/>
        <d v="2012-04-18T00:00:00"/>
        <d v="2012-04-19T00:00:00"/>
        <d v="2012-04-30T00:00:00"/>
        <d v="2012-05-02T00:00:00"/>
        <d v="2012-05-03T00:00:00"/>
        <d v="2012-05-04T00:00:00"/>
        <d v="2012-05-07T00:00:00"/>
        <d v="2012-05-08T00:00:00"/>
        <d v="2012-05-09T00:00:00"/>
        <d v="2012-05-10T00:00:00"/>
        <d v="2012-05-14T00:00:00"/>
        <d v="2012-05-15T00:00:00"/>
        <d v="2012-05-16T00:00:00"/>
        <d v="2012-05-17T00:00:00"/>
        <d v="2012-05-18T00:00:00"/>
        <d v="2012-05-21T00:00:00"/>
        <d v="2012-05-22T00:00:00"/>
        <d v="2012-05-23T00:00:00"/>
        <d v="2012-05-24T00:00:00"/>
        <d v="2012-05-25T00:00:00"/>
        <d v="2012-05-28T00:00:00"/>
        <d v="2012-05-29T00:00:00"/>
        <d v="2012-05-30T00:00:00"/>
        <d v="2012-05-31T00:00:00"/>
        <d v="2012-06-01T00:00:00"/>
        <d v="2012-06-04T00:00:00"/>
        <d v="2012-06-05T00:00:00"/>
        <d v="2012-06-06T00:00:00"/>
        <d v="2012-06-07T00:00:00"/>
        <d v="2012-06-08T00:00:00"/>
        <d v="2012-06-11T00:00:00"/>
        <d v="2012-06-12T00:00:00"/>
        <d v="2012-06-13T00:00:00"/>
        <d v="2012-06-14T00:00:00"/>
        <d v="2012-06-15T00:00:00"/>
        <d v="2012-06-18T00:00:00"/>
        <d v="2012-06-19T00:00:00"/>
        <d v="2012-06-20T00:00:00"/>
        <d v="2012-06-21T00:00:00"/>
        <d v="2012-06-22T00:00:00"/>
        <d v="2012-06-25T00:00:00"/>
        <d v="2012-06-26T00:00:00"/>
        <d v="2012-06-27T00:00:00"/>
        <d v="2012-06-28T00:00:00"/>
        <d v="2012-06-29T00:00:00"/>
        <d v="2012-07-02T00:00:00"/>
        <d v="2012-07-03T00:00:00"/>
        <d v="2012-07-04T00:00:00"/>
        <d v="2012-07-05T00:00:00"/>
        <d v="2012-07-06T00:00:00"/>
        <d v="2012-07-09T00:00:00"/>
        <d v="2012-07-10T00:00:00"/>
        <d v="2012-07-11T00:00:00"/>
        <d v="2012-07-12T00:00:00"/>
        <d v="2012-07-13T00:00:00"/>
        <d v="2012-07-16T00:00:00"/>
        <d v="2012-07-17T00:00:00"/>
        <d v="2012-07-18T00:00:00"/>
        <d v="2012-07-19T00:00:00"/>
        <d v="2012-07-20T00:00:00"/>
        <d v="2012-07-23T00:00:00"/>
        <d v="2012-07-24T00:00:00"/>
        <d v="2012-07-25T00:00:00"/>
        <d v="2012-07-26T00:00:00"/>
        <d v="2012-07-27T00:00:00"/>
        <d v="2012-07-30T00:00:00"/>
        <d v="2012-07-31T00:00:00"/>
        <d v="2012-08-01T00:00:00"/>
        <d v="2012-08-02T00:00:00"/>
        <d v="2012-08-03T00:00:00"/>
        <d v="2012-08-15T00:00:00"/>
        <d v="2012-08-16T00:00:00"/>
        <d v="2012-08-27T00:00:00"/>
        <d v="2012-08-28T00:00:00"/>
        <d v="2012-08-29T00:00:00"/>
        <d v="2012-08-30T00:00:00"/>
        <d v="2012-08-31T00:00:00"/>
        <d v="2012-09-03T00:00:00"/>
        <d v="2012-09-04T00:00:00"/>
        <d v="2012-09-05T00:00:00"/>
        <d v="2012-09-06T00:00:00"/>
        <d v="2012-09-07T00:00:00"/>
        <d v="2012-09-10T00:00:00"/>
        <d v="2012-09-11T00:00:00"/>
        <d v="2012-09-12T00:00:00"/>
        <d v="2012-09-13T00:00:00"/>
        <d v="2012-09-14T00:00:00"/>
        <d v="2012-09-17T00:00:00"/>
        <d v="2012-09-18T00:00:00"/>
        <d v="2012-09-19T00:00:00"/>
        <d v="2012-09-20T00:00:00"/>
        <d v="2012-09-21T00:00:00"/>
        <d v="2012-09-24T00:00:00"/>
        <d v="2012-09-25T00:00:00"/>
        <d v="2012-09-26T00:00:00"/>
        <d v="2012-09-27T00:00:00"/>
        <d v="2012-09-28T00:00:00"/>
        <d v="2012-10-01T00:00:00"/>
        <d v="2012-10-02T00:00:00"/>
        <d v="2012-10-04T00:00:00"/>
        <d v="2012-10-05T00:00:00"/>
        <d v="2012-10-08T00:00:00"/>
        <d v="2012-10-09T00:00:00"/>
        <d v="2012-10-10T00:00:00"/>
        <d v="2012-10-11T00:00:00"/>
        <d v="2012-10-12T00:00:00"/>
        <d v="2012-10-14T00:00:00"/>
        <d v="2012-10-15T00:00:00"/>
        <d v="2012-10-16T00:00:00"/>
        <d v="2012-10-17T00:00:00"/>
        <d v="2012-10-18T00:00:00"/>
        <d v="2012-10-19T00:00:00"/>
        <d v="2012-10-21T00:00:00"/>
        <d v="2012-10-22T00:00:00"/>
        <d v="2012-10-23T00:00:00"/>
        <d v="2012-10-24T00:00:00"/>
        <d v="2012-10-25T00:00:00"/>
        <d v="2012-10-26T00:00:00"/>
        <d v="2012-10-28T00:00:00"/>
        <d v="2012-10-29T00:00:00"/>
        <d v="2012-10-30T00:00:00"/>
        <d v="2012-10-31T00:00:00"/>
        <d v="2012-11-01T00:00:00"/>
        <d v="2012-11-02T00:00:00"/>
        <d v="2012-11-04T00:00:00"/>
        <d v="2012-11-05T00:00:00"/>
        <d v="2012-11-06T00:00:00"/>
        <d v="2012-11-07T00:00:00"/>
        <d v="2012-11-08T00:00:00"/>
        <d v="2012-11-09T00:00:00"/>
        <d v="2012-11-11T00:00:00"/>
        <d v="2012-11-12T00:00:00"/>
        <d v="2012-11-13T00:00:00"/>
        <d v="2012-11-14T00:00:00"/>
        <d v="2012-11-15T00:00:00"/>
        <d v="2012-11-16T00:00:00"/>
        <d v="2012-11-19T00:00:00"/>
        <d v="2012-11-20T00:00:00"/>
        <d v="2012-11-21T00:00:00"/>
        <d v="2012-11-22T00:00:00"/>
        <d v="2012-11-23T00:00:00"/>
        <d v="2012-11-25T00:00:00"/>
        <d v="2012-11-26T00:00:00"/>
        <d v="2012-11-27T00:00:00"/>
        <d v="2012-11-28T00:00:00"/>
        <d v="2012-11-29T00:00:00"/>
        <d v="2012-11-30T00:00:00"/>
        <d v="2012-12-03T00:00:00"/>
        <d v="2012-12-04T00:00:00"/>
        <d v="2012-12-05T00:00:00"/>
        <d v="2012-12-06T00:00:00"/>
        <d v="2012-12-07T00:00:00"/>
        <d v="2012-12-10T00:00:00"/>
        <d v="2012-12-11T00:00:00"/>
        <d v="2012-12-12T00:00:00"/>
        <d v="2012-12-13T00:00:00"/>
        <d v="2012-12-17T00:00:00"/>
        <d v="2012-12-18T00:00:00"/>
        <d v="2012-12-19T00:00:00"/>
        <d v="2012-12-20T00:00:00"/>
        <d v="2012-12-21T00:00:00"/>
        <d v="2012-12-27T00:00:00"/>
        <d v="2012-12-28T00:00:00"/>
        <d v="2013-01-02T00:00:00"/>
        <d v="2013-01-03T00:00:00"/>
        <d v="2013-01-04T00:00:00"/>
        <d v="2013-01-07T00:00:00"/>
        <d v="2013-01-08T00:00:00"/>
        <d v="2013-01-09T00:00:00"/>
        <d v="2013-01-10T00:00:00"/>
        <d v="2013-01-11T00:00:00"/>
        <d v="2013-01-12T00:00:00"/>
        <d v="2013-01-13T00:00:00"/>
        <d v="2013-01-14T00:00:00"/>
        <d v="2013-01-15T00:00:00"/>
        <d v="2013-01-16T00:00:00"/>
        <d v="2013-01-17T00:00:00"/>
        <d v="2013-01-18T00:00:00"/>
        <d v="2013-01-20T00:00:00"/>
        <d v="2013-01-21T00:00:00"/>
        <d v="2013-01-22T00:00:00"/>
        <d v="2013-01-23T00:00:00"/>
        <d v="2013-01-24T00:00:00"/>
        <d v="2013-01-25T00:00:00"/>
        <d v="2013-01-28T00:00:00"/>
        <d v="2013-01-29T00:00:00"/>
        <d v="2013-01-30T00:00:00"/>
        <d v="2013-01-31T00:00:00"/>
        <d v="2013-02-01T00:00:00"/>
        <d v="2013-02-02T00:00:00"/>
        <d v="2013-02-03T00:00:00"/>
        <d v="2013-02-04T00:00:00"/>
        <d v="2013-02-05T00:00:00"/>
        <d v="2013-02-06T00:00:00"/>
        <d v="2013-02-07T00:00:00"/>
        <d v="2013-02-08T00:00:00"/>
        <d v="2013-02-11T00:00:00"/>
        <d v="2013-02-12T00:00:00"/>
        <d v="2013-02-13T00:00:00"/>
        <d v="2013-02-14T00:00:00"/>
        <d v="2013-02-15T00:00:00"/>
        <d v="2013-02-18T00:00:00"/>
        <d v="2013-02-19T00:00:00"/>
        <d v="2013-02-20T00:00:00"/>
        <d v="2013-02-21T00:00:00"/>
        <d v="2013-02-22T00:00:00"/>
        <d v="2013-02-26T00:00:00"/>
        <d v="2013-02-27T00:00:00"/>
        <d v="2013-02-28T00:00:00"/>
        <d v="2013-03-01T00:00:00"/>
        <d v="2013-03-04T00:00:00"/>
        <d v="2013-03-05T00:00:00"/>
        <d v="2013-03-06T00:00:00"/>
        <d v="2013-03-07T00:00:00"/>
        <d v="2013-03-08T00:00:00"/>
        <d v="2013-03-09T00:00:00"/>
        <d v="2013-03-10T00:00:00"/>
        <d v="2013-03-11T00:00:00"/>
        <d v="2013-03-12T00:00:00"/>
        <d v="2013-03-13T00:00:00"/>
        <d v="2013-03-14T00:00:00"/>
        <d v="2013-03-15T00:00:00"/>
        <d v="2013-03-19T00:00:00"/>
        <d v="2013-03-20T00:00:00"/>
        <d v="2013-03-21T00:00:00"/>
        <d v="2013-03-22T00:00:00"/>
        <d v="2013-03-25T00:00:00"/>
        <d v="2013-03-26T00:00:00"/>
        <d v="2013-03-27T00:00:00"/>
        <d v="2013-03-28T00:00:00"/>
        <d v="2013-03-30T00:00:00"/>
        <d v="2013-03-31T00:00:00"/>
        <d v="2013-04-01T00:00:00"/>
        <d v="2013-04-02T00:00:00"/>
        <d v="2013-04-03T00:00:00"/>
        <d v="2013-04-06T00:00:00"/>
        <d v="2013-04-08T00:00:00"/>
        <d v="2013-04-09T00:00:00"/>
        <d v="2013-04-10T00:00:00"/>
        <d v="2013-04-11T00:00:00"/>
        <d v="2013-04-12T00:00:00"/>
        <d v="2013-04-15T00:00:00"/>
        <d v="2013-04-16T00:00:00"/>
        <d v="2013-04-17T00:00:00"/>
        <d v="2013-04-18T00:00:00"/>
        <d v="2013-04-19T00:00:00"/>
        <d v="2013-04-22T00:00:00"/>
        <d v="2013-04-23T00:00:00"/>
        <d v="2013-04-24T00:00:00"/>
        <d v="2013-04-25T00:00:00"/>
        <d v="2013-04-26T00:00:00"/>
        <d v="2013-04-29T00:00:00"/>
        <d v="2013-04-30T00:00:00"/>
        <d v="2013-05-02T00:00:00"/>
        <d v="2013-05-03T00:00:00"/>
        <d v="2013-05-04T00:00:00"/>
        <d v="2013-05-05T00:00:00"/>
        <d v="2013-05-06T00:00:00"/>
        <d v="2013-05-07T00:00:00"/>
        <d v="2013-05-08T00:00:00"/>
        <d v="2013-05-09T00:00:00"/>
        <d v="2013-05-11T00:00:00"/>
        <d v="2013-05-14T00:00:00"/>
        <d v="2013-05-16T00:00:00"/>
        <d v="2013-05-17T00:00:00"/>
        <d v="2013-05-18T00:00:00"/>
        <d v="2013-05-20T00:00:00"/>
        <d v="2013-05-22T00:00:00"/>
        <d v="2013-05-23T00:00:00"/>
        <d v="2013-05-24T00:00:00"/>
        <d v="2013-05-25T00:00:00"/>
        <d v="2013-05-26T00:00:00"/>
        <d v="2013-05-27T00:00:00"/>
        <d v="2013-05-28T00:00:00"/>
        <d v="2013-05-29T00:00:00"/>
        <d v="2013-05-30T00:00:00"/>
        <d v="2013-05-31T00:00:00"/>
        <d v="2013-06-04T00:00:00"/>
        <d v="2013-06-05T00:00:00"/>
        <d v="2013-06-06T00:00:00"/>
        <d v="2013-06-07T00:00:00"/>
        <d v="2013-06-10T00:00:00"/>
        <d v="2013-06-11T00:00:00"/>
        <d v="2013-06-12T00:00:00"/>
        <d v="2013-06-13T00:00:00"/>
        <d v="2013-06-14T00:00:00"/>
        <d v="2013-06-17T00:00:00"/>
        <d v="2013-06-18T00:00:00"/>
        <d v="2013-06-19T00:00:00"/>
        <d v="2013-06-20T00:00:00"/>
        <d v="2013-06-21T00:00:00"/>
        <d v="2013-06-24T00:00:00"/>
        <d v="2013-06-25T00:00:00"/>
        <d v="2013-06-26T00:00:00"/>
        <d v="2013-06-27T00:00:00"/>
        <d v="2013-06-28T00:00:00"/>
        <d v="2013-06-30T00:00:00"/>
        <d v="2013-07-01T00:00:00"/>
        <d v="2013-07-02T00:00:00"/>
        <d v="2013-07-03T00:00:00"/>
        <d v="2013-07-04T00:00:00"/>
        <d v="2013-07-05T00:00:00"/>
        <d v="2013-07-08T00:00:00"/>
        <d v="2013-07-09T00:00:00"/>
        <d v="2013-07-10T00:00:00"/>
        <d v="2013-07-11T00:00:00"/>
        <d v="2013-07-12T00:00:00"/>
        <d v="2013-07-15T00:00:00"/>
        <d v="2013-07-16T00:00:00"/>
        <d v="2013-07-17T00:00:00"/>
        <d v="2013-07-18T00:00:00"/>
        <d v="2013-07-19T00:00:00"/>
        <d v="2013-07-22T00:00:00"/>
        <d v="2013-07-23T00:00:00"/>
        <d v="2013-07-24T00:00:00"/>
        <d v="2013-07-25T00:00:00"/>
        <d v="2013-07-26T00:00:00"/>
        <d v="2013-07-29T00:00:00"/>
        <d v="2013-07-30T00:00:00"/>
        <d v="2013-07-31T00:00:00"/>
        <d v="2013-08-01T00:00:00"/>
        <d v="2013-08-02T00:00:00"/>
        <d v="2013-08-03T00:00:00"/>
        <d v="2013-08-04T00:00:00"/>
        <d v="2013-08-05T00:00:00"/>
        <d v="2013-08-06T00:00:00"/>
        <d v="2013-08-07T00:00:00"/>
        <d v="2013-08-08T00:00:00"/>
        <d v="2013-08-09T00:00:00"/>
        <d v="2013-08-12T00:00:00"/>
        <d v="2013-08-13T00:00:00"/>
        <d v="2013-08-14T00:00:00"/>
        <d v="2013-08-15T00:00:00"/>
        <d v="2013-08-16T00:00:00"/>
        <d v="2013-08-17T00:00:00"/>
        <d v="2013-08-19T00:00:00"/>
        <d v="2013-08-20T00:00:00"/>
        <d v="2013-08-24T00:00:00"/>
        <d v="2013-09-01T00:00:00"/>
        <d v="2013-09-02T00:00:00"/>
        <d v="2013-09-03T00:00:00"/>
        <d v="2013-09-04T00:00:00"/>
        <d v="2013-09-08T00:00:00"/>
        <d v="2013-09-14T00:00:00"/>
        <d v="2013-09-23T00:00:00"/>
        <d v="2013-09-24T00:00:00"/>
        <d v="2013-09-25T00:00:00"/>
        <d v="2013-09-26T00:00:00"/>
        <d v="2013-09-27T00:00:00"/>
        <d v="2013-09-30T00:00:00"/>
        <d v="2013-10-01T00:00:00"/>
        <d v="2013-10-02T00:00:00"/>
        <d v="2013-10-03T00:00:00"/>
        <d v="2013-10-04T00:00:00"/>
        <d v="2013-10-05T00:00:00"/>
        <d v="2013-10-06T00:00:00"/>
        <d v="2013-10-07T00:00:00"/>
        <d v="2013-10-08T00:00:00"/>
        <d v="2013-10-09T00:00:00"/>
        <d v="2013-10-10T00:00:00"/>
        <d v="2013-10-11T00:00:00"/>
        <d v="2013-10-12T00:00:00"/>
        <d v="2013-10-13T00:00:00"/>
        <d v="2013-10-15T00:00:00"/>
        <d v="2013-10-16T00:00:00"/>
        <d v="2013-10-17T00:00:00"/>
        <d v="2013-10-18T00:00:00"/>
        <d v="2013-10-21T00:00:00"/>
        <d v="2013-10-22T00:00:00"/>
        <d v="2013-10-23T00:00:00"/>
        <d v="2013-10-24T00:00:00"/>
        <d v="2013-10-25T00:00:00"/>
        <d v="2013-10-26T00:00:00"/>
        <d v="2013-10-28T00:00:00"/>
        <d v="2013-10-29T00:00:00"/>
        <d v="2013-10-30T00:00:00"/>
        <d v="2013-10-31T00:00:00"/>
        <d v="2013-11-04T00:00:00"/>
        <d v="2013-11-05T00:00:00"/>
        <d v="2013-11-06T00:00:00"/>
        <d v="2013-11-07T00:00:00"/>
        <d v="2013-11-08T00:00:00"/>
        <d v="2013-11-11T00:00:00"/>
        <d v="2013-11-12T00:00:00"/>
        <d v="2013-11-13T00:00:00"/>
        <d v="2013-11-14T00:00:00"/>
        <d v="2013-11-15T00:00:00"/>
        <d v="2013-11-18T00:00:00"/>
        <d v="2013-11-19T00:00:00"/>
        <d v="2013-11-20T00:00:00"/>
        <d v="2013-11-21T00:00:00"/>
        <d v="2013-11-22T00:00:00"/>
        <d v="2013-11-24T00:00:00"/>
        <d v="2013-11-25T00:00:00"/>
        <d v="2013-11-26T00:00:00"/>
        <d v="2013-11-27T00:00:00"/>
        <d v="2013-11-28T00:00:00"/>
        <d v="2013-11-29T00:00:00"/>
        <d v="2013-12-02T00:00:00"/>
        <d v="2013-12-03T00:00:00"/>
        <d v="2013-12-04T00:00:00"/>
        <d v="2013-12-05T00:00:00"/>
        <d v="2013-12-06T00:00:00"/>
        <d v="2013-12-07T00:00:00"/>
        <d v="2013-12-08T00:00:00"/>
        <d v="2013-12-09T00:00:00"/>
        <d v="2013-12-10T00:00:00"/>
        <d v="2013-12-11T00:00:00"/>
        <d v="2013-12-12T00:00:00"/>
        <d v="2013-12-13T00:00:00"/>
        <d v="2013-12-14T00:00:00"/>
        <d v="2013-12-15T00:00:00"/>
        <d v="2013-12-16T00:00:00"/>
        <d v="2013-12-17T00:00:00"/>
        <d v="2013-12-18T00:00:00"/>
        <d v="2013-12-19T00:00:00"/>
        <d v="2013-12-21T00:00:00"/>
        <d v="2013-12-30T00:00:00"/>
        <d v="2014-01-06T00:00:00"/>
        <d v="2014-01-07T00:00:00"/>
        <d v="2014-01-08T00:00:00"/>
        <d v="2014-01-09T00:00:00"/>
        <d v="2014-01-10T00:00:00"/>
        <d v="2014-01-13T00:00:00"/>
        <d v="2014-01-14T00:00:00"/>
        <d v="2014-01-15T00:00:00"/>
        <d v="2014-01-16T00:00:00"/>
        <d v="2014-01-17T00:00:00"/>
        <d v="2014-01-20T00:00:00"/>
        <d v="2014-01-21T00:00:00"/>
        <d v="2014-01-22T00:00:00"/>
        <d v="2014-01-23T00:00:00"/>
        <d v="2014-01-24T00:00:00"/>
        <d v="2014-01-27T00:00:00"/>
        <d v="2014-01-28T00:00:00"/>
        <d v="2014-01-29T00:00:00"/>
        <d v="2014-01-30T00:00:00"/>
        <d v="2014-01-31T00:00:00"/>
        <d v="2014-02-03T00:00:00"/>
        <d v="2014-02-04T00:00:00"/>
        <d v="2014-02-05T00:00:00"/>
        <d v="2014-02-06T00:00:00"/>
        <d v="2014-02-07T00:00:00"/>
        <d v="2014-02-10T00:00:00"/>
        <d v="2014-02-11T00:00:00"/>
        <d v="2014-02-12T00:00:00"/>
        <d v="2014-02-13T00:00:00"/>
        <d v="2014-02-14T00:00:00"/>
        <d v="2014-02-17T00:00:00"/>
        <d v="2014-02-18T00:00:00"/>
        <d v="2014-02-19T00:00:00"/>
        <d v="2014-02-20T00:00:00"/>
        <d v="2014-02-21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3T00:00:00"/>
        <d v="2014-03-04T00:00:00"/>
        <d v="2014-03-05T00:00:00"/>
        <d v="2014-03-06T00:00:00"/>
        <d v="2014-03-07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19T00:00:00"/>
        <d v="2014-04-20T00:00:00"/>
        <d v="2014-04-21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5T00:00:00"/>
        <d v="2014-05-06T00:00:00"/>
        <d v="2014-05-07T00:00:00"/>
        <d v="2014-05-08T00:00:00"/>
        <d v="2014-05-09T00:00:00"/>
        <d v="2014-05-12T00:00:00"/>
        <d v="2014-05-13T00:00:00"/>
        <d v="2014-05-14T00:00:00"/>
        <d v="2014-05-15T00:00:00"/>
        <d v="2014-06-16T00:00:00"/>
        <d v="2014-05-19T00:00:00"/>
        <d v="2014-05-20T00:00:00"/>
        <d v="2014-05-21T00:00:00"/>
        <d v="2014-05-22T00:00:00"/>
        <d v="2014-05-23T00:00:00"/>
        <d v="2014-05-26T00:00:00"/>
        <d v="2014-05-27T00:00:00"/>
        <d v="2014-05-28T00:00:00"/>
        <d v="2014-05-29T00:00:00"/>
        <d v="2014-05-30T00:00:00"/>
        <d v="2014-06-02T00:00:00"/>
        <d v="2014-06-03T00:00:00"/>
        <d v="2014-06-04T00:00:00"/>
        <d v="2014-06-05T00:00:00"/>
        <d v="2014-06-06T00:00:00"/>
        <d v="2014-06-08T00:00:00"/>
        <d v="2014-06-09T00:00:00"/>
        <d v="2014-06-10T00:00:00"/>
        <d v="2014-06-11T00:00:00"/>
        <d v="2014-06-12T00:00:00"/>
        <d v="2014-06-13T00:00:00"/>
        <d v="2014-06-15T00:00:00"/>
        <d v="2014-06-17T00:00:00"/>
        <d v="2014-06-18T00:00:00"/>
        <d v="2014-06-20T00:00:00"/>
        <d v="2014-06-22T00:00:00"/>
        <d v="2014-06-23T00:00:00"/>
        <d v="2014-06-24T00:00:00"/>
        <d v="2014-06-25T00:00:00"/>
        <d v="2014-06-26T00:00:00"/>
        <d v="2014-06-27T00:00:00"/>
        <d v="2014-06-30T00:00:00"/>
        <d v="2014-07-01T00:00:00"/>
        <d v="2014-07-02T00:00:00"/>
        <d v="2014-07-03T00:00:00"/>
        <d v="2014-07-04T00:00:00"/>
        <d v="2014-07-05T00:00:00"/>
        <d v="2014-07-07T00:00:00"/>
        <d v="2014-07-08T00:00:00"/>
        <d v="2014-07-09T00:00:00"/>
        <d v="2014-07-10T00:00:00"/>
        <d v="2014-07-11T00:00:00"/>
        <d v="2014-07-12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4T00:00:00"/>
        <d v="2014-08-05T00:00:00"/>
        <d v="2014-08-06T00:00:00"/>
        <d v="2014-08-07T00:00:00"/>
        <d v="2014-08-08T00:00:00"/>
        <d v="2014-08-10T00:00:00"/>
        <d v="2014-08-13T00:00:00"/>
        <d v="2014-08-14T00:00:00"/>
        <d v="2014-08-19T00:00:00"/>
        <d v="2014-08-20T00:00:00"/>
        <d v="2014-08-21T00:00:00"/>
        <d v="2014-08-22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8T00:00:00"/>
        <d v="2014-09-09T00:00:00"/>
        <d v="2014-09-10T00:00:00"/>
        <d v="2014-09-11T00:00:00"/>
        <d v="2014-09-12T00:00:00"/>
        <d v="2014-09-13T00:00:00"/>
        <d v="2014-09-15T00:00:00"/>
        <d v="2014-09-16T00:00:00"/>
        <d v="2014-09-17T00:00:00"/>
        <d v="2014-09-18T00:00:00"/>
        <d v="2014-09-19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6T00:00:00"/>
        <d v="2014-10-07T00:00:00"/>
        <d v="2014-10-08T00:00:00"/>
        <d v="2014-10-09T00:00:00"/>
        <d v="2014-10-10T00:00:00"/>
        <d v="2014-10-12T00:00:00"/>
        <d v="2014-10-13T00:00:00"/>
        <d v="2014-10-14T00:00:00"/>
        <d v="2014-10-15T00:00:00"/>
        <d v="2014-10-16T00:00:00"/>
        <d v="2014-10-17T00:00:00"/>
        <d v="2014-10-20T00:00:00"/>
        <d v="2014-10-21T00:00:00"/>
        <d v="2014-10-22T00:00:00"/>
        <d v="2014-10-23T00:00:00"/>
        <d v="2014-10-24T00:00:00"/>
        <d v="2014-10-26T00:00:00"/>
        <d v="2014-10-27T00:00:00"/>
        <d v="2014-10-28T00:00:00"/>
        <d v="2014-10-29T00:00:00"/>
        <d v="2014-10-30T00:00:00"/>
        <d v="2014-10-31T00:00:00"/>
        <d v="2014-11-03T00:00:00"/>
        <d v="2014-11-04T00:00:00"/>
        <d v="2014-11-05T00:00:00"/>
        <d v="2014-11-06T00:00:00"/>
        <d v="2014-11-07T00:00:00"/>
        <d v="2014-11-10T00:00:00"/>
        <d v="2014-11-11T00:00:00"/>
        <d v="2014-11-12T00:00:00"/>
        <d v="2014-11-13T00:00:00"/>
        <d v="2014-11-15T00:00:00"/>
        <d v="2014-11-16T00:00:00"/>
        <d v="2014-11-17T00:00:00"/>
        <d v="2014-11-18T00:00:00"/>
        <d v="2014-11-20T00:00:00"/>
        <d v="2014-11-24T00:00:00"/>
        <d v="2014-11-25T00:00:00"/>
        <d v="2014-11-26T00:00:00"/>
        <d v="2014-11-27T00:00:00"/>
        <d v="2014-11-30T00:00:00"/>
        <d v="2014-12-01T00:00:00"/>
        <d v="2014-12-02T00:00:00"/>
        <d v="2014-12-03T00:00:00"/>
        <d v="2014-12-04T00:00:00"/>
        <d v="2014-12-05T00:00:00"/>
        <d v="2014-12-08T00:00:00"/>
        <d v="2014-12-09T00:00:00"/>
        <d v="2014-12-11T00:00:00"/>
        <d v="2014-12-12T00:00:00"/>
        <d v="2014-12-13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30T00:00:00"/>
        <d v="2015-01-06T00:00:00"/>
        <d v="2015-01-07T00:00:00"/>
        <d v="2015-01-08T00:00:00"/>
        <d v="2015-01-09T00:00:00"/>
        <d v="2015-01-10T00:00:00"/>
        <d v="2015-01-12T00:00:00"/>
        <d v="2015-01-13T00:00:00"/>
        <d v="2015-01-14T00:00:00"/>
        <d v="2015-01-15T00:00:00"/>
        <d v="2015-01-16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6T00:00:00"/>
        <d v="2015-01-27T00:00:00"/>
        <d v="2015-01-29T00:00:00"/>
        <d v="2015-01-28T00:00:00"/>
        <d v="2015-01-30T00:00:00"/>
        <d v="2015-01-31T00:00:00"/>
        <d v="2015-02-02T00:00:00"/>
        <d v="2015-02-03T00:00:00"/>
        <d v="2015-02-04T00:00:00"/>
        <d v="2015-02-05T00:00:00"/>
        <d v="2015-02-06T00:00:00"/>
        <d v="2015-02-07T00:00:00"/>
        <d v="2015-02-09T00:00:00"/>
        <d v="2015-02-10T00:00:00"/>
        <d v="2015-02-11T00:00:00"/>
        <d v="2015-02-12T00:00:00"/>
        <d v="2015-02-13T00:00:00"/>
        <d v="2015-02-15T00:00:00"/>
        <d v="2015-02-16T00:00:00"/>
        <d v="2015-02-17T00:00:00"/>
        <d v="2015-02-18T00:00:00"/>
        <d v="2015-02-19T00:00:00"/>
        <d v="2015-02-20T00:00:00"/>
        <d v="2015-02-23T00:00:00"/>
        <d v="2015-02-24T00:00:00"/>
        <d v="2015-02-25T00:00:00"/>
        <d v="2015-02-26T00:00:00"/>
        <d v="2015-02-27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9T00:00:00"/>
        <d v="2015-03-10T00:00:00"/>
        <d v="2015-03-11T00:00:00"/>
        <d v="2015-03-12T00:00:00"/>
        <d v="2015-03-13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4T00:00:00"/>
        <d v="2015-04-06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6T00:00:00"/>
        <d v="2015-04-27T00:00:00"/>
        <d v="2015-04-28T00:00:00"/>
        <d v="2015-04-29T00:00:00"/>
        <d v="2015-04-30T00:00:00"/>
        <d v="2015-05-02T00:00:00"/>
        <d v="2015-05-04T00:00:00"/>
        <d v="2015-05-05T00:00:00"/>
        <d v="2015-05-06T00:00:00"/>
        <d v="2015-05-07T00:00:00"/>
        <d v="2015-05-08T00:00:00"/>
        <d v="2015-05-09T00:00:00"/>
        <d v="2015-05-10T00:00:00"/>
        <d v="2015-05-11T00:00:00"/>
        <d v="2015-05-12T00:00:00"/>
        <d v="2015-05-13T00:00:00"/>
        <d v="2015-05-14T00:00:00"/>
        <d v="2015-05-15T00:00:00"/>
        <d v="2015-05-17T00:00:00"/>
        <d v="2015-05-18T00:00:00"/>
        <d v="2015-05-19T00:00:00"/>
        <d v="2015-05-21T00:00:00"/>
        <d v="2015-05-20T00:00:00"/>
        <d v="2015-05-22T00:00:00"/>
        <d v="2015-05-25T00:00:00"/>
        <d v="2015-05-26T00:00:00"/>
        <d v="2015-05-27T00:00:00"/>
        <d v="2015-05-28T00:00:00"/>
        <d v="2015-05-29T00:00:00"/>
        <d v="2015-05-30T00:00:00"/>
        <d v="2015-06-01T00:00:00"/>
        <d v="2015-06-02T00:00:00"/>
        <d v="2015-06-03T00:00:00"/>
        <d v="2015-06-04T00:00:00"/>
        <d v="2015-06-05T00:00:00"/>
        <d v="2015-06-08T00:00:00"/>
        <d v="2015-06-09T00:00:00"/>
        <d v="2015-06-10T00:00:00"/>
        <d v="2015-06-11T00:00:00"/>
        <d v="2015-06-12T00:00:00"/>
        <d v="2015-06-14T00:00:00"/>
        <d v="2015-06-15T00:00:00"/>
        <d v="2015-06-16T00:00:00"/>
        <d v="2015-06-17T00:00:00"/>
        <d v="2015-06-18T00:00:00"/>
        <d v="2015-06-19T00:00:00"/>
        <d v="2015-06-20T00:00:00"/>
        <d v="2015-06-21T00:00:00"/>
        <d v="2015-06-22T00:00:00"/>
        <d v="2015-06-23T00:00:00"/>
        <d v="2015-06-24T00:00:00"/>
        <d v="2015-06-25T00:00:00"/>
        <d v="2015-06-26T00:00:00"/>
        <d v="2015-06-27T00:00:00"/>
        <d v="2015-06-28T00:00:00"/>
        <d v="2015-06-29T00:00:00"/>
        <d v="2015-06-30T00:00:00"/>
        <d v="2015-07-01T00:00:00"/>
        <d v="2015-07-02T00:00:00"/>
        <d v="2015-07-03T00:00:00"/>
        <d v="2015-07-05T00:00:00"/>
        <d v="2015-07-06T00:00:00"/>
        <d v="2015-07-07T00:00:00"/>
        <d v="2015-07-08T00:00:00"/>
        <d v="2015-07-09T00:00:00"/>
        <d v="2015-07-10T00:00:00"/>
        <d v="2015-07-11T00:00:00"/>
        <d v="2015-07-12T00:00:00"/>
        <d v="2015-07-13T00:00:00"/>
        <d v="2015-07-14T00:00:00"/>
        <d v="2015-07-15T00:00:00"/>
        <d v="2015-07-16T00:00:00"/>
        <d v="2015-07-17T00:00:00"/>
        <d v="2015-07-18T00:00:00"/>
        <d v="2015-07-20T00:00:00"/>
        <d v="2015-07-21T00:00:00"/>
        <d v="2015-07-22T00:00:00"/>
        <d v="2015-07-23T00:00:00"/>
        <d v="2015-07-24T00:00:00"/>
        <d v="2015-07-27T00:00:00"/>
        <d v="2015-07-28T00:00:00"/>
        <d v="2015-07-29T00:00:00"/>
        <d v="2015-07-30T00:00:00"/>
        <d v="2015-07-31T00:00:00"/>
        <d v="2015-08-03T00:00:00"/>
        <d v="2015-08-04T00:00:00"/>
        <d v="2015-08-05T00:00:00"/>
        <d v="2015-08-07T00:00:00"/>
        <d v="2015-08-11T00:00:00"/>
        <d v="2015-08-12T00:00:00"/>
        <d v="2015-08-13T00:00:00"/>
        <d v="2015-08-17T00:00:00"/>
        <d v="2015-08-18T00:00:00"/>
        <m/>
      </sharedItems>
    </cacheField>
    <cacheField name="Std." numFmtId="0">
      <sharedItems containsString="0" containsBlank="1" containsNumber="1" minValue="0" maxValue="14"/>
    </cacheField>
    <cacheField name="cognovo Kst.Code" numFmtId="0">
      <sharedItems containsBlank="1" count="97">
        <s v="SMD_09"/>
        <s v="SMD_01"/>
        <s v="SSG_15"/>
        <s v="GWF_01"/>
        <s v="REG_09"/>
        <s v="PRD_03"/>
        <s v="SMD_ADMIN"/>
        <s v="SSG_ADMIN"/>
        <s v="NAT_02"/>
        <s v="REG_02"/>
        <s v="REG_10"/>
        <s v="REG_11"/>
        <s v="SMD_X"/>
        <s v="SSG_23"/>
        <s v="SSG_21"/>
        <s v="SSG_01"/>
        <s v="SMD_18"/>
        <s v="SMD_19"/>
        <s v="SSG_25"/>
        <s v="SMD_21"/>
        <s v="SMD_22"/>
        <s v="SSG_27"/>
        <s v="REG_13"/>
        <s v="?"/>
        <s v="REG_15"/>
        <s v="SSG_28"/>
        <s v="SMD_23"/>
        <s v="PRD_02"/>
        <s v="REG_17"/>
        <s v="SSG_30"/>
        <s v="SMD_24"/>
        <s v="SSG_31"/>
        <s v="SSG_09"/>
        <s v="SMD_20"/>
        <s v="SMD_07"/>
        <s v="SSG_28 "/>
        <m/>
        <s v="SSG_Admin "/>
        <s v="SSG"/>
        <s v="TAUKFNAT"/>
        <s v="PP2"/>
        <s v="CALCCHA"/>
        <s v="PSPRWIN"/>
        <s v="CALCOTCMEDIA"/>
        <s v="BETTUPD"/>
        <s v="PPLORIA"/>
        <s v="BBH"/>
        <s v="TAUBOOTS"/>
        <s v="CALCCM"/>
        <s v="CALCSRR"/>
        <s v="TAULORSALES"/>
        <s v="CALCNPA"/>
        <s v="TAUCESRA"/>
        <s v="CALCPTR"/>
        <s v="PCHWIN7"/>
        <s v="TAULORDISTRI"/>
        <s v="CALCDPMPSN"/>
        <s v="TAUMEDICEPOS"/>
        <s v="TAUNIEHAUS"/>
        <s v="TAUGSK"/>
        <s v="CALCOTCOFFTAKE"/>
        <s v="TAULORMICRO"/>
        <s v="TAULORDERMO"/>
        <s v="TAUBIOMED"/>
        <s v="TAUBAYER"/>
        <s v="TAUSTADA"/>
        <s v="TAUNUTRI"/>
        <s v="TAUKFMAMA"/>
        <s v="TAUOMRON"/>
        <s v="CALCPHS"/>
        <s v="TAUKFREG"/>
        <s v="TAULORSYNTH"/>
        <s v="PVTPFIZ"/>
        <s v="TAUKFSSASEXP"/>
        <s v="TAUBDF"/>
        <s v="PVTBOE"/>
        <s v="CALCADMIN"/>
        <s v="CALCCOMMON"/>
        <s v="STP"/>
        <s v="CALCREFACT"/>
        <s v="CALCPHSPOS"/>
        <s v="CALCRPM"/>
        <s v="CALCPHSDIA"/>
        <s v="CALCPHSDOC"/>
        <s v="CALCPHSMED"/>
        <s v="CALCPHSISSOR"/>
        <s v="CALCCH"/>
        <s v="CALCISSOR"/>
        <s v="CALCRVM"/>
        <s v="CALCXMM"/>
        <s v="HBTCHK2012"/>
        <s v="PCH2012"/>
        <s v="CALCDAALT"/>
        <s v="CALCDA"/>
        <s v="PP2ACC"/>
        <s v="CALCDAWS"/>
        <s v="CALCDAAH"/>
      </sharedItems>
    </cacheField>
    <cacheField name="cognovo Kst.Name" numFmtId="0">
      <sharedItems count="58">
        <e v="#N/A"/>
        <s v="Klosterfrau National"/>
        <s v="Produktionsportal 2"/>
        <s v="CHA Calculator"/>
        <s v="Powerspreadsheet Win7"/>
        <s v="OTC Media Calculator"/>
        <s v="Bettenupdate"/>
        <s v="Interaktiver L'Oreal report"/>
        <s v="Berichtsbesonderheiten"/>
        <s v="Boots"/>
        <s v="CM Calculator"/>
        <s v="Sales Rep Regions Calculator"/>
        <s v="L'Oreal Sales"/>
        <s v="NPA Calculator"/>
        <s v="Cesra report"/>
        <s v="Pharmatrend Calculator"/>
        <s v="Powercharts Win7"/>
        <s v="L'Oreal Distributionsreport"/>
        <s v="DPMPSN Calculator"/>
        <s v="Medice Pos report"/>
        <s v="Niehaus report"/>
        <s v="GSK Export"/>
        <s v="OTC Offtake Calculator"/>
        <s v="L'Oreal Micro report"/>
        <s v="L'Oreal Dermocosmetics report"/>
        <s v="Biomedica report"/>
        <s v="Bayer Dashboard"/>
        <s v="Stada reports"/>
        <s v="Nutricia reports"/>
        <s v="Klosterfrau Mass Market"/>
        <s v="Omron reports"/>
        <s v="PHS Calculator"/>
        <s v="Klosterfrau Regio"/>
        <s v="L'Oreal Synthese, Flash + UGK"/>
        <s v="Powerpivot Pfizer"/>
        <s v="Klosterfrau SSAS Export"/>
        <s v="Beiersdorf reports"/>
        <s v="Powerpivot Boehringer"/>
        <s v="Calculator Admin Schnittstelle"/>
        <s v="Calculator Allgemein"/>
        <s v="Subterritory Planner"/>
        <s v="Calculator Refactoring"/>
        <s v="PHS POS Calculator"/>
        <s v="RPM Calculator"/>
        <s v="PHS Diagnostics Calculator"/>
        <s v="PHS DocSplit Calculator"/>
        <s v="PHS Medical Calculator"/>
        <s v="Calculator Schweiz"/>
        <s v="PHS Issor Calculator"/>
        <s v="RVM Calculator"/>
        <s v="XMM Calculator"/>
        <s v="HBT Check Anpassung SQL 2012"/>
        <s v="Powercharts Anpassung SQL 2012"/>
        <s v="Disease Analyzer falscher Entwurf"/>
        <s v="Disease Analyzer"/>
        <s v="PP2 Accessibility"/>
        <s v="Disease Analyzer Workstation"/>
        <s v="Disease Analyzer Adhoc"/>
      </sharedItems>
    </cacheField>
    <cacheField name="Durchgeführte Arbeiten" numFmtId="0">
      <sharedItems containsBlank="1"/>
    </cacheField>
    <cacheField name="Kalkulator Tätigkeit" numFmtId="0">
      <sharedItems containsBlank="1"/>
    </cacheField>
    <cacheField name="Ansprechpartner" numFmtId="0">
      <sharedItems containsBlank="1"/>
    </cacheField>
    <cacheField name="Bemerkung" numFmtId="0">
      <sharedItems containsBlank="1"/>
    </cacheField>
    <cacheField name="PO Nummer" numFmtId="0">
      <sharedItems/>
    </cacheField>
    <cacheField name="Projekt" numFmtId="0">
      <sharedItems/>
    </cacheField>
    <cacheField name="Besteller" numFmtId="0">
      <sharedItems/>
    </cacheField>
    <cacheField name="Rechnungsempfänger" numFmtId="0">
      <sharedItems/>
    </cacheField>
    <cacheField name="Jahr" numFmtId="0">
      <sharedItems containsMixedTypes="1" containsNumber="1" containsInteger="1" minValue="1900" maxValue="2015" count="15">
        <n v="2003"/>
        <n v="2004"/>
        <n v="2005"/>
        <n v="2006"/>
        <n v="2007"/>
        <e v="#VALUE!"/>
        <n v="2008"/>
        <n v="2009"/>
        <n v="2010"/>
        <n v="2011"/>
        <n v="2012"/>
        <n v="2013"/>
        <n v="2014"/>
        <n v="2015"/>
        <n v="19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michael" refreshedDate="42235.328212499997" backgroundQuery="1" createdVersion="5" refreshedVersion="5" minRefreshableVersion="3" recordCount="0" supportSubquery="1" supportAdvancedDrill="1">
  <cacheSource type="external" connectionId="1"/>
  <cacheFields count="4">
    <cacheField name="[Measures].[Summe von Std]" caption="Summe von Std" numFmtId="0" hierarchy="13" level="32767"/>
    <cacheField name="[Tabelle3].[cognovo Kst.Name].[cognovo Kst.Name]" caption="cognovo Kst.Name" numFmtId="0" hierarchy="3" level="1">
      <sharedItems count="58">
        <s v="Calculator Allgemein"/>
        <s v="CM Calculator"/>
        <s v="DPMPSN Calculator"/>
        <s v="NPA Calculator"/>
        <s v="PHS Calculator"/>
        <s v="PHS Diagnostics Calculator"/>
        <s v="PHS DocSplit Calculator"/>
        <s v="PHS Issor Calculator"/>
        <s v="PHS Medical Calculator"/>
        <s v="PHS POS Calculator"/>
        <s v="RPM Calculator"/>
        <s v="RVM Calculator"/>
        <s v="XMM Calculator"/>
        <s v="#NV" u="1"/>
        <s v="Bayer Dashboard" u="1"/>
        <s v="Beiersdorf reports" u="1"/>
        <s v="Berichtsbesonderheiten" u="1"/>
        <s v="Bettenupdate" u="1"/>
        <s v="Biomedica report" u="1"/>
        <s v="Boots" u="1"/>
        <s v="Calculator Admin Schnittstelle" u="1"/>
        <s v="Calculator Refactoring" u="1"/>
        <s v="Calculator Schweiz" u="1"/>
        <s v="Cesra report" u="1"/>
        <s v="CHA Calculator" u="1"/>
        <s v="Disease Analyzer" u="1"/>
        <s v="Disease Analyzer Adhoc" u="1"/>
        <s v="Disease Analyzer falscher Entwurf" u="1"/>
        <s v="Disease Analyzer Workstation" u="1"/>
        <s v="GSK Export" u="1"/>
        <s v="HBT Check Anpassung SQL 2012" u="1"/>
        <s v="Interaktiver L'Oreal report" u="1"/>
        <s v="Klosterfrau Mass Market" u="1"/>
        <s v="Klosterfrau National" u="1"/>
        <s v="Klosterfrau Regio" u="1"/>
        <s v="Klosterfrau SSAS Export" u="1"/>
        <s v="L'Oreal Dermocosmetics report" u="1"/>
        <s v="L'Oreal Distributionsreport" u="1"/>
        <s v="L'Oreal Micro report" u="1"/>
        <s v="L'Oreal Sales" u="1"/>
        <s v="L'Oreal Synthese, Flash + UGK" u="1"/>
        <s v="Medice Pos report" u="1"/>
        <s v="Niehaus report" u="1"/>
        <s v="Nutricia reports" u="1"/>
        <s v="Omron reports" u="1"/>
        <s v="OTC Media Calculator" u="1"/>
        <s v="OTC Offtake Calculator" u="1"/>
        <s v="Pharmatrend Calculator" u="1"/>
        <s v="Powercharts Anpassung SQL 2012" u="1"/>
        <s v="Powercharts Win7" u="1"/>
        <s v="Powerpivot Boehringer" u="1"/>
        <s v="Powerpivot Pfizer" u="1"/>
        <s v="Powerspreadsheet Win7" u="1"/>
        <s v="PP2 Accessibility" u="1"/>
        <s v="Produktionsportal 2" u="1"/>
        <s v="Sales Rep Regions Calculator" u="1"/>
        <s v="Stada reports" u="1"/>
        <s v="Subterritory Planner" u="1"/>
      </sharedItems>
    </cacheField>
    <cacheField name="[Tabelle3].[Jahr].[Jahr]" caption="Jahr" numFmtId="0" hierarchy="12" level="1">
      <sharedItems containsSemiMixedTypes="0" containsNonDate="0" containsString="0"/>
    </cacheField>
    <cacheField name="[Tabelle3].[cognovo Kst.Code].[cognovo Kst.Code]" caption="cognovo Kst.Code" numFmtId="0" hierarchy="2" level="1">
      <sharedItems containsSemiMixedTypes="0" containsNonDate="0" containsString="0"/>
    </cacheField>
  </cacheFields>
  <cacheHierarchies count="16">
    <cacheHierarchy uniqueName="[Tabelle3].[Datum]" caption="Datum" attribute="1" defaultMemberUniqueName="[Tabelle3].[Datum].[All]" allUniqueName="[Tabelle3].[Datum].[All]" dimensionUniqueName="[Tabelle3]" displayFolder="" count="0" memberValueDatatype="130" unbalanced="0"/>
    <cacheHierarchy uniqueName="[Tabelle3].[Std.]" caption="Std." attribute="1" defaultMemberUniqueName="[Tabelle3].[Std.].[All]" allUniqueName="[Tabelle3].[Std.].[All]" dimensionUniqueName="[Tabelle3]" displayFolder="" count="0" memberValueDatatype="5" unbalanced="0"/>
    <cacheHierarchy uniqueName="[Tabelle3].[cognovo Kst.Code]" caption="cognovo Kst.Code" attribute="1" defaultMemberUniqueName="[Tabelle3].[cognovo Kst.Code].[All]" allUniqueName="[Tabelle3].[cognovo Kst.Code].[All]" dimensionUniqueName="[Tabelle3]" displayFolder="" count="2" memberValueDatatype="130" unbalanced="0">
      <fieldsUsage count="2">
        <fieldUsage x="-1"/>
        <fieldUsage x="3"/>
      </fieldsUsage>
    </cacheHierarchy>
    <cacheHierarchy uniqueName="[Tabelle3].[cognovo Kst.Name]" caption="cognovo Kst.Name" attribute="1" defaultMemberUniqueName="[Tabelle3].[cognovo Kst.Name].[All]" allUniqueName="[Tabelle3].[cognovo Kst.Name].[All]" dimensionUniqueName="[Tabelle3]" displayFolder="" count="2" memberValueDatatype="130" unbalanced="0">
      <fieldsUsage count="2">
        <fieldUsage x="-1"/>
        <fieldUsage x="1"/>
      </fieldsUsage>
    </cacheHierarchy>
    <cacheHierarchy uniqueName="[Tabelle3].[Durchgeführte Arbeiten]" caption="Durchgeführte Arbeiten" attribute="1" defaultMemberUniqueName="[Tabelle3].[Durchgeführte Arbeiten].[All]" allUniqueName="[Tabelle3].[Durchgeführte Arbeiten].[All]" dimensionUniqueName="[Tabelle3]" displayFolder="" count="0" memberValueDatatype="130" unbalanced="0"/>
    <cacheHierarchy uniqueName="[Tabelle3].[Kalkulator Tätigkeit]" caption="Kalkulator Tätigkeit" attribute="1" defaultMemberUniqueName="[Tabelle3].[Kalkulator Tätigkeit].[All]" allUniqueName="[Tabelle3].[Kalkulator Tätigkeit].[All]" dimensionUniqueName="[Tabelle3]" displayFolder="" count="0" memberValueDatatype="130" unbalanced="0"/>
    <cacheHierarchy uniqueName="[Tabelle3].[Ansprechpartner]" caption="Ansprechpartner" attribute="1" defaultMemberUniqueName="[Tabelle3].[Ansprechpartner].[All]" allUniqueName="[Tabelle3].[Ansprechpartner].[All]" dimensionUniqueName="[Tabelle3]" displayFolder="" count="0" memberValueDatatype="130" unbalanced="0"/>
    <cacheHierarchy uniqueName="[Tabelle3].[Bemerkung]" caption="Bemerkung" attribute="1" defaultMemberUniqueName="[Tabelle3].[Bemerkung].[All]" allUniqueName="[Tabelle3].[Bemerkung].[All]" dimensionUniqueName="[Tabelle3]" displayFolder="" count="0" memberValueDatatype="130" unbalanced="0"/>
    <cacheHierarchy uniqueName="[Tabelle3].[PO Nummer]" caption="PO Nummer" attribute="1" defaultMemberUniqueName="[Tabelle3].[PO Nummer].[All]" allUniqueName="[Tabelle3].[PO Nummer].[All]" dimensionUniqueName="[Tabelle3]" displayFolder="" count="0" memberValueDatatype="130" unbalanced="0"/>
    <cacheHierarchy uniqueName="[Tabelle3].[Projekt]" caption="Projekt" attribute="1" defaultMemberUniqueName="[Tabelle3].[Projekt].[All]" allUniqueName="[Tabelle3].[Projekt].[All]" dimensionUniqueName="[Tabelle3]" displayFolder="" count="0" memberValueDatatype="130" unbalanced="0"/>
    <cacheHierarchy uniqueName="[Tabelle3].[Besteller]" caption="Besteller" attribute="1" defaultMemberUniqueName="[Tabelle3].[Besteller].[All]" allUniqueName="[Tabelle3].[Besteller].[All]" dimensionUniqueName="[Tabelle3]" displayFolder="" count="0" memberValueDatatype="130" unbalanced="0"/>
    <cacheHierarchy uniqueName="[Tabelle3].[Rechnungsempfänger]" caption="Rechnungsempfänger" attribute="1" defaultMemberUniqueName="[Tabelle3].[Rechnungsempfänger].[All]" allUniqueName="[Tabelle3].[Rechnungsempfänger].[All]" dimensionUniqueName="[Tabelle3]" displayFolder="" count="0" memberValueDatatype="130" unbalanced="0"/>
    <cacheHierarchy uniqueName="[Tabelle3].[Jahr]" caption="Jahr" attribute="1" defaultMemberUniqueName="[Tabelle3].[Jahr].[All]" allUniqueName="[Tabelle3].[Jahr].[All]" dimensionUniqueName="[Tabelle3]" displayFolder="" count="2" memberValueDatatype="130" unbalanced="0">
      <fieldsUsage count="2">
        <fieldUsage x="-1"/>
        <fieldUsage x="2"/>
      </fieldsUsage>
    </cacheHierarchy>
    <cacheHierarchy uniqueName="[Measures].[Summe von Std]" caption="Summe von Std" measure="1" displayFolder="" measureGroup="Tabelle3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__XL_Count Tabelle3]" caption="__XL_Count Tabelle3" measure="1" displayFolder="" measureGroup="Tabelle3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Tabelle3" uniqueName="[Tabelle3]" caption="Tabelle3"/>
  </dimensions>
  <measureGroups count="1">
    <measureGroup name="Tabelle3" caption="Tabelle3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michael" refreshedDate="42235.348426620367" backgroundQuery="1" createdVersion="5" refreshedVersion="5" minRefreshableVersion="3" recordCount="0" supportSubquery="1" supportAdvancedDrill="1">
  <cacheSource type="external" connectionId="1"/>
  <cacheFields count="4">
    <cacheField name="[Measures].[Summe von Std]" caption="Summe von Std" numFmtId="0" hierarchy="13" level="32767"/>
    <cacheField name="[Tabelle3].[cognovo Kst.Name].[cognovo Kst.Name]" caption="cognovo Kst.Name" numFmtId="0" hierarchy="3" level="1">
      <sharedItems count="2">
        <s v="Calculator Admin Schnittstelle"/>
        <s v="Calculator Refactoring"/>
      </sharedItems>
    </cacheField>
    <cacheField name="[Tabelle3].[Jahr].[Jahr]" caption="Jahr" numFmtId="0" hierarchy="12" level="1">
      <sharedItems containsSemiMixedTypes="0" containsNonDate="0" containsString="0"/>
    </cacheField>
    <cacheField name="[Tabelle3].[cognovo Kst.Code].[cognovo Kst.Code]" caption="cognovo Kst.Code" numFmtId="0" hierarchy="2" level="1">
      <sharedItems containsSemiMixedTypes="0" containsNonDate="0" containsString="0"/>
    </cacheField>
  </cacheFields>
  <cacheHierarchies count="16">
    <cacheHierarchy uniqueName="[Tabelle3].[Datum]" caption="Datum" attribute="1" defaultMemberUniqueName="[Tabelle3].[Datum].[All]" allUniqueName="[Tabelle3].[Datum].[All]" dimensionUniqueName="[Tabelle3]" displayFolder="" count="0" memberValueDatatype="130" unbalanced="0"/>
    <cacheHierarchy uniqueName="[Tabelle3].[Std.]" caption="Std." attribute="1" defaultMemberUniqueName="[Tabelle3].[Std.].[All]" allUniqueName="[Tabelle3].[Std.].[All]" dimensionUniqueName="[Tabelle3]" displayFolder="" count="0" memberValueDatatype="5" unbalanced="0"/>
    <cacheHierarchy uniqueName="[Tabelle3].[cognovo Kst.Code]" caption="cognovo Kst.Code" attribute="1" defaultMemberUniqueName="[Tabelle3].[cognovo Kst.Code].[All]" allUniqueName="[Tabelle3].[cognovo Kst.Code].[All]" dimensionUniqueName="[Tabelle3]" displayFolder="" count="2" memberValueDatatype="130" unbalanced="0">
      <fieldsUsage count="2">
        <fieldUsage x="-1"/>
        <fieldUsage x="3"/>
      </fieldsUsage>
    </cacheHierarchy>
    <cacheHierarchy uniqueName="[Tabelle3].[cognovo Kst.Name]" caption="cognovo Kst.Name" attribute="1" defaultMemberUniqueName="[Tabelle3].[cognovo Kst.Name].[All]" allUniqueName="[Tabelle3].[cognovo Kst.Name].[All]" dimensionUniqueName="[Tabelle3]" displayFolder="" count="2" memberValueDatatype="130" unbalanced="0">
      <fieldsUsage count="2">
        <fieldUsage x="-1"/>
        <fieldUsage x="1"/>
      </fieldsUsage>
    </cacheHierarchy>
    <cacheHierarchy uniqueName="[Tabelle3].[Durchgeführte Arbeiten]" caption="Durchgeführte Arbeiten" attribute="1" defaultMemberUniqueName="[Tabelle3].[Durchgeführte Arbeiten].[All]" allUniqueName="[Tabelle3].[Durchgeführte Arbeiten].[All]" dimensionUniqueName="[Tabelle3]" displayFolder="" count="0" memberValueDatatype="130" unbalanced="0"/>
    <cacheHierarchy uniqueName="[Tabelle3].[Kalkulator Tätigkeit]" caption="Kalkulator Tätigkeit" attribute="1" defaultMemberUniqueName="[Tabelle3].[Kalkulator Tätigkeit].[All]" allUniqueName="[Tabelle3].[Kalkulator Tätigkeit].[All]" dimensionUniqueName="[Tabelle3]" displayFolder="" count="0" memberValueDatatype="130" unbalanced="0"/>
    <cacheHierarchy uniqueName="[Tabelle3].[Ansprechpartner]" caption="Ansprechpartner" attribute="1" defaultMemberUniqueName="[Tabelle3].[Ansprechpartner].[All]" allUniqueName="[Tabelle3].[Ansprechpartner].[All]" dimensionUniqueName="[Tabelle3]" displayFolder="" count="0" memberValueDatatype="130" unbalanced="0"/>
    <cacheHierarchy uniqueName="[Tabelle3].[Bemerkung]" caption="Bemerkung" attribute="1" defaultMemberUniqueName="[Tabelle3].[Bemerkung].[All]" allUniqueName="[Tabelle3].[Bemerkung].[All]" dimensionUniqueName="[Tabelle3]" displayFolder="" count="0" memberValueDatatype="130" unbalanced="0"/>
    <cacheHierarchy uniqueName="[Tabelle3].[PO Nummer]" caption="PO Nummer" attribute="1" defaultMemberUniqueName="[Tabelle3].[PO Nummer].[All]" allUniqueName="[Tabelle3].[PO Nummer].[All]" dimensionUniqueName="[Tabelle3]" displayFolder="" count="0" memberValueDatatype="130" unbalanced="0"/>
    <cacheHierarchy uniqueName="[Tabelle3].[Projekt]" caption="Projekt" attribute="1" defaultMemberUniqueName="[Tabelle3].[Projekt].[All]" allUniqueName="[Tabelle3].[Projekt].[All]" dimensionUniqueName="[Tabelle3]" displayFolder="" count="0" memberValueDatatype="130" unbalanced="0"/>
    <cacheHierarchy uniqueName="[Tabelle3].[Besteller]" caption="Besteller" attribute="1" defaultMemberUniqueName="[Tabelle3].[Besteller].[All]" allUniqueName="[Tabelle3].[Besteller].[All]" dimensionUniqueName="[Tabelle3]" displayFolder="" count="0" memberValueDatatype="130" unbalanced="0"/>
    <cacheHierarchy uniqueName="[Tabelle3].[Rechnungsempfänger]" caption="Rechnungsempfänger" attribute="1" defaultMemberUniqueName="[Tabelle3].[Rechnungsempfänger].[All]" allUniqueName="[Tabelle3].[Rechnungsempfänger].[All]" dimensionUniqueName="[Tabelle3]" displayFolder="" count="0" memberValueDatatype="130" unbalanced="0"/>
    <cacheHierarchy uniqueName="[Tabelle3].[Jahr]" caption="Jahr" attribute="1" defaultMemberUniqueName="[Tabelle3].[Jahr].[All]" allUniqueName="[Tabelle3].[Jahr].[All]" dimensionUniqueName="[Tabelle3]" displayFolder="" count="2" memberValueDatatype="130" unbalanced="0">
      <fieldsUsage count="2">
        <fieldUsage x="-1"/>
        <fieldUsage x="2"/>
      </fieldsUsage>
    </cacheHierarchy>
    <cacheHierarchy uniqueName="[Measures].[Summe von Std]" caption="Summe von Std" measure="1" displayFolder="" measureGroup="Tabelle3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__XL_Count Tabelle3]" caption="__XL_Count Tabelle3" measure="1" displayFolder="" measureGroup="Tabelle3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Tabelle3" uniqueName="[Tabelle3]" caption="Tabelle3"/>
  </dimensions>
  <measureGroups count="1">
    <measureGroup name="Tabelle3" caption="Tabelle3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michael" refreshedDate="42235.388331828704" backgroundQuery="1" createdVersion="5" refreshedVersion="5" minRefreshableVersion="3" recordCount="0" supportSubquery="1" supportAdvancedDrill="1">
  <cacheSource type="external" connectionId="1"/>
  <cacheFields count="4">
    <cacheField name="[Measures].[Summe von Std]" caption="Summe von Std" numFmtId="0" hierarchy="13" level="32767"/>
    <cacheField name="[Tabelle3].[cognovo Kst.Name].[cognovo Kst.Name]" caption="cognovo Kst.Name" numFmtId="0" hierarchy="3" level="1">
      <sharedItems count="4">
        <s v="Disease Analyzer"/>
        <s v="Disease Analyzer Adhoc"/>
        <s v="Disease Analyzer falscher Entwurf"/>
        <s v="Disease Analyzer Workstation"/>
      </sharedItems>
    </cacheField>
    <cacheField name="[Tabelle3].[Jahr].[Jahr]" caption="Jahr" numFmtId="0" hierarchy="12" level="1">
      <sharedItems containsSemiMixedTypes="0" containsNonDate="0" containsString="0"/>
    </cacheField>
    <cacheField name="[Tabelle3].[cognovo Kst.Code].[cognovo Kst.Code]" caption="cognovo Kst.Code" numFmtId="0" hierarchy="2" level="1">
      <sharedItems containsSemiMixedTypes="0" containsNonDate="0" containsString="0"/>
    </cacheField>
  </cacheFields>
  <cacheHierarchies count="16">
    <cacheHierarchy uniqueName="[Tabelle3].[Datum]" caption="Datum" attribute="1" defaultMemberUniqueName="[Tabelle3].[Datum].[All]" allUniqueName="[Tabelle3].[Datum].[All]" dimensionUniqueName="[Tabelle3]" displayFolder="" count="0" memberValueDatatype="130" unbalanced="0"/>
    <cacheHierarchy uniqueName="[Tabelle3].[Std.]" caption="Std." attribute="1" defaultMemberUniqueName="[Tabelle3].[Std.].[All]" allUniqueName="[Tabelle3].[Std.].[All]" dimensionUniqueName="[Tabelle3]" displayFolder="" count="0" memberValueDatatype="5" unbalanced="0"/>
    <cacheHierarchy uniqueName="[Tabelle3].[cognovo Kst.Code]" caption="cognovo Kst.Code" attribute="1" defaultMemberUniqueName="[Tabelle3].[cognovo Kst.Code].[All]" allUniqueName="[Tabelle3].[cognovo Kst.Code].[All]" dimensionUniqueName="[Tabelle3]" displayFolder="" count="2" memberValueDatatype="130" unbalanced="0">
      <fieldsUsage count="2">
        <fieldUsage x="-1"/>
        <fieldUsage x="3"/>
      </fieldsUsage>
    </cacheHierarchy>
    <cacheHierarchy uniqueName="[Tabelle3].[cognovo Kst.Name]" caption="cognovo Kst.Name" attribute="1" defaultMemberUniqueName="[Tabelle3].[cognovo Kst.Name].[All]" allUniqueName="[Tabelle3].[cognovo Kst.Name].[All]" dimensionUniqueName="[Tabelle3]" displayFolder="" count="2" memberValueDatatype="130" unbalanced="0">
      <fieldsUsage count="2">
        <fieldUsage x="-1"/>
        <fieldUsage x="1"/>
      </fieldsUsage>
    </cacheHierarchy>
    <cacheHierarchy uniqueName="[Tabelle3].[Durchgeführte Arbeiten]" caption="Durchgeführte Arbeiten" attribute="1" defaultMemberUniqueName="[Tabelle3].[Durchgeführte Arbeiten].[All]" allUniqueName="[Tabelle3].[Durchgeführte Arbeiten].[All]" dimensionUniqueName="[Tabelle3]" displayFolder="" count="0" memberValueDatatype="130" unbalanced="0"/>
    <cacheHierarchy uniqueName="[Tabelle3].[Kalkulator Tätigkeit]" caption="Kalkulator Tätigkeit" attribute="1" defaultMemberUniqueName="[Tabelle3].[Kalkulator Tätigkeit].[All]" allUniqueName="[Tabelle3].[Kalkulator Tätigkeit].[All]" dimensionUniqueName="[Tabelle3]" displayFolder="" count="0" memberValueDatatype="130" unbalanced="0"/>
    <cacheHierarchy uniqueName="[Tabelle3].[Ansprechpartner]" caption="Ansprechpartner" attribute="1" defaultMemberUniqueName="[Tabelle3].[Ansprechpartner].[All]" allUniqueName="[Tabelle3].[Ansprechpartner].[All]" dimensionUniqueName="[Tabelle3]" displayFolder="" count="0" memberValueDatatype="130" unbalanced="0"/>
    <cacheHierarchy uniqueName="[Tabelle3].[Bemerkung]" caption="Bemerkung" attribute="1" defaultMemberUniqueName="[Tabelle3].[Bemerkung].[All]" allUniqueName="[Tabelle3].[Bemerkung].[All]" dimensionUniqueName="[Tabelle3]" displayFolder="" count="0" memberValueDatatype="130" unbalanced="0"/>
    <cacheHierarchy uniqueName="[Tabelle3].[PO Nummer]" caption="PO Nummer" attribute="1" defaultMemberUniqueName="[Tabelle3].[PO Nummer].[All]" allUniqueName="[Tabelle3].[PO Nummer].[All]" dimensionUniqueName="[Tabelle3]" displayFolder="" count="0" memberValueDatatype="130" unbalanced="0"/>
    <cacheHierarchy uniqueName="[Tabelle3].[Projekt]" caption="Projekt" attribute="1" defaultMemberUniqueName="[Tabelle3].[Projekt].[All]" allUniqueName="[Tabelle3].[Projekt].[All]" dimensionUniqueName="[Tabelle3]" displayFolder="" count="0" memberValueDatatype="130" unbalanced="0"/>
    <cacheHierarchy uniqueName="[Tabelle3].[Besteller]" caption="Besteller" attribute="1" defaultMemberUniqueName="[Tabelle3].[Besteller].[All]" allUniqueName="[Tabelle3].[Besteller].[All]" dimensionUniqueName="[Tabelle3]" displayFolder="" count="0" memberValueDatatype="130" unbalanced="0"/>
    <cacheHierarchy uniqueName="[Tabelle3].[Rechnungsempfänger]" caption="Rechnungsempfänger" attribute="1" defaultMemberUniqueName="[Tabelle3].[Rechnungsempfänger].[All]" allUniqueName="[Tabelle3].[Rechnungsempfänger].[All]" dimensionUniqueName="[Tabelle3]" displayFolder="" count="0" memberValueDatatype="130" unbalanced="0"/>
    <cacheHierarchy uniqueName="[Tabelle3].[Jahr]" caption="Jahr" attribute="1" defaultMemberUniqueName="[Tabelle3].[Jahr].[All]" allUniqueName="[Tabelle3].[Jahr].[All]" dimensionUniqueName="[Tabelle3]" displayFolder="" count="2" memberValueDatatype="130" unbalanced="0">
      <fieldsUsage count="2">
        <fieldUsage x="-1"/>
        <fieldUsage x="2"/>
      </fieldsUsage>
    </cacheHierarchy>
    <cacheHierarchy uniqueName="[Measures].[Summe von Std]" caption="Summe von Std" measure="1" displayFolder="" measureGroup="Tabelle3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__XL_Count Tabelle3]" caption="__XL_Count Tabelle3" measure="1" displayFolder="" measureGroup="Tabelle3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Tabelle3" uniqueName="[Tabelle3]" caption="Tabelle3"/>
  </dimensions>
  <measureGroups count="1">
    <measureGroup name="Tabelle3" caption="Tabelle3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42">
  <r>
    <x v="0"/>
    <n v="7.5"/>
    <x v="0"/>
    <x v="0"/>
    <s v="GFKDimAdd"/>
    <m/>
    <s v="Avera"/>
    <m/>
    <e v="#N/A"/>
    <e v="#N/A"/>
    <e v="#N/A"/>
    <e v="#N/A"/>
    <x v="0"/>
  </r>
  <r>
    <x v="0"/>
    <n v="1"/>
    <x v="1"/>
    <x v="0"/>
    <s v="Food Coach Debugging"/>
    <m/>
    <s v="Tuchel"/>
    <m/>
    <e v="#N/A"/>
    <e v="#N/A"/>
    <e v="#N/A"/>
    <e v="#N/A"/>
    <x v="0"/>
  </r>
  <r>
    <x v="1"/>
    <n v="9.5"/>
    <x v="2"/>
    <x v="0"/>
    <s v="Bugfixing, Test und Erweiterung SA Export (fünfte Dimension)"/>
    <m/>
    <s v="Runkel"/>
    <m/>
    <e v="#N/A"/>
    <e v="#N/A"/>
    <e v="#N/A"/>
    <e v="#N/A"/>
    <x v="0"/>
  </r>
  <r>
    <x v="2"/>
    <n v="9.5"/>
    <x v="0"/>
    <x v="0"/>
    <s v="GFKDimAdd"/>
    <m/>
    <s v="Avera"/>
    <m/>
    <e v="#N/A"/>
    <e v="#N/A"/>
    <e v="#N/A"/>
    <e v="#N/A"/>
    <x v="0"/>
  </r>
  <r>
    <x v="3"/>
    <n v="2"/>
    <x v="2"/>
    <x v="0"/>
    <s v="Besprechung SA Export"/>
    <m/>
    <s v="Runkel"/>
    <m/>
    <e v="#N/A"/>
    <e v="#N/A"/>
    <e v="#N/A"/>
    <e v="#N/A"/>
    <x v="0"/>
  </r>
  <r>
    <x v="3"/>
    <n v="4"/>
    <x v="0"/>
    <x v="0"/>
    <s v="GFKDimAdd"/>
    <m/>
    <s v="Avera"/>
    <m/>
    <e v="#N/A"/>
    <e v="#N/A"/>
    <e v="#N/A"/>
    <e v="#N/A"/>
    <x v="0"/>
  </r>
  <r>
    <x v="4"/>
    <n v="9"/>
    <x v="0"/>
    <x v="0"/>
    <s v="GFKDimAdd"/>
    <m/>
    <s v="Avera"/>
    <m/>
    <e v="#N/A"/>
    <e v="#N/A"/>
    <e v="#N/A"/>
    <e v="#N/A"/>
    <x v="0"/>
  </r>
  <r>
    <x v="5"/>
    <n v="9"/>
    <x v="0"/>
    <x v="0"/>
    <s v="GFKDimAdd"/>
    <m/>
    <s v="Avera"/>
    <m/>
    <e v="#N/A"/>
    <e v="#N/A"/>
    <e v="#N/A"/>
    <e v="#N/A"/>
    <x v="0"/>
  </r>
  <r>
    <x v="6"/>
    <n v="9"/>
    <x v="0"/>
    <x v="0"/>
    <s v="GFKDimAdd"/>
    <m/>
    <s v="Avera"/>
    <m/>
    <e v="#N/A"/>
    <e v="#N/A"/>
    <e v="#N/A"/>
    <e v="#N/A"/>
    <x v="0"/>
  </r>
  <r>
    <x v="7"/>
    <n v="7"/>
    <x v="0"/>
    <x v="0"/>
    <s v="GFKDimAdd Test"/>
    <m/>
    <s v="Avera"/>
    <m/>
    <e v="#N/A"/>
    <e v="#N/A"/>
    <e v="#N/A"/>
    <e v="#N/A"/>
    <x v="0"/>
  </r>
  <r>
    <x v="7"/>
    <n v="2"/>
    <x v="1"/>
    <x v="0"/>
    <s v="Besprechung Food Coach Excel Views Weblösung"/>
    <m/>
    <s v="Forster"/>
    <m/>
    <e v="#N/A"/>
    <e v="#N/A"/>
    <e v="#N/A"/>
    <e v="#N/A"/>
    <x v="0"/>
  </r>
  <r>
    <x v="8"/>
    <n v="1"/>
    <x v="2"/>
    <x v="0"/>
    <s v="Setuperstellung"/>
    <m/>
    <s v="Runkel"/>
    <m/>
    <e v="#N/A"/>
    <e v="#N/A"/>
    <e v="#N/A"/>
    <e v="#N/A"/>
    <x v="0"/>
  </r>
  <r>
    <x v="8"/>
    <n v="5"/>
    <x v="0"/>
    <x v="0"/>
    <s v="GFKDimAdd Test"/>
    <m/>
    <s v="Avera"/>
    <m/>
    <e v="#N/A"/>
    <e v="#N/A"/>
    <e v="#N/A"/>
    <e v="#N/A"/>
    <x v="0"/>
  </r>
  <r>
    <x v="9"/>
    <n v="8.5"/>
    <x v="3"/>
    <x v="0"/>
    <s v="Ascii.exe Fehlerbehebung"/>
    <m/>
    <s v="Seliger"/>
    <m/>
    <e v="#N/A"/>
    <e v="#N/A"/>
    <e v="#N/A"/>
    <e v="#N/A"/>
    <x v="0"/>
  </r>
  <r>
    <x v="10"/>
    <n v="4"/>
    <x v="3"/>
    <x v="0"/>
    <s v="Ascii.exe Fehlerbehebung"/>
    <m/>
    <s v="Seliger"/>
    <m/>
    <e v="#N/A"/>
    <e v="#N/A"/>
    <e v="#N/A"/>
    <e v="#N/A"/>
    <x v="0"/>
  </r>
  <r>
    <x v="10"/>
    <n v="4.5"/>
    <x v="4"/>
    <x v="0"/>
    <s v="Kundenadressen-Check"/>
    <m/>
    <s v="Hornbruch"/>
    <m/>
    <e v="#N/A"/>
    <e v="#N/A"/>
    <e v="#N/A"/>
    <e v="#N/A"/>
    <x v="0"/>
  </r>
  <r>
    <x v="11"/>
    <n v="8"/>
    <x v="4"/>
    <x v="0"/>
    <s v="Kundenadressen-Check"/>
    <m/>
    <s v="Hornbruch"/>
    <m/>
    <e v="#N/A"/>
    <e v="#N/A"/>
    <e v="#N/A"/>
    <e v="#N/A"/>
    <x v="0"/>
  </r>
  <r>
    <x v="12"/>
    <n v="9.5"/>
    <x v="4"/>
    <x v="0"/>
    <s v="Kundenadressen-Check"/>
    <m/>
    <s v="Hornbruch"/>
    <m/>
    <e v="#N/A"/>
    <e v="#N/A"/>
    <e v="#N/A"/>
    <e v="#N/A"/>
    <x v="0"/>
  </r>
  <r>
    <x v="13"/>
    <n v="6"/>
    <x v="4"/>
    <x v="0"/>
    <s v="Kundenadressen-Check"/>
    <m/>
    <s v="Hornbruch"/>
    <m/>
    <e v="#N/A"/>
    <e v="#N/A"/>
    <e v="#N/A"/>
    <e v="#N/A"/>
    <x v="0"/>
  </r>
  <r>
    <x v="14"/>
    <n v="6"/>
    <x v="4"/>
    <x v="0"/>
    <s v="Kundenadressen-Check Test"/>
    <m/>
    <s v="Hornbruch"/>
    <m/>
    <e v="#N/A"/>
    <e v="#N/A"/>
    <e v="#N/A"/>
    <e v="#N/A"/>
    <x v="0"/>
  </r>
  <r>
    <x v="14"/>
    <n v="2"/>
    <x v="5"/>
    <x v="0"/>
    <s v="CMF Geo Anpassung"/>
    <m/>
    <s v="Meißner-Höfner"/>
    <m/>
    <e v="#N/A"/>
    <e v="#N/A"/>
    <e v="#N/A"/>
    <e v="#N/A"/>
    <x v="0"/>
  </r>
  <r>
    <x v="15"/>
    <n v="4"/>
    <x v="5"/>
    <x v="0"/>
    <s v="CMF Geo Anpassung"/>
    <m/>
    <s v="Meißner-Höfner"/>
    <m/>
    <e v="#N/A"/>
    <e v="#N/A"/>
    <e v="#N/A"/>
    <e v="#N/A"/>
    <x v="0"/>
  </r>
  <r>
    <x v="15"/>
    <n v="2"/>
    <x v="4"/>
    <x v="0"/>
    <s v="Kundenadressen-Check Anpassung"/>
    <m/>
    <s v="Hornbruch"/>
    <m/>
    <e v="#N/A"/>
    <e v="#N/A"/>
    <e v="#N/A"/>
    <e v="#N/A"/>
    <x v="0"/>
  </r>
  <r>
    <x v="15"/>
    <n v="3"/>
    <x v="0"/>
    <x v="0"/>
    <s v="GFKDimAdd"/>
    <m/>
    <s v="Avera"/>
    <m/>
    <e v="#N/A"/>
    <e v="#N/A"/>
    <e v="#N/A"/>
    <e v="#N/A"/>
    <x v="0"/>
  </r>
  <r>
    <x v="16"/>
    <n v="8"/>
    <x v="0"/>
    <x v="0"/>
    <s v="GFKDimAdd"/>
    <m/>
    <s v="Avera"/>
    <m/>
    <e v="#N/A"/>
    <e v="#N/A"/>
    <e v="#N/A"/>
    <e v="#N/A"/>
    <x v="0"/>
  </r>
  <r>
    <x v="17"/>
    <n v="6"/>
    <x v="0"/>
    <x v="0"/>
    <s v="GFKDimAdd Test"/>
    <m/>
    <s v="Avera"/>
    <m/>
    <e v="#N/A"/>
    <e v="#N/A"/>
    <e v="#N/A"/>
    <e v="#N/A"/>
    <x v="0"/>
  </r>
  <r>
    <x v="17"/>
    <n v="1"/>
    <x v="6"/>
    <x v="0"/>
    <s v="Installation und Einrichtung .NET"/>
    <m/>
    <m/>
    <m/>
    <e v="#N/A"/>
    <e v="#N/A"/>
    <e v="#N/A"/>
    <e v="#N/A"/>
    <x v="0"/>
  </r>
  <r>
    <x v="17"/>
    <n v="1"/>
    <x v="7"/>
    <x v="0"/>
    <s v="Installation und Einrichtung .NET"/>
    <m/>
    <m/>
    <m/>
    <e v="#N/A"/>
    <e v="#N/A"/>
    <e v="#N/A"/>
    <e v="#N/A"/>
    <x v="0"/>
  </r>
  <r>
    <x v="18"/>
    <n v="2"/>
    <x v="0"/>
    <x v="0"/>
    <s v="Erstellung Würfel mit Dimensionen Marke,Form, Hersteller"/>
    <m/>
    <s v="Avera"/>
    <m/>
    <e v="#N/A"/>
    <e v="#N/A"/>
    <e v="#N/A"/>
    <e v="#N/A"/>
    <x v="0"/>
  </r>
  <r>
    <x v="18"/>
    <n v="2"/>
    <x v="6"/>
    <x v="0"/>
    <s v="Erstellung Bibliotheken für .NET"/>
    <m/>
    <m/>
    <m/>
    <e v="#N/A"/>
    <e v="#N/A"/>
    <e v="#N/A"/>
    <e v="#N/A"/>
    <x v="0"/>
  </r>
  <r>
    <x v="18"/>
    <n v="2"/>
    <x v="7"/>
    <x v="0"/>
    <s v="Erstellung Bibliotheken für .NET"/>
    <m/>
    <m/>
    <m/>
    <e v="#N/A"/>
    <e v="#N/A"/>
    <e v="#N/A"/>
    <e v="#N/A"/>
    <x v="0"/>
  </r>
  <r>
    <x v="19"/>
    <n v="2"/>
    <x v="1"/>
    <x v="0"/>
    <s v="Bugfixing Medical Coach"/>
    <m/>
    <s v="Forster"/>
    <m/>
    <e v="#N/A"/>
    <e v="#N/A"/>
    <e v="#N/A"/>
    <e v="#N/A"/>
    <x v="0"/>
  </r>
  <r>
    <x v="19"/>
    <n v="2"/>
    <x v="0"/>
    <x v="0"/>
    <s v="Produktion H505 mit GFKDimAdd"/>
    <m/>
    <s v="Avera"/>
    <m/>
    <e v="#N/A"/>
    <e v="#N/A"/>
    <e v="#N/A"/>
    <e v="#N/A"/>
    <x v="0"/>
  </r>
  <r>
    <x v="19"/>
    <n v="2"/>
    <x v="6"/>
    <x v="0"/>
    <s v="Bearbeitung INI Files in .NET"/>
    <m/>
    <m/>
    <m/>
    <e v="#N/A"/>
    <e v="#N/A"/>
    <e v="#N/A"/>
    <e v="#N/A"/>
    <x v="0"/>
  </r>
  <r>
    <x v="19"/>
    <n v="2"/>
    <x v="7"/>
    <x v="0"/>
    <s v="Bearbeitung INI Files in .NET"/>
    <m/>
    <m/>
    <m/>
    <e v="#N/A"/>
    <e v="#N/A"/>
    <e v="#N/A"/>
    <e v="#N/A"/>
    <x v="0"/>
  </r>
  <r>
    <x v="20"/>
    <n v="3"/>
    <x v="0"/>
    <x v="0"/>
    <s v="GFK DimAdd Hinzufügen All Level"/>
    <m/>
    <s v="Avera"/>
    <m/>
    <e v="#N/A"/>
    <e v="#N/A"/>
    <e v="#N/A"/>
    <e v="#N/A"/>
    <x v="0"/>
  </r>
  <r>
    <x v="20"/>
    <n v="2"/>
    <x v="6"/>
    <x v="0"/>
    <s v="Erstellung Setup-Projekt .NET"/>
    <m/>
    <m/>
    <m/>
    <e v="#N/A"/>
    <e v="#N/A"/>
    <e v="#N/A"/>
    <e v="#N/A"/>
    <x v="0"/>
  </r>
  <r>
    <x v="20"/>
    <n v="2"/>
    <x v="7"/>
    <x v="0"/>
    <s v="Erstellung Setup-Projekt .NET"/>
    <m/>
    <m/>
    <m/>
    <e v="#N/A"/>
    <e v="#N/A"/>
    <e v="#N/A"/>
    <e v="#N/A"/>
    <x v="0"/>
  </r>
  <r>
    <x v="20"/>
    <n v="2"/>
    <x v="8"/>
    <x v="0"/>
    <s v="RiTransform"/>
    <m/>
    <s v="Borchard"/>
    <m/>
    <e v="#N/A"/>
    <e v="#N/A"/>
    <e v="#N/A"/>
    <e v="#N/A"/>
    <x v="0"/>
  </r>
  <r>
    <x v="21"/>
    <n v="9"/>
    <x v="8"/>
    <x v="0"/>
    <s v="RiTransform"/>
    <m/>
    <s v="Borchard"/>
    <m/>
    <e v="#N/A"/>
    <e v="#N/A"/>
    <e v="#N/A"/>
    <e v="#N/A"/>
    <x v="0"/>
  </r>
  <r>
    <x v="22"/>
    <n v="6"/>
    <x v="8"/>
    <x v="0"/>
    <s v="RiTransform"/>
    <m/>
    <s v="Borchard"/>
    <m/>
    <e v="#N/A"/>
    <e v="#N/A"/>
    <e v="#N/A"/>
    <e v="#N/A"/>
    <x v="0"/>
  </r>
  <r>
    <x v="22"/>
    <n v="2"/>
    <x v="0"/>
    <x v="0"/>
    <s v="Problem: H505 zeigt keine Daten an"/>
    <m/>
    <s v="Avera"/>
    <m/>
    <e v="#N/A"/>
    <e v="#N/A"/>
    <e v="#N/A"/>
    <e v="#N/A"/>
    <x v="0"/>
  </r>
  <r>
    <x v="23"/>
    <n v="3"/>
    <x v="0"/>
    <x v="0"/>
    <s v="Problem: H505 zeigt keine Daten an"/>
    <m/>
    <s v="Avera"/>
    <m/>
    <e v="#N/A"/>
    <e v="#N/A"/>
    <e v="#N/A"/>
    <e v="#N/A"/>
    <x v="0"/>
  </r>
  <r>
    <x v="23"/>
    <n v="5"/>
    <x v="9"/>
    <x v="0"/>
    <s v="CognosConvert Anpassung"/>
    <m/>
    <s v="Ying Wang"/>
    <m/>
    <e v="#N/A"/>
    <e v="#N/A"/>
    <e v="#N/A"/>
    <e v="#N/A"/>
    <x v="0"/>
  </r>
  <r>
    <x v="24"/>
    <n v="4"/>
    <x v="9"/>
    <x v="0"/>
    <s v="CognosConvert Anpassung"/>
    <m/>
    <s v="Ying Wang"/>
    <m/>
    <e v="#N/A"/>
    <e v="#N/A"/>
    <e v="#N/A"/>
    <e v="#N/A"/>
    <x v="0"/>
  </r>
  <r>
    <x v="24"/>
    <n v="1"/>
    <x v="8"/>
    <x v="0"/>
    <s v="RiTransform Bugfixing"/>
    <m/>
    <s v="Borchard"/>
    <m/>
    <e v="#N/A"/>
    <e v="#N/A"/>
    <e v="#N/A"/>
    <e v="#N/A"/>
    <x v="0"/>
  </r>
  <r>
    <x v="24"/>
    <n v="3"/>
    <x v="1"/>
    <x v="0"/>
    <s v="Food Coach Debugging"/>
    <m/>
    <s v="Forster"/>
    <m/>
    <e v="#N/A"/>
    <e v="#N/A"/>
    <e v="#N/A"/>
    <e v="#N/A"/>
    <x v="0"/>
  </r>
  <r>
    <x v="25"/>
    <n v="2"/>
    <x v="6"/>
    <x v="0"/>
    <s v="VBA6.DLL Problem"/>
    <m/>
    <m/>
    <m/>
    <e v="#N/A"/>
    <e v="#N/A"/>
    <e v="#N/A"/>
    <e v="#N/A"/>
    <x v="0"/>
  </r>
  <r>
    <x v="25"/>
    <n v="2"/>
    <x v="7"/>
    <x v="0"/>
    <s v="VBA6.DLL Problem"/>
    <m/>
    <m/>
    <m/>
    <e v="#N/A"/>
    <e v="#N/A"/>
    <e v="#N/A"/>
    <e v="#N/A"/>
    <x v="0"/>
  </r>
  <r>
    <x v="25"/>
    <n v="1"/>
    <x v="0"/>
    <x v="0"/>
    <s v="H505 neuer Test "/>
    <m/>
    <s v="Avera"/>
    <m/>
    <e v="#N/A"/>
    <e v="#N/A"/>
    <e v="#N/A"/>
    <e v="#N/A"/>
    <x v="0"/>
  </r>
  <r>
    <x v="25"/>
    <n v="4"/>
    <x v="1"/>
    <x v="0"/>
    <s v="BDF Food Coach "/>
    <m/>
    <s v="Forster"/>
    <m/>
    <e v="#N/A"/>
    <e v="#N/A"/>
    <e v="#N/A"/>
    <e v="#N/A"/>
    <x v="0"/>
  </r>
  <r>
    <x v="26"/>
    <n v="1"/>
    <x v="6"/>
    <x v="0"/>
    <s v=".NET Installation"/>
    <m/>
    <m/>
    <m/>
    <e v="#N/A"/>
    <e v="#N/A"/>
    <e v="#N/A"/>
    <e v="#N/A"/>
    <x v="0"/>
  </r>
  <r>
    <x v="26"/>
    <n v="1"/>
    <x v="7"/>
    <x v="0"/>
    <s v=".NET Installation"/>
    <m/>
    <m/>
    <m/>
    <e v="#N/A"/>
    <e v="#N/A"/>
    <e v="#N/A"/>
    <e v="#N/A"/>
    <x v="0"/>
  </r>
  <r>
    <x v="26"/>
    <n v="2"/>
    <x v="0"/>
    <x v="0"/>
    <s v="H505 neuer Test "/>
    <m/>
    <s v="Avera"/>
    <m/>
    <e v="#N/A"/>
    <e v="#N/A"/>
    <e v="#N/A"/>
    <e v="#N/A"/>
    <x v="0"/>
  </r>
  <r>
    <x v="26"/>
    <n v="5"/>
    <x v="1"/>
    <x v="0"/>
    <s v="Food Coach Anpassungen"/>
    <m/>
    <s v="Forster"/>
    <m/>
    <e v="#N/A"/>
    <e v="#N/A"/>
    <e v="#N/A"/>
    <e v="#N/A"/>
    <x v="0"/>
  </r>
  <r>
    <x v="27"/>
    <n v="6"/>
    <x v="1"/>
    <x v="0"/>
    <s v="Food Coach Anpassungen"/>
    <m/>
    <s v="Forster"/>
    <m/>
    <e v="#N/A"/>
    <e v="#N/A"/>
    <e v="#N/A"/>
    <e v="#N/A"/>
    <x v="0"/>
  </r>
  <r>
    <x v="28"/>
    <n v="8"/>
    <x v="1"/>
    <x v="0"/>
    <s v="Food Coach Anpassungen"/>
    <m/>
    <s v="Forster"/>
    <m/>
    <e v="#N/A"/>
    <e v="#N/A"/>
    <e v="#N/A"/>
    <e v="#N/A"/>
    <x v="0"/>
  </r>
  <r>
    <x v="29"/>
    <n v="8"/>
    <x v="1"/>
    <x v="0"/>
    <s v="Food Coach Anpassungen"/>
    <m/>
    <s v="Forster"/>
    <m/>
    <e v="#N/A"/>
    <e v="#N/A"/>
    <e v="#N/A"/>
    <e v="#N/A"/>
    <x v="0"/>
  </r>
  <r>
    <x v="30"/>
    <n v="8"/>
    <x v="1"/>
    <x v="0"/>
    <s v="Food Coach Anpassungen"/>
    <m/>
    <s v="Forster"/>
    <m/>
    <e v="#N/A"/>
    <e v="#N/A"/>
    <e v="#N/A"/>
    <e v="#N/A"/>
    <x v="0"/>
  </r>
  <r>
    <x v="31"/>
    <n v="5"/>
    <x v="1"/>
    <x v="0"/>
    <s v="Food Coach Anpassungen, Test"/>
    <m/>
    <s v="Forster"/>
    <m/>
    <e v="#N/A"/>
    <e v="#N/A"/>
    <e v="#N/A"/>
    <e v="#N/A"/>
    <x v="0"/>
  </r>
  <r>
    <x v="31"/>
    <n v="3"/>
    <x v="0"/>
    <x v="0"/>
    <s v="H505 Test nur mit N Elementen"/>
    <m/>
    <s v="Avera"/>
    <m/>
    <e v="#N/A"/>
    <e v="#N/A"/>
    <e v="#N/A"/>
    <e v="#N/A"/>
    <x v="0"/>
  </r>
  <r>
    <x v="32"/>
    <n v="6"/>
    <x v="0"/>
    <x v="0"/>
    <s v="H505"/>
    <m/>
    <s v="Avera"/>
    <m/>
    <e v="#N/A"/>
    <e v="#N/A"/>
    <e v="#N/A"/>
    <e v="#N/A"/>
    <x v="0"/>
  </r>
  <r>
    <x v="33"/>
    <n v="0.5"/>
    <x v="6"/>
    <x v="0"/>
    <s v="Umzug"/>
    <m/>
    <m/>
    <m/>
    <e v="#N/A"/>
    <e v="#N/A"/>
    <e v="#N/A"/>
    <e v="#N/A"/>
    <x v="0"/>
  </r>
  <r>
    <x v="33"/>
    <n v="0.5"/>
    <x v="7"/>
    <x v="0"/>
    <s v="Umzug"/>
    <m/>
    <m/>
    <m/>
    <e v="#N/A"/>
    <e v="#N/A"/>
    <e v="#N/A"/>
    <e v="#N/A"/>
    <x v="0"/>
  </r>
  <r>
    <x v="33"/>
    <n v="3"/>
    <x v="0"/>
    <x v="0"/>
    <s v="H505"/>
    <m/>
    <s v="Avera"/>
    <m/>
    <e v="#N/A"/>
    <e v="#N/A"/>
    <e v="#N/A"/>
    <e v="#N/A"/>
    <x v="0"/>
  </r>
  <r>
    <x v="33"/>
    <n v="4"/>
    <x v="1"/>
    <x v="0"/>
    <s v="Food Coach Anpassungen, Test"/>
    <m/>
    <s v="Forster"/>
    <m/>
    <e v="#N/A"/>
    <e v="#N/A"/>
    <e v="#N/A"/>
    <e v="#N/A"/>
    <x v="0"/>
  </r>
  <r>
    <x v="34"/>
    <n v="7"/>
    <x v="0"/>
    <x v="0"/>
    <s v="H505"/>
    <m/>
    <s v="Avera"/>
    <m/>
    <e v="#N/A"/>
    <e v="#N/A"/>
    <e v="#N/A"/>
    <e v="#N/A"/>
    <x v="0"/>
  </r>
  <r>
    <x v="35"/>
    <n v="9"/>
    <x v="10"/>
    <x v="0"/>
    <s v="PFCCompare"/>
    <m/>
    <s v="Horst"/>
    <m/>
    <e v="#N/A"/>
    <e v="#N/A"/>
    <e v="#N/A"/>
    <e v="#N/A"/>
    <x v="0"/>
  </r>
  <r>
    <x v="36"/>
    <n v="6"/>
    <x v="0"/>
    <x v="0"/>
    <s v="Anpassung GFKDimAdd"/>
    <m/>
    <s v="Avera"/>
    <m/>
    <e v="#N/A"/>
    <e v="#N/A"/>
    <e v="#N/A"/>
    <e v="#N/A"/>
    <x v="0"/>
  </r>
  <r>
    <x v="36"/>
    <n v="3"/>
    <x v="11"/>
    <x v="0"/>
    <s v="AppendPharmascopeClientFiles.xls"/>
    <m/>
    <s v="Hornbruch"/>
    <m/>
    <e v="#N/A"/>
    <e v="#N/A"/>
    <e v="#N/A"/>
    <e v="#N/A"/>
    <x v="0"/>
  </r>
  <r>
    <x v="37"/>
    <n v="4"/>
    <x v="12"/>
    <x v="0"/>
    <s v="SMEX Data Export"/>
    <m/>
    <s v="Tuchel"/>
    <m/>
    <e v="#N/A"/>
    <e v="#N/A"/>
    <e v="#N/A"/>
    <e v="#N/A"/>
    <x v="0"/>
  </r>
  <r>
    <x v="37"/>
    <n v="2"/>
    <x v="2"/>
    <x v="0"/>
    <s v="SA Export Umstellung auf Datenbank Version 1.4"/>
    <m/>
    <s v="Runkel"/>
    <m/>
    <e v="#N/A"/>
    <e v="#N/A"/>
    <e v="#N/A"/>
    <e v="#N/A"/>
    <x v="0"/>
  </r>
  <r>
    <x v="38"/>
    <n v="4"/>
    <x v="1"/>
    <x v="0"/>
    <s v="Falsche Differenzen in BDF Food Coach FoodDetail"/>
    <m/>
    <s v="Forster"/>
    <m/>
    <e v="#N/A"/>
    <e v="#N/A"/>
    <e v="#N/A"/>
    <e v="#N/A"/>
    <x v="0"/>
  </r>
  <r>
    <x v="38"/>
    <n v="3.5"/>
    <x v="2"/>
    <x v="0"/>
    <s v="SA Export Umstellung auf Datenbank Version 1.4"/>
    <m/>
    <s v="Runkel"/>
    <m/>
    <e v="#N/A"/>
    <e v="#N/A"/>
    <e v="#N/A"/>
    <e v="#N/A"/>
    <x v="0"/>
  </r>
  <r>
    <x v="39"/>
    <n v="0.5"/>
    <x v="3"/>
    <x v="0"/>
    <s v="Ascii.exe"/>
    <m/>
    <s v="Jarmer"/>
    <m/>
    <e v="#N/A"/>
    <e v="#N/A"/>
    <e v="#N/A"/>
    <e v="#N/A"/>
    <x v="0"/>
  </r>
  <r>
    <x v="39"/>
    <n v="7.5"/>
    <x v="2"/>
    <x v="0"/>
    <s v="SA Export Umstellung auf Datenbank Version 1.4"/>
    <m/>
    <s v="Runkel"/>
    <m/>
    <e v="#N/A"/>
    <e v="#N/A"/>
    <e v="#N/A"/>
    <e v="#N/A"/>
    <x v="0"/>
  </r>
  <r>
    <x v="40"/>
    <n v="5.5"/>
    <x v="2"/>
    <x v="0"/>
    <s v="SA Export Umstellung auf Datenbank Version 1.4"/>
    <m/>
    <s v="Runkel"/>
    <m/>
    <e v="#N/A"/>
    <e v="#N/A"/>
    <e v="#N/A"/>
    <e v="#N/A"/>
    <x v="0"/>
  </r>
  <r>
    <x v="40"/>
    <n v="1"/>
    <x v="6"/>
    <x v="0"/>
    <s v="Anpassung von Bibliotheken im Zuge SA Export Umstellung"/>
    <m/>
    <m/>
    <m/>
    <e v="#N/A"/>
    <e v="#N/A"/>
    <e v="#N/A"/>
    <e v="#N/A"/>
    <x v="0"/>
  </r>
  <r>
    <x v="40"/>
    <n v="1"/>
    <x v="7"/>
    <x v="0"/>
    <s v="Anpassung von Bibliotheken im Zuge SA Export Umstellung"/>
    <m/>
    <m/>
    <m/>
    <e v="#N/A"/>
    <e v="#N/A"/>
    <e v="#N/A"/>
    <e v="#N/A"/>
    <x v="0"/>
  </r>
  <r>
    <x v="41"/>
    <n v="3"/>
    <x v="1"/>
    <x v="0"/>
    <s v="CSV Export Anpassung Nachkommastellen"/>
    <m/>
    <s v="Forster"/>
    <m/>
    <e v="#N/A"/>
    <e v="#N/A"/>
    <e v="#N/A"/>
    <e v="#N/A"/>
    <x v="0"/>
  </r>
  <r>
    <x v="41"/>
    <n v="2"/>
    <x v="2"/>
    <x v="0"/>
    <s v="Besprechung SA Export"/>
    <m/>
    <s v="Runkel"/>
    <m/>
    <e v="#N/A"/>
    <e v="#N/A"/>
    <e v="#N/A"/>
    <e v="#N/A"/>
    <x v="0"/>
  </r>
  <r>
    <x v="41"/>
    <n v="3"/>
    <x v="1"/>
    <x v="0"/>
    <s v="Food Coach"/>
    <m/>
    <s v="Forster"/>
    <m/>
    <e v="#N/A"/>
    <e v="#N/A"/>
    <e v="#N/A"/>
    <e v="#N/A"/>
    <x v="0"/>
  </r>
  <r>
    <x v="42"/>
    <n v="5"/>
    <x v="1"/>
    <x v="0"/>
    <s v="CSV Export Anpassung Nachkommastellen"/>
    <m/>
    <s v="Forster"/>
    <m/>
    <e v="#N/A"/>
    <e v="#N/A"/>
    <e v="#N/A"/>
    <e v="#N/A"/>
    <x v="0"/>
  </r>
  <r>
    <x v="42"/>
    <n v="2"/>
    <x v="7"/>
    <x v="0"/>
    <s v="Besprechung SA Analyzer Mapping"/>
    <m/>
    <s v="Runkel"/>
    <m/>
    <e v="#N/A"/>
    <e v="#N/A"/>
    <e v="#N/A"/>
    <e v="#N/A"/>
    <x v="0"/>
  </r>
  <r>
    <x v="42"/>
    <n v="2.5"/>
    <x v="13"/>
    <x v="0"/>
    <s v="Evaluierung YUKON Beta"/>
    <m/>
    <m/>
    <m/>
    <e v="#N/A"/>
    <e v="#N/A"/>
    <e v="#N/A"/>
    <e v="#N/A"/>
    <x v="0"/>
  </r>
  <r>
    <x v="42"/>
    <n v="1.5"/>
    <x v="13"/>
    <x v="0"/>
    <s v="Evaluierung YUKON Beta"/>
    <m/>
    <m/>
    <m/>
    <e v="#N/A"/>
    <e v="#N/A"/>
    <e v="#N/A"/>
    <e v="#N/A"/>
    <x v="0"/>
  </r>
  <r>
    <x v="43"/>
    <n v="5"/>
    <x v="13"/>
    <x v="0"/>
    <s v="Evaluierung YUKON Beta Aufsetzen Testreports"/>
    <m/>
    <m/>
    <m/>
    <e v="#N/A"/>
    <e v="#N/A"/>
    <e v="#N/A"/>
    <e v="#N/A"/>
    <x v="0"/>
  </r>
  <r>
    <x v="43"/>
    <n v="4"/>
    <x v="13"/>
    <x v="0"/>
    <s v="Evaluierung YUKON Beta Aufsetzen Testreports"/>
    <m/>
    <m/>
    <m/>
    <e v="#N/A"/>
    <e v="#N/A"/>
    <e v="#N/A"/>
    <e v="#N/A"/>
    <x v="0"/>
  </r>
  <r>
    <x v="44"/>
    <n v="5"/>
    <x v="13"/>
    <x v="0"/>
    <s v="Evaluierung YUKON Beta Aufsetzen Testreports"/>
    <m/>
    <m/>
    <m/>
    <e v="#N/A"/>
    <e v="#N/A"/>
    <e v="#N/A"/>
    <e v="#N/A"/>
    <x v="0"/>
  </r>
  <r>
    <x v="44"/>
    <n v="4"/>
    <x v="13"/>
    <x v="0"/>
    <s v="Evaluierung YUKON Beta Aufsetzen Testreports"/>
    <m/>
    <m/>
    <m/>
    <e v="#N/A"/>
    <e v="#N/A"/>
    <e v="#N/A"/>
    <e v="#N/A"/>
    <x v="0"/>
  </r>
  <r>
    <x v="45"/>
    <n v="5"/>
    <x v="13"/>
    <x v="0"/>
    <s v="Evaluierung YUKON Beta Aufsetzen Testreports"/>
    <m/>
    <m/>
    <m/>
    <e v="#N/A"/>
    <e v="#N/A"/>
    <e v="#N/A"/>
    <e v="#N/A"/>
    <x v="0"/>
  </r>
  <r>
    <x v="45"/>
    <n v="5"/>
    <x v="13"/>
    <x v="0"/>
    <s v="Evaluierung YUKON Beta Aufsetzen Testreports"/>
    <m/>
    <m/>
    <m/>
    <e v="#N/A"/>
    <e v="#N/A"/>
    <e v="#N/A"/>
    <e v="#N/A"/>
    <x v="0"/>
  </r>
  <r>
    <x v="46"/>
    <n v="9"/>
    <x v="13"/>
    <x v="0"/>
    <s v="Evaluierung YUKON Beta Aufsetzen Testreports"/>
    <m/>
    <m/>
    <m/>
    <e v="#N/A"/>
    <e v="#N/A"/>
    <e v="#N/A"/>
    <e v="#N/A"/>
    <x v="0"/>
  </r>
  <r>
    <x v="47"/>
    <n v="6.5"/>
    <x v="13"/>
    <x v="0"/>
    <s v="Evaluierung YUKON Beta Aufsetzen Testreports"/>
    <m/>
    <m/>
    <m/>
    <e v="#N/A"/>
    <e v="#N/A"/>
    <e v="#N/A"/>
    <e v="#N/A"/>
    <x v="0"/>
  </r>
  <r>
    <x v="47"/>
    <n v="0.5"/>
    <x v="2"/>
    <x v="0"/>
    <s v="Besprechung Erweiterung SA Export Variante H"/>
    <m/>
    <s v="Holzmeier"/>
    <m/>
    <e v="#N/A"/>
    <e v="#N/A"/>
    <e v="#N/A"/>
    <e v="#N/A"/>
    <x v="0"/>
  </r>
  <r>
    <x v="48"/>
    <n v="4.5"/>
    <x v="2"/>
    <x v="0"/>
    <s v="Erweiterung SA Export Variante H"/>
    <m/>
    <s v="Holzmeier"/>
    <m/>
    <e v="#N/A"/>
    <e v="#N/A"/>
    <e v="#N/A"/>
    <e v="#N/A"/>
    <x v="0"/>
  </r>
  <r>
    <x v="49"/>
    <n v="7.5"/>
    <x v="2"/>
    <x v="0"/>
    <s v="Erweiterung SA Export Variante H"/>
    <m/>
    <s v="Holzmeier"/>
    <m/>
    <e v="#N/A"/>
    <e v="#N/A"/>
    <e v="#N/A"/>
    <e v="#N/A"/>
    <x v="0"/>
  </r>
  <r>
    <x v="49"/>
    <n v="1"/>
    <x v="14"/>
    <x v="0"/>
    <s v="Produkt-MDX erstellt Datenbank [HOFFMANN LA D 35680 XMM STD HFR1ALL_6502__20030924]"/>
    <m/>
    <s v="Runkel"/>
    <m/>
    <e v="#N/A"/>
    <e v="#N/A"/>
    <e v="#N/A"/>
    <e v="#N/A"/>
    <x v="0"/>
  </r>
  <r>
    <x v="50"/>
    <n v="6"/>
    <x v="2"/>
    <x v="0"/>
    <s v="Erweiterung SA Export Variante H Test"/>
    <m/>
    <s v="Holzmeier"/>
    <m/>
    <e v="#N/A"/>
    <e v="#N/A"/>
    <e v="#N/A"/>
    <e v="#N/A"/>
    <x v="0"/>
  </r>
  <r>
    <x v="51"/>
    <n v="8"/>
    <x v="1"/>
    <x v="0"/>
    <s v="Bug: Fehlerhafter Selektionsdialog für Kumulationen"/>
    <m/>
    <s v="Forster"/>
    <m/>
    <e v="#N/A"/>
    <e v="#N/A"/>
    <e v="#N/A"/>
    <e v="#N/A"/>
    <x v="0"/>
  </r>
  <r>
    <x v="51"/>
    <n v="2"/>
    <x v="2"/>
    <x v="0"/>
    <s v="Erweiterung SA Export Variante H Test"/>
    <m/>
    <s v="Holzmeier"/>
    <m/>
    <e v="#N/A"/>
    <e v="#N/A"/>
    <e v="#N/A"/>
    <e v="#N/A"/>
    <x v="0"/>
  </r>
  <r>
    <x v="52"/>
    <n v="2"/>
    <x v="2"/>
    <x v="0"/>
    <s v="Erweiterung SA Export Variante H Test"/>
    <m/>
    <s v="Holzmeier"/>
    <m/>
    <e v="#N/A"/>
    <e v="#N/A"/>
    <e v="#N/A"/>
    <e v="#N/A"/>
    <x v="0"/>
  </r>
  <r>
    <x v="52"/>
    <n v="5"/>
    <x v="13"/>
    <x v="0"/>
    <s v="Evaluierung YUKON Beta"/>
    <m/>
    <m/>
    <m/>
    <e v="#N/A"/>
    <e v="#N/A"/>
    <e v="#N/A"/>
    <e v="#N/A"/>
    <x v="0"/>
  </r>
  <r>
    <x v="53"/>
    <n v="1"/>
    <x v="6"/>
    <x v="0"/>
    <s v="Angebotserstellung POS Aktiv"/>
    <m/>
    <s v="Avera"/>
    <m/>
    <e v="#N/A"/>
    <e v="#N/A"/>
    <e v="#N/A"/>
    <e v="#N/A"/>
    <x v="0"/>
  </r>
  <r>
    <x v="53"/>
    <n v="7"/>
    <x v="13"/>
    <x v="0"/>
    <s v="Evaluierung YUKON Beta"/>
    <m/>
    <m/>
    <m/>
    <e v="#N/A"/>
    <e v="#N/A"/>
    <e v="#N/A"/>
    <e v="#N/A"/>
    <x v="0"/>
  </r>
  <r>
    <x v="54"/>
    <n v="1"/>
    <x v="6"/>
    <x v="0"/>
    <s v="Angebotserstellung POS Aktiv"/>
    <m/>
    <s v="Avera"/>
    <m/>
    <e v="#N/A"/>
    <e v="#N/A"/>
    <e v="#N/A"/>
    <e v="#N/A"/>
    <x v="0"/>
  </r>
  <r>
    <x v="54"/>
    <n v="6"/>
    <x v="13"/>
    <x v="0"/>
    <s v="Evaluierung YUKON Beta"/>
    <m/>
    <m/>
    <m/>
    <e v="#N/A"/>
    <e v="#N/A"/>
    <e v="#N/A"/>
    <e v="#N/A"/>
    <x v="0"/>
  </r>
  <r>
    <x v="55"/>
    <n v="2"/>
    <x v="14"/>
    <x v="0"/>
    <s v="MDX-Erstellung MAT"/>
    <m/>
    <s v="Runkel"/>
    <m/>
    <e v="#N/A"/>
    <e v="#N/A"/>
    <e v="#N/A"/>
    <e v="#N/A"/>
    <x v="0"/>
  </r>
  <r>
    <x v="55"/>
    <n v="0.5"/>
    <x v="6"/>
    <x v="0"/>
    <s v="POS-Aktiv"/>
    <m/>
    <s v="Avera"/>
    <m/>
    <e v="#N/A"/>
    <e v="#N/A"/>
    <e v="#N/A"/>
    <e v="#N/A"/>
    <x v="0"/>
  </r>
  <r>
    <x v="55"/>
    <n v="2"/>
    <x v="2"/>
    <x v="0"/>
    <s v="Setuperstellung und Test SA Export und Lizenz.exe"/>
    <m/>
    <s v="Runkel"/>
    <m/>
    <e v="#N/A"/>
    <e v="#N/A"/>
    <e v="#N/A"/>
    <e v="#N/A"/>
    <x v="0"/>
  </r>
  <r>
    <x v="55"/>
    <n v="2.5"/>
    <x v="13"/>
    <x v="0"/>
    <s v="Evaluierung YUKON Beta"/>
    <m/>
    <m/>
    <m/>
    <e v="#N/A"/>
    <e v="#N/A"/>
    <e v="#N/A"/>
    <e v="#N/A"/>
    <x v="0"/>
  </r>
  <r>
    <x v="56"/>
    <n v="3"/>
    <x v="9"/>
    <x v="0"/>
    <s v="CognosConvert Anpassung"/>
    <m/>
    <s v="Wang"/>
    <m/>
    <e v="#N/A"/>
    <e v="#N/A"/>
    <e v="#N/A"/>
    <e v="#N/A"/>
    <x v="0"/>
  </r>
  <r>
    <x v="56"/>
    <n v="4"/>
    <x v="13"/>
    <x v="0"/>
    <s v="Evaluierung YUKON Beta"/>
    <m/>
    <m/>
    <m/>
    <e v="#N/A"/>
    <e v="#N/A"/>
    <e v="#N/A"/>
    <e v="#N/A"/>
    <x v="0"/>
  </r>
  <r>
    <x v="57"/>
    <n v="1"/>
    <x v="6"/>
    <x v="0"/>
    <s v="Besprechung Roche CSV-Export"/>
    <m/>
    <s v="Tuchel"/>
    <m/>
    <e v="#N/A"/>
    <e v="#N/A"/>
    <e v="#N/A"/>
    <e v="#N/A"/>
    <x v="0"/>
  </r>
  <r>
    <x v="57"/>
    <n v="1.5"/>
    <x v="15"/>
    <x v="0"/>
    <s v="Preaggregation Besprechung"/>
    <m/>
    <s v="Runkel"/>
    <m/>
    <e v="#N/A"/>
    <e v="#N/A"/>
    <e v="#N/A"/>
    <e v="#N/A"/>
    <x v="0"/>
  </r>
  <r>
    <x v="57"/>
    <n v="4.5"/>
    <x v="13"/>
    <x v="0"/>
    <s v="Evaluierung YUKON Beta"/>
    <m/>
    <m/>
    <m/>
    <e v="#N/A"/>
    <e v="#N/A"/>
    <e v="#N/A"/>
    <e v="#N/A"/>
    <x v="0"/>
  </r>
  <r>
    <x v="58"/>
    <n v="7"/>
    <x v="13"/>
    <x v="0"/>
    <s v="Evaluierung YUKON Beta2"/>
    <m/>
    <m/>
    <m/>
    <e v="#N/A"/>
    <e v="#N/A"/>
    <e v="#N/A"/>
    <e v="#N/A"/>
    <x v="0"/>
  </r>
  <r>
    <x v="59"/>
    <n v="6"/>
    <x v="13"/>
    <x v="0"/>
    <s v="Evaluierung YUKON Beta2"/>
    <m/>
    <m/>
    <m/>
    <e v="#N/A"/>
    <e v="#N/A"/>
    <e v="#N/A"/>
    <e v="#N/A"/>
    <x v="0"/>
  </r>
  <r>
    <x v="60"/>
    <n v="7"/>
    <x v="6"/>
    <x v="0"/>
    <s v="Troubleshootin und Erstellung OTC und Microcoach Setup MSI"/>
    <m/>
    <s v="Tuchel"/>
    <m/>
    <e v="#N/A"/>
    <e v="#N/A"/>
    <e v="#N/A"/>
    <e v="#N/A"/>
    <x v="0"/>
  </r>
  <r>
    <x v="61"/>
    <n v="7"/>
    <x v="16"/>
    <x v="0"/>
    <s v="OTC Powerpoint"/>
    <m/>
    <s v="Stephan"/>
    <m/>
    <e v="#N/A"/>
    <e v="#N/A"/>
    <e v="#N/A"/>
    <e v="#N/A"/>
    <x v="0"/>
  </r>
  <r>
    <x v="62"/>
    <n v="5.5"/>
    <x v="16"/>
    <x v="0"/>
    <s v="OTC Powerpoint"/>
    <m/>
    <s v="Stephan"/>
    <m/>
    <e v="#N/A"/>
    <e v="#N/A"/>
    <e v="#N/A"/>
    <e v="#N/A"/>
    <x v="0"/>
  </r>
  <r>
    <x v="63"/>
    <n v="5"/>
    <x v="16"/>
    <x v="0"/>
    <s v="OTC Powerpoint"/>
    <m/>
    <s v="Stephan"/>
    <m/>
    <e v="#N/A"/>
    <e v="#N/A"/>
    <e v="#N/A"/>
    <e v="#N/A"/>
    <x v="0"/>
  </r>
  <r>
    <x v="64"/>
    <n v="8.5"/>
    <x v="16"/>
    <x v="0"/>
    <s v="OTC Powerpoint"/>
    <m/>
    <s v="Stephan"/>
    <m/>
    <e v="#N/A"/>
    <e v="#N/A"/>
    <e v="#N/A"/>
    <e v="#N/A"/>
    <x v="0"/>
  </r>
  <r>
    <x v="65"/>
    <n v="7"/>
    <x v="16"/>
    <x v="0"/>
    <s v="OTC Powerpoint"/>
    <m/>
    <s v="Stephan"/>
    <m/>
    <e v="#N/A"/>
    <e v="#N/A"/>
    <e v="#N/A"/>
    <e v="#N/A"/>
    <x v="0"/>
  </r>
  <r>
    <x v="65"/>
    <n v="2"/>
    <x v="6"/>
    <x v="0"/>
    <s v="Administration NSMS-DE24"/>
    <m/>
    <s v="Tuchel"/>
    <m/>
    <e v="#N/A"/>
    <e v="#N/A"/>
    <e v="#N/A"/>
    <e v="#N/A"/>
    <x v="0"/>
  </r>
  <r>
    <x v="66"/>
    <n v="7.5"/>
    <x v="16"/>
    <x v="0"/>
    <s v="OTC Powerpoint"/>
    <m/>
    <s v="Stephan"/>
    <m/>
    <e v="#N/A"/>
    <e v="#N/A"/>
    <e v="#N/A"/>
    <e v="#N/A"/>
    <x v="0"/>
  </r>
  <r>
    <x v="67"/>
    <n v="6.5"/>
    <x v="16"/>
    <x v="0"/>
    <s v="OTC Powerpoint"/>
    <m/>
    <s v="Stephan"/>
    <m/>
    <e v="#N/A"/>
    <e v="#N/A"/>
    <e v="#N/A"/>
    <e v="#N/A"/>
    <x v="0"/>
  </r>
  <r>
    <x v="68"/>
    <n v="7.5"/>
    <x v="16"/>
    <x v="0"/>
    <s v="OTC Powerpoint"/>
    <m/>
    <s v="Stephan"/>
    <m/>
    <e v="#N/A"/>
    <e v="#N/A"/>
    <e v="#N/A"/>
    <e v="#N/A"/>
    <x v="0"/>
  </r>
  <r>
    <x v="69"/>
    <n v="2"/>
    <x v="6"/>
    <x v="0"/>
    <s v="Sicherheitsschulung"/>
    <m/>
    <m/>
    <m/>
    <e v="#N/A"/>
    <e v="#N/A"/>
    <e v="#N/A"/>
    <e v="#N/A"/>
    <x v="0"/>
  </r>
  <r>
    <x v="69"/>
    <n v="2"/>
    <x v="7"/>
    <x v="0"/>
    <s v="Sicherheitsschulung"/>
    <m/>
    <m/>
    <m/>
    <e v="#N/A"/>
    <e v="#N/A"/>
    <e v="#N/A"/>
    <e v="#N/A"/>
    <x v="0"/>
  </r>
  <r>
    <x v="69"/>
    <n v="3.5"/>
    <x v="2"/>
    <x v="0"/>
    <s v="SA Export Spezifaktionserweiterung"/>
    <m/>
    <s v="Holzmeier"/>
    <m/>
    <e v="#N/A"/>
    <e v="#N/A"/>
    <e v="#N/A"/>
    <e v="#N/A"/>
    <x v="0"/>
  </r>
  <r>
    <x v="70"/>
    <n v="5.5"/>
    <x v="2"/>
    <x v="0"/>
    <s v="SA Export Spezifaktionserweiterung"/>
    <m/>
    <s v="Holzmeier"/>
    <m/>
    <e v="#N/A"/>
    <e v="#N/A"/>
    <e v="#N/A"/>
    <e v="#N/A"/>
    <x v="0"/>
  </r>
  <r>
    <x v="71"/>
    <n v="4.5"/>
    <x v="16"/>
    <x v="0"/>
    <s v="OTC Powerpoint"/>
    <m/>
    <s v="Stephan"/>
    <m/>
    <e v="#N/A"/>
    <e v="#N/A"/>
    <e v="#N/A"/>
    <e v="#N/A"/>
    <x v="0"/>
  </r>
  <r>
    <x v="71"/>
    <n v="2"/>
    <x v="17"/>
    <x v="0"/>
    <s v="Besprechung PowerCharts"/>
    <m/>
    <s v="Avera"/>
    <m/>
    <e v="#N/A"/>
    <e v="#N/A"/>
    <e v="#N/A"/>
    <e v="#N/A"/>
    <x v="0"/>
  </r>
  <r>
    <x v="72"/>
    <n v="8.5"/>
    <x v="17"/>
    <x v="0"/>
    <s v="Powercharts"/>
    <m/>
    <s v="Avera"/>
    <m/>
    <e v="#N/A"/>
    <e v="#N/A"/>
    <e v="#N/A"/>
    <e v="#N/A"/>
    <x v="0"/>
  </r>
  <r>
    <x v="73"/>
    <n v="8.5"/>
    <x v="17"/>
    <x v="0"/>
    <s v="Powercharts"/>
    <m/>
    <s v="Avera"/>
    <m/>
    <e v="#N/A"/>
    <e v="#N/A"/>
    <e v="#N/A"/>
    <e v="#N/A"/>
    <x v="0"/>
  </r>
  <r>
    <x v="74"/>
    <n v="3"/>
    <x v="16"/>
    <x v="0"/>
    <s v="OTC Powerpoint"/>
    <m/>
    <s v="Stephan"/>
    <m/>
    <e v="#N/A"/>
    <e v="#N/A"/>
    <e v="#N/A"/>
    <e v="#N/A"/>
    <x v="0"/>
  </r>
  <r>
    <x v="74"/>
    <n v="3.5"/>
    <x v="17"/>
    <x v="0"/>
    <s v="Powercharts"/>
    <m/>
    <s v="Avera"/>
    <m/>
    <e v="#N/A"/>
    <e v="#N/A"/>
    <e v="#N/A"/>
    <e v="#N/A"/>
    <x v="0"/>
  </r>
  <r>
    <x v="74"/>
    <n v="2"/>
    <x v="2"/>
    <x v="0"/>
    <s v="SAExport Anpassungen"/>
    <m/>
    <s v="Holzmeier"/>
    <m/>
    <e v="#N/A"/>
    <e v="#N/A"/>
    <e v="#N/A"/>
    <e v="#N/A"/>
    <x v="0"/>
  </r>
  <r>
    <x v="75"/>
    <n v="2"/>
    <x v="16"/>
    <x v="0"/>
    <s v="OTC Powerpoint Anpassungen"/>
    <m/>
    <s v="Stephan"/>
    <m/>
    <e v="#N/A"/>
    <e v="#N/A"/>
    <e v="#N/A"/>
    <e v="#N/A"/>
    <x v="0"/>
  </r>
  <r>
    <x v="75"/>
    <n v="3"/>
    <x v="2"/>
    <x v="0"/>
    <s v="SAExport Anpassungen"/>
    <m/>
    <s v="Holzmeier"/>
    <m/>
    <e v="#N/A"/>
    <e v="#N/A"/>
    <e v="#N/A"/>
    <e v="#N/A"/>
    <x v="0"/>
  </r>
  <r>
    <x v="75"/>
    <n v="3.5"/>
    <x v="17"/>
    <x v="0"/>
    <s v="Powercharts"/>
    <m/>
    <s v="Avera"/>
    <m/>
    <e v="#N/A"/>
    <e v="#N/A"/>
    <e v="#N/A"/>
    <e v="#N/A"/>
    <x v="0"/>
  </r>
  <r>
    <x v="76"/>
    <n v="8.5"/>
    <x v="17"/>
    <x v="0"/>
    <s v="Powercharts"/>
    <m/>
    <s v="Avera"/>
    <m/>
    <e v="#N/A"/>
    <e v="#N/A"/>
    <e v="#N/A"/>
    <e v="#N/A"/>
    <x v="0"/>
  </r>
  <r>
    <x v="77"/>
    <n v="3"/>
    <x v="2"/>
    <x v="0"/>
    <s v="SAExport Anpassungen"/>
    <m/>
    <s v="Holzmeier"/>
    <m/>
    <e v="#N/A"/>
    <e v="#N/A"/>
    <e v="#N/A"/>
    <e v="#N/A"/>
    <x v="0"/>
  </r>
  <r>
    <x v="77"/>
    <n v="5.5"/>
    <x v="16"/>
    <x v="0"/>
    <s v="OTC Powerpoint Anpassungen"/>
    <m/>
    <s v="Stephan"/>
    <m/>
    <e v="#N/A"/>
    <e v="#N/A"/>
    <e v="#N/A"/>
    <e v="#N/A"/>
    <x v="0"/>
  </r>
  <r>
    <x v="78"/>
    <n v="6.5"/>
    <x v="2"/>
    <x v="0"/>
    <s v="SAExport Anpassungen"/>
    <m/>
    <s v="Holzmeier"/>
    <m/>
    <e v="#N/A"/>
    <e v="#N/A"/>
    <e v="#N/A"/>
    <e v="#N/A"/>
    <x v="0"/>
  </r>
  <r>
    <x v="79"/>
    <n v="6.5"/>
    <x v="17"/>
    <x v="0"/>
    <s v="Powercharts"/>
    <m/>
    <s v="Avera"/>
    <m/>
    <e v="#N/A"/>
    <e v="#N/A"/>
    <e v="#N/A"/>
    <e v="#N/A"/>
    <x v="0"/>
  </r>
  <r>
    <x v="80"/>
    <n v="7.5"/>
    <x v="17"/>
    <x v="0"/>
    <s v="Powercharts"/>
    <m/>
    <s v="Avera"/>
    <m/>
    <e v="#N/A"/>
    <e v="#N/A"/>
    <e v="#N/A"/>
    <e v="#N/A"/>
    <x v="0"/>
  </r>
  <r>
    <x v="81"/>
    <n v="7.5"/>
    <x v="17"/>
    <x v="0"/>
    <s v="Powercharts"/>
    <m/>
    <s v="Avera"/>
    <m/>
    <e v="#N/A"/>
    <e v="#N/A"/>
    <e v="#N/A"/>
    <e v="#N/A"/>
    <x v="0"/>
  </r>
  <r>
    <x v="82"/>
    <n v="5"/>
    <x v="17"/>
    <x v="0"/>
    <s v="Powercharts"/>
    <m/>
    <s v="Avera"/>
    <m/>
    <e v="#N/A"/>
    <e v="#N/A"/>
    <e v="#N/A"/>
    <e v="#N/A"/>
    <x v="0"/>
  </r>
  <r>
    <x v="82"/>
    <n v="3.5"/>
    <x v="2"/>
    <x v="0"/>
    <s v="SAExport Anpassungen"/>
    <m/>
    <s v="Holzmeier"/>
    <m/>
    <e v="#N/A"/>
    <e v="#N/A"/>
    <e v="#N/A"/>
    <e v="#N/A"/>
    <x v="0"/>
  </r>
  <r>
    <x v="83"/>
    <n v="6.5"/>
    <x v="17"/>
    <x v="0"/>
    <s v="Powercharts"/>
    <m/>
    <s v="Avera"/>
    <m/>
    <e v="#N/A"/>
    <e v="#N/A"/>
    <e v="#N/A"/>
    <e v="#N/A"/>
    <x v="0"/>
  </r>
  <r>
    <x v="84"/>
    <n v="5"/>
    <x v="2"/>
    <x v="0"/>
    <s v="SAExport Anpassungen"/>
    <m/>
    <s v="Holzmeier"/>
    <m/>
    <e v="#N/A"/>
    <e v="#N/A"/>
    <e v="#N/A"/>
    <e v="#N/A"/>
    <x v="0"/>
  </r>
  <r>
    <x v="84"/>
    <n v="2.5"/>
    <x v="2"/>
    <x v="0"/>
    <s v="SAExport Variante J"/>
    <m/>
    <s v="Runkel"/>
    <m/>
    <e v="#N/A"/>
    <e v="#N/A"/>
    <e v="#N/A"/>
    <e v="#N/A"/>
    <x v="0"/>
  </r>
  <r>
    <x v="85"/>
    <n v="3.5"/>
    <x v="2"/>
    <x v="0"/>
    <s v="SAExport Variante J"/>
    <m/>
    <s v="Runkel"/>
    <m/>
    <e v="#N/A"/>
    <e v="#N/A"/>
    <e v="#N/A"/>
    <e v="#N/A"/>
    <x v="0"/>
  </r>
  <r>
    <x v="85"/>
    <n v="3.5"/>
    <x v="2"/>
    <x v="0"/>
    <s v="SAExport Anpassungen Variante H"/>
    <m/>
    <s v="Holzmeier"/>
    <m/>
    <e v="#N/A"/>
    <e v="#N/A"/>
    <e v="#N/A"/>
    <e v="#N/A"/>
    <x v="0"/>
  </r>
  <r>
    <x v="85"/>
    <n v="1"/>
    <x v="7"/>
    <x v="0"/>
    <s v="Besprechung"/>
    <m/>
    <s v="Borchard"/>
    <m/>
    <e v="#N/A"/>
    <e v="#N/A"/>
    <e v="#N/A"/>
    <e v="#N/A"/>
    <x v="0"/>
  </r>
  <r>
    <x v="86"/>
    <n v="4"/>
    <x v="2"/>
    <x v="0"/>
    <s v="SAExport Anpassungen Variante H"/>
    <m/>
    <s v="Holzmeier"/>
    <m/>
    <e v="#N/A"/>
    <e v="#N/A"/>
    <e v="#N/A"/>
    <e v="#N/A"/>
    <x v="0"/>
  </r>
  <r>
    <x v="86"/>
    <n v="5.5"/>
    <x v="2"/>
    <x v="0"/>
    <s v="SAExport Variante J"/>
    <m/>
    <s v="Runkel"/>
    <m/>
    <e v="#N/A"/>
    <e v="#N/A"/>
    <e v="#N/A"/>
    <e v="#N/A"/>
    <x v="0"/>
  </r>
  <r>
    <x v="87"/>
    <n v="6.5"/>
    <x v="2"/>
    <x v="0"/>
    <s v="SA Export Variante J"/>
    <m/>
    <s v="Runkel"/>
    <m/>
    <e v="#N/A"/>
    <e v="#N/A"/>
    <e v="#N/A"/>
    <e v="#N/A"/>
    <x v="0"/>
  </r>
  <r>
    <x v="88"/>
    <n v="1.5"/>
    <x v="17"/>
    <x v="0"/>
    <s v="Powerchart Vorabdoku"/>
    <m/>
    <s v="Avera"/>
    <m/>
    <e v="#N/A"/>
    <e v="#N/A"/>
    <e v="#N/A"/>
    <e v="#N/A"/>
    <x v="0"/>
  </r>
  <r>
    <x v="88"/>
    <n v="5"/>
    <x v="2"/>
    <x v="0"/>
    <s v="SA Export Variante J Test und Debugging"/>
    <m/>
    <s v="Runkel"/>
    <m/>
    <e v="#N/A"/>
    <e v="#N/A"/>
    <e v="#N/A"/>
    <e v="#N/A"/>
    <x v="0"/>
  </r>
  <r>
    <x v="88"/>
    <n v="2"/>
    <x v="17"/>
    <x v="0"/>
    <s v="Powercharts"/>
    <m/>
    <s v="Avera"/>
    <m/>
    <e v="#N/A"/>
    <e v="#N/A"/>
    <e v="#N/A"/>
    <e v="#N/A"/>
    <x v="0"/>
  </r>
  <r>
    <x v="89"/>
    <n v="8.5"/>
    <x v="17"/>
    <x v="0"/>
    <s v="Powercharts"/>
    <m/>
    <s v="Avera"/>
    <m/>
    <e v="#N/A"/>
    <e v="#N/A"/>
    <e v="#N/A"/>
    <e v="#N/A"/>
    <x v="0"/>
  </r>
  <r>
    <x v="90"/>
    <n v="7.5"/>
    <x v="17"/>
    <x v="0"/>
    <s v="Powercharts"/>
    <m/>
    <s v="Avera"/>
    <m/>
    <e v="#N/A"/>
    <e v="#N/A"/>
    <e v="#N/A"/>
    <e v="#N/A"/>
    <x v="0"/>
  </r>
  <r>
    <x v="91"/>
    <n v="6.5"/>
    <x v="17"/>
    <x v="0"/>
    <s v="Powercharts"/>
    <m/>
    <s v="Avera"/>
    <m/>
    <e v="#N/A"/>
    <e v="#N/A"/>
    <e v="#N/A"/>
    <e v="#N/A"/>
    <x v="0"/>
  </r>
  <r>
    <x v="92"/>
    <n v="6.5"/>
    <x v="17"/>
    <x v="0"/>
    <s v="Powercharts"/>
    <m/>
    <s v="Avera"/>
    <m/>
    <e v="#N/A"/>
    <e v="#N/A"/>
    <e v="#N/A"/>
    <e v="#N/A"/>
    <x v="0"/>
  </r>
  <r>
    <x v="93"/>
    <n v="1"/>
    <x v="2"/>
    <x v="0"/>
    <s v="SA Export Besprechung"/>
    <m/>
    <s v="Runkel"/>
    <m/>
    <e v="#N/A"/>
    <e v="#N/A"/>
    <e v="#N/A"/>
    <e v="#N/A"/>
    <x v="0"/>
  </r>
  <r>
    <x v="93"/>
    <n v="6.5"/>
    <x v="17"/>
    <x v="0"/>
    <s v="Powercharts"/>
    <m/>
    <s v="Avera"/>
    <m/>
    <e v="#N/A"/>
    <e v="#N/A"/>
    <e v="#N/A"/>
    <e v="#N/A"/>
    <x v="0"/>
  </r>
  <r>
    <x v="94"/>
    <n v="2.5"/>
    <x v="17"/>
    <x v="0"/>
    <s v="Powercharts"/>
    <m/>
    <s v="Avera"/>
    <m/>
    <e v="#N/A"/>
    <e v="#N/A"/>
    <e v="#N/A"/>
    <e v="#N/A"/>
    <x v="0"/>
  </r>
  <r>
    <x v="94"/>
    <n v="4"/>
    <x v="2"/>
    <x v="0"/>
    <s v="SA Export Variante A+C"/>
    <m/>
    <s v="Runkel"/>
    <m/>
    <e v="#N/A"/>
    <e v="#N/A"/>
    <e v="#N/A"/>
    <e v="#N/A"/>
    <x v="0"/>
  </r>
  <r>
    <x v="95"/>
    <n v="8.5"/>
    <x v="17"/>
    <x v="0"/>
    <s v="Powercharts"/>
    <m/>
    <s v="Avera"/>
    <m/>
    <e v="#N/A"/>
    <e v="#N/A"/>
    <e v="#N/A"/>
    <e v="#N/A"/>
    <x v="0"/>
  </r>
  <r>
    <x v="96"/>
    <n v="6.5"/>
    <x v="17"/>
    <x v="0"/>
    <s v="Powercharts"/>
    <m/>
    <s v="Avera"/>
    <m/>
    <e v="#N/A"/>
    <e v="#N/A"/>
    <e v="#N/A"/>
    <e v="#N/A"/>
    <x v="0"/>
  </r>
  <r>
    <x v="97"/>
    <n v="4"/>
    <x v="2"/>
    <x v="0"/>
    <s v="SA Export Variante C Erweiterungen"/>
    <m/>
    <s v="Runkel"/>
    <m/>
    <e v="#N/A"/>
    <e v="#N/A"/>
    <e v="#N/A"/>
    <e v="#N/A"/>
    <x v="0"/>
  </r>
  <r>
    <x v="97"/>
    <n v="3.5"/>
    <x v="17"/>
    <x v="0"/>
    <s v="Powercharts"/>
    <m/>
    <s v="Avera"/>
    <m/>
    <e v="#N/A"/>
    <e v="#N/A"/>
    <e v="#N/A"/>
    <e v="#N/A"/>
    <x v="0"/>
  </r>
  <r>
    <x v="98"/>
    <n v="6.5"/>
    <x v="17"/>
    <x v="0"/>
    <s v="Powercharts"/>
    <m/>
    <s v="Avera"/>
    <m/>
    <e v="#N/A"/>
    <e v="#N/A"/>
    <e v="#N/A"/>
    <e v="#N/A"/>
    <x v="0"/>
  </r>
  <r>
    <x v="99"/>
    <n v="7.5"/>
    <x v="17"/>
    <x v="0"/>
    <s v="Powercharts"/>
    <m/>
    <s v="Avera"/>
    <m/>
    <e v="#N/A"/>
    <e v="#N/A"/>
    <e v="#N/A"/>
    <e v="#N/A"/>
    <x v="0"/>
  </r>
  <r>
    <x v="100"/>
    <n v="6.5"/>
    <x v="17"/>
    <x v="0"/>
    <s v="Powercharts"/>
    <m/>
    <s v="Avera"/>
    <m/>
    <e v="#N/A"/>
    <e v="#N/A"/>
    <e v="#N/A"/>
    <e v="#N/A"/>
    <x v="0"/>
  </r>
  <r>
    <x v="100"/>
    <n v="1"/>
    <x v="2"/>
    <x v="0"/>
    <s v="SA Export Variante C Fehlerbeseitigung"/>
    <m/>
    <s v="Runkel"/>
    <m/>
    <e v="#N/A"/>
    <e v="#N/A"/>
    <e v="#N/A"/>
    <e v="#N/A"/>
    <x v="0"/>
  </r>
  <r>
    <x v="101"/>
    <n v="0.5"/>
    <x v="7"/>
    <x v="0"/>
    <s v="Account gesperrt"/>
    <m/>
    <m/>
    <m/>
    <e v="#N/A"/>
    <e v="#N/A"/>
    <e v="#N/A"/>
    <e v="#N/A"/>
    <x v="1"/>
  </r>
  <r>
    <x v="101"/>
    <n v="0.5"/>
    <x v="6"/>
    <x v="0"/>
    <s v="Account gesperrt"/>
    <m/>
    <m/>
    <m/>
    <e v="#N/A"/>
    <e v="#N/A"/>
    <e v="#N/A"/>
    <e v="#N/A"/>
    <x v="1"/>
  </r>
  <r>
    <x v="101"/>
    <n v="4.5"/>
    <x v="17"/>
    <x v="0"/>
    <s v="Powercharts"/>
    <m/>
    <s v="Avera"/>
    <m/>
    <e v="#N/A"/>
    <e v="#N/A"/>
    <e v="#N/A"/>
    <e v="#N/A"/>
    <x v="1"/>
  </r>
  <r>
    <x v="102"/>
    <n v="8.5"/>
    <x v="17"/>
    <x v="0"/>
    <s v="Powercharts"/>
    <m/>
    <s v="Avera"/>
    <m/>
    <e v="#N/A"/>
    <e v="#N/A"/>
    <e v="#N/A"/>
    <e v="#N/A"/>
    <x v="1"/>
  </r>
  <r>
    <x v="103"/>
    <n v="8"/>
    <x v="17"/>
    <x v="0"/>
    <s v="Powercharts"/>
    <m/>
    <s v="Avera"/>
    <m/>
    <e v="#N/A"/>
    <e v="#N/A"/>
    <e v="#N/A"/>
    <e v="#N/A"/>
    <x v="1"/>
  </r>
  <r>
    <x v="104"/>
    <n v="1"/>
    <x v="0"/>
    <x v="0"/>
    <s v="Woelm Reporting"/>
    <m/>
    <s v="Montermann"/>
    <m/>
    <e v="#N/A"/>
    <e v="#N/A"/>
    <e v="#N/A"/>
    <e v="#N/A"/>
    <x v="1"/>
  </r>
  <r>
    <x v="104"/>
    <n v="5"/>
    <x v="17"/>
    <x v="0"/>
    <s v="Powercharts"/>
    <m/>
    <s v="Avera"/>
    <m/>
    <e v="#N/A"/>
    <e v="#N/A"/>
    <e v="#N/A"/>
    <e v="#N/A"/>
    <x v="1"/>
  </r>
  <r>
    <x v="105"/>
    <n v="3"/>
    <x v="0"/>
    <x v="0"/>
    <s v="Woelm"/>
    <m/>
    <s v="Montermann"/>
    <m/>
    <e v="#N/A"/>
    <e v="#N/A"/>
    <e v="#N/A"/>
    <e v="#N/A"/>
    <x v="1"/>
  </r>
  <r>
    <x v="105"/>
    <n v="3.5"/>
    <x v="17"/>
    <x v="0"/>
    <s v="Powercharts"/>
    <m/>
    <s v="Forster, Heil"/>
    <m/>
    <e v="#N/A"/>
    <e v="#N/A"/>
    <e v="#N/A"/>
    <e v="#N/A"/>
    <x v="1"/>
  </r>
  <r>
    <x v="106"/>
    <n v="7.5"/>
    <x v="17"/>
    <x v="0"/>
    <s v="Powercharts"/>
    <m/>
    <s v="Forster, Heil"/>
    <m/>
    <e v="#N/A"/>
    <e v="#N/A"/>
    <e v="#N/A"/>
    <e v="#N/A"/>
    <x v="1"/>
  </r>
  <r>
    <x v="107"/>
    <n v="6.5"/>
    <x v="17"/>
    <x v="0"/>
    <s v="Powercharts"/>
    <m/>
    <s v="Forster, Heil"/>
    <m/>
    <e v="#N/A"/>
    <e v="#N/A"/>
    <e v="#N/A"/>
    <e v="#N/A"/>
    <x v="1"/>
  </r>
  <r>
    <x v="107"/>
    <n v="1"/>
    <x v="17"/>
    <x v="0"/>
    <s v="Besprechung mit Frau Kleinfeldt und Herrn Heil Erweiterungen"/>
    <m/>
    <s v="Forster, Heil"/>
    <m/>
    <e v="#N/A"/>
    <e v="#N/A"/>
    <e v="#N/A"/>
    <e v="#N/A"/>
    <x v="1"/>
  </r>
  <r>
    <x v="108"/>
    <n v="7.5"/>
    <x v="17"/>
    <x v="0"/>
    <s v="Powercharts"/>
    <m/>
    <s v="Forster, Heil"/>
    <m/>
    <e v="#N/A"/>
    <e v="#N/A"/>
    <e v="#N/A"/>
    <e v="#N/A"/>
    <x v="1"/>
  </r>
  <r>
    <x v="109"/>
    <n v="6.5"/>
    <x v="17"/>
    <x v="0"/>
    <s v="Powercharts"/>
    <m/>
    <s v="Forster, Heil"/>
    <m/>
    <e v="#N/A"/>
    <e v="#N/A"/>
    <e v="#N/A"/>
    <e v="#N/A"/>
    <x v="1"/>
  </r>
  <r>
    <x v="110"/>
    <n v="6.5"/>
    <x v="17"/>
    <x v="0"/>
    <s v="Powercharts"/>
    <m/>
    <s v="Forster, Heil"/>
    <m/>
    <e v="#N/A"/>
    <e v="#N/A"/>
    <e v="#N/A"/>
    <e v="#N/A"/>
    <x v="1"/>
  </r>
  <r>
    <x v="111"/>
    <n v="7.5"/>
    <x v="17"/>
    <x v="0"/>
    <s v="Powercharts"/>
    <m/>
    <s v="Forster, Heil"/>
    <m/>
    <e v="#N/A"/>
    <e v="#N/A"/>
    <e v="#N/A"/>
    <e v="#N/A"/>
    <x v="1"/>
  </r>
  <r>
    <x v="112"/>
    <n v="8.5"/>
    <x v="17"/>
    <x v="0"/>
    <s v="Powercharts"/>
    <m/>
    <s v="Forster, Heil"/>
    <m/>
    <e v="#N/A"/>
    <e v="#N/A"/>
    <e v="#N/A"/>
    <e v="#N/A"/>
    <x v="1"/>
  </r>
  <r>
    <x v="113"/>
    <n v="8.5"/>
    <x v="17"/>
    <x v="0"/>
    <s v="Powercharts"/>
    <m/>
    <s v="Forster, Heil"/>
    <m/>
    <e v="#N/A"/>
    <e v="#N/A"/>
    <e v="#N/A"/>
    <e v="#N/A"/>
    <x v="1"/>
  </r>
  <r>
    <x v="114"/>
    <n v="5.5"/>
    <x v="17"/>
    <x v="0"/>
    <s v="Powercharts"/>
    <m/>
    <s v="Forster, Heil"/>
    <m/>
    <e v="#N/A"/>
    <e v="#N/A"/>
    <e v="#N/A"/>
    <e v="#N/A"/>
    <x v="1"/>
  </r>
  <r>
    <x v="115"/>
    <n v="6.5"/>
    <x v="17"/>
    <x v="0"/>
    <s v="Powercharts"/>
    <m/>
    <s v="Forster, Heil"/>
    <m/>
    <e v="#N/A"/>
    <e v="#N/A"/>
    <e v="#N/A"/>
    <e v="#N/A"/>
    <x v="1"/>
  </r>
  <r>
    <x v="116"/>
    <n v="8.5"/>
    <x v="17"/>
    <x v="0"/>
    <s v="Powercharts"/>
    <m/>
    <s v="Forster, Heil"/>
    <m/>
    <e v="#N/A"/>
    <e v="#N/A"/>
    <e v="#N/A"/>
    <e v="#N/A"/>
    <x v="1"/>
  </r>
  <r>
    <x v="117"/>
    <n v="8.5"/>
    <x v="17"/>
    <x v="0"/>
    <s v="Installation und Einrichtung Powercharts + Weiterentwicklung"/>
    <m/>
    <s v="Forster, Heil"/>
    <m/>
    <e v="#N/A"/>
    <e v="#N/A"/>
    <e v="#N/A"/>
    <e v="#N/A"/>
    <x v="1"/>
  </r>
  <r>
    <x v="118"/>
    <n v="8.5"/>
    <x v="17"/>
    <x v="0"/>
    <s v="Weiterentwicklung + Feinanpassung"/>
    <m/>
    <s v="Forster, Heil"/>
    <m/>
    <e v="#N/A"/>
    <e v="#N/A"/>
    <e v="#N/A"/>
    <e v="#N/A"/>
    <x v="1"/>
  </r>
  <r>
    <x v="119"/>
    <n v="4"/>
    <x v="17"/>
    <x v="0"/>
    <s v="Installation und Einrichtung Powercharts + Weiterentwicklung"/>
    <m/>
    <s v="Forster, Heil"/>
    <m/>
    <e v="#N/A"/>
    <e v="#N/A"/>
    <e v="#N/A"/>
    <e v="#N/A"/>
    <x v="1"/>
  </r>
  <r>
    <x v="120"/>
    <n v="8"/>
    <x v="17"/>
    <x v="0"/>
    <s v="Berichte Prio 2 + 3"/>
    <m/>
    <s v="Forster, Heil"/>
    <m/>
    <e v="#N/A"/>
    <e v="#N/A"/>
    <e v="#N/A"/>
    <e v="#N/A"/>
    <x v="1"/>
  </r>
  <r>
    <x v="121"/>
    <n v="6.5"/>
    <x v="17"/>
    <x v="0"/>
    <s v="Berichte Prio 2 + 3"/>
    <m/>
    <s v="Forster, Heil"/>
    <m/>
    <e v="#N/A"/>
    <e v="#N/A"/>
    <e v="#N/A"/>
    <e v="#N/A"/>
    <x v="1"/>
  </r>
  <r>
    <x v="122"/>
    <n v="6.5"/>
    <x v="17"/>
    <x v="0"/>
    <s v="Berichte Prio 2 + 3"/>
    <m/>
    <s v="Forster, Heil"/>
    <m/>
    <e v="#N/A"/>
    <e v="#N/A"/>
    <e v="#N/A"/>
    <e v="#N/A"/>
    <x v="1"/>
  </r>
  <r>
    <x v="123"/>
    <n v="7.5"/>
    <x v="17"/>
    <x v="0"/>
    <s v="Berichte Prio 2 + 3"/>
    <m/>
    <s v="Forster, Heil"/>
    <m/>
    <e v="#N/A"/>
    <e v="#N/A"/>
    <e v="#N/A"/>
    <e v="#N/A"/>
    <x v="1"/>
  </r>
  <r>
    <x v="124"/>
    <n v="8"/>
    <x v="17"/>
    <x v="0"/>
    <s v="Berichte Prio 2 + 3"/>
    <m/>
    <s v="Forster, Heil"/>
    <m/>
    <e v="#N/A"/>
    <e v="#N/A"/>
    <e v="#N/A"/>
    <e v="#N/A"/>
    <x v="1"/>
  </r>
  <r>
    <x v="125"/>
    <n v="8"/>
    <x v="18"/>
    <x v="0"/>
    <s v="Auto Reports Evaluierung einer neuen Lösung"/>
    <m/>
    <s v="Borchard"/>
    <m/>
    <e v="#N/A"/>
    <e v="#N/A"/>
    <e v="#N/A"/>
    <e v="#N/A"/>
    <x v="1"/>
  </r>
  <r>
    <x v="126"/>
    <n v="1"/>
    <x v="17"/>
    <x v="0"/>
    <s v="Installation der neuen Version"/>
    <m/>
    <s v="Forster,Heil"/>
    <m/>
    <e v="#N/A"/>
    <e v="#N/A"/>
    <e v="#N/A"/>
    <e v="#N/A"/>
    <x v="1"/>
  </r>
  <r>
    <x v="126"/>
    <n v="5.5"/>
    <x v="17"/>
    <x v="0"/>
    <s v="weitere Berichte"/>
    <m/>
    <s v="Forster,Heil"/>
    <m/>
    <e v="#N/A"/>
    <e v="#N/A"/>
    <e v="#N/A"/>
    <e v="#N/A"/>
    <x v="1"/>
  </r>
  <r>
    <x v="127"/>
    <n v="0.5"/>
    <x v="7"/>
    <x v="0"/>
    <s v="Unterstützung Excelprogrammierung"/>
    <m/>
    <s v="Montermann"/>
    <m/>
    <e v="#N/A"/>
    <e v="#N/A"/>
    <e v="#N/A"/>
    <e v="#N/A"/>
    <x v="1"/>
  </r>
  <r>
    <x v="127"/>
    <n v="1.5"/>
    <x v="15"/>
    <x v="0"/>
    <s v="Datenaggregation"/>
    <m/>
    <s v="Holzmeier"/>
    <m/>
    <e v="#N/A"/>
    <e v="#N/A"/>
    <e v="#N/A"/>
    <e v="#N/A"/>
    <x v="1"/>
  </r>
  <r>
    <x v="127"/>
    <n v="7"/>
    <x v="17"/>
    <x v="0"/>
    <s v="weitere Berichte"/>
    <m/>
    <s v="Forster,Heil"/>
    <m/>
    <e v="#N/A"/>
    <e v="#N/A"/>
    <e v="#N/A"/>
    <e v="#N/A"/>
    <x v="1"/>
  </r>
  <r>
    <x v="128"/>
    <n v="1"/>
    <x v="7"/>
    <x v="0"/>
    <s v="Unterstützung MDX"/>
    <m/>
    <s v="Runkel"/>
    <m/>
    <e v="#N/A"/>
    <e v="#N/A"/>
    <e v="#N/A"/>
    <e v="#N/A"/>
    <x v="1"/>
  </r>
  <r>
    <x v="128"/>
    <n v="7.5"/>
    <x v="17"/>
    <x v="0"/>
    <s v="weitere Berichte, Test"/>
    <m/>
    <s v="Forster,Heil"/>
    <m/>
    <e v="#N/A"/>
    <e v="#N/A"/>
    <e v="#N/A"/>
    <e v="#N/A"/>
    <x v="1"/>
  </r>
  <r>
    <x v="129"/>
    <n v="2"/>
    <x v="17"/>
    <x v="0"/>
    <s v="Setuperstellung und Installation der neuen Version"/>
    <m/>
    <s v="Forster,Heil"/>
    <m/>
    <e v="#N/A"/>
    <e v="#N/A"/>
    <e v="#N/A"/>
    <e v="#N/A"/>
    <x v="1"/>
  </r>
  <r>
    <x v="129"/>
    <n v="1"/>
    <x v="7"/>
    <x v="0"/>
    <s v="Unterstützung MDX"/>
    <m/>
    <s v="Runkel"/>
    <m/>
    <e v="#N/A"/>
    <e v="#N/A"/>
    <e v="#N/A"/>
    <e v="#N/A"/>
    <x v="1"/>
  </r>
  <r>
    <x v="129"/>
    <n v="5.5"/>
    <x v="17"/>
    <x v="0"/>
    <s v="Optimierung"/>
    <m/>
    <s v="Forster, Heil"/>
    <m/>
    <e v="#N/A"/>
    <e v="#N/A"/>
    <e v="#N/A"/>
    <e v="#N/A"/>
    <x v="1"/>
  </r>
  <r>
    <x v="130"/>
    <n v="0.5"/>
    <x v="6"/>
    <x v="0"/>
    <s v="MDX-Erstellung"/>
    <m/>
    <s v="Forster"/>
    <m/>
    <e v="#N/A"/>
    <e v="#N/A"/>
    <e v="#N/A"/>
    <e v="#N/A"/>
    <x v="1"/>
  </r>
  <r>
    <x v="130"/>
    <n v="5"/>
    <x v="18"/>
    <x v="0"/>
    <s v="Auto Reports"/>
    <m/>
    <s v="Borchard"/>
    <m/>
    <e v="#N/A"/>
    <e v="#N/A"/>
    <e v="#N/A"/>
    <e v="#N/A"/>
    <x v="1"/>
  </r>
  <r>
    <x v="131"/>
    <n v="5.5"/>
    <x v="17"/>
    <x v="0"/>
    <s v="MAT Berichte"/>
    <m/>
    <s v="Kleinfeldt, Heil"/>
    <m/>
    <e v="#N/A"/>
    <e v="#N/A"/>
    <e v="#N/A"/>
    <e v="#N/A"/>
    <x v="1"/>
  </r>
  <r>
    <x v="132"/>
    <n v="1"/>
    <x v="6"/>
    <x v="0"/>
    <s v="MDX-Erstellung"/>
    <m/>
    <s v="Runkel"/>
    <m/>
    <e v="#N/A"/>
    <e v="#N/A"/>
    <e v="#N/A"/>
    <e v="#N/A"/>
    <x v="1"/>
  </r>
  <r>
    <x v="132"/>
    <n v="4.5"/>
    <x v="17"/>
    <x v="0"/>
    <s v="MAT Berichte"/>
    <m/>
    <s v="Kleinfeldt, Heil"/>
    <m/>
    <e v="#N/A"/>
    <e v="#N/A"/>
    <e v="#N/A"/>
    <e v="#N/A"/>
    <x v="1"/>
  </r>
  <r>
    <x v="133"/>
    <n v="4"/>
    <x v="17"/>
    <x v="0"/>
    <s v="Neue Version fertiggestellt mit MAT Berichten"/>
    <m/>
    <s v="Kleinfeldt, Heil"/>
    <m/>
    <e v="#N/A"/>
    <e v="#N/A"/>
    <e v="#N/A"/>
    <e v="#N/A"/>
    <x v="1"/>
  </r>
  <r>
    <x v="134"/>
    <n v="6.5"/>
    <x v="2"/>
    <x v="0"/>
    <s v="SA Export Anpassung"/>
    <m/>
    <s v="Holzmeier"/>
    <m/>
    <e v="#N/A"/>
    <e v="#N/A"/>
    <e v="#N/A"/>
    <e v="#N/A"/>
    <x v="1"/>
  </r>
  <r>
    <x v="135"/>
    <n v="5.5"/>
    <x v="17"/>
    <x v="0"/>
    <s v="Gruppierung auf Datenbankebene"/>
    <m/>
    <s v="Kleinfeldt, Heil"/>
    <m/>
    <e v="#N/A"/>
    <e v="#N/A"/>
    <e v="#N/A"/>
    <e v="#N/A"/>
    <x v="1"/>
  </r>
  <r>
    <x v="136"/>
    <n v="6.5"/>
    <x v="17"/>
    <x v="0"/>
    <s v="Gruppierung auf Datenbankebene + Setuperstellung"/>
    <m/>
    <s v="Kleinfeldt, Heil"/>
    <m/>
    <e v="#N/A"/>
    <e v="#N/A"/>
    <e v="#N/A"/>
    <e v="#N/A"/>
    <x v="1"/>
  </r>
  <r>
    <x v="137"/>
    <n v="3.5"/>
    <x v="17"/>
    <x v="0"/>
    <s v="Anpassungen"/>
    <m/>
    <s v="Kleinfeldt, Heil"/>
    <m/>
    <e v="#N/A"/>
    <e v="#N/A"/>
    <e v="#N/A"/>
    <e v="#N/A"/>
    <x v="1"/>
  </r>
  <r>
    <x v="137"/>
    <n v="2"/>
    <x v="16"/>
    <x v="0"/>
    <s v="OTC Powerpoint Anpassungen"/>
    <m/>
    <s v="Stephan"/>
    <m/>
    <e v="#N/A"/>
    <e v="#N/A"/>
    <e v="#N/A"/>
    <e v="#N/A"/>
    <x v="1"/>
  </r>
  <r>
    <x v="138"/>
    <n v="6.5"/>
    <x v="17"/>
    <x v="0"/>
    <s v="Anpassungen"/>
    <m/>
    <s v="Kleinfeldt, Heil"/>
    <m/>
    <e v="#N/A"/>
    <e v="#N/A"/>
    <e v="#N/A"/>
    <e v="#N/A"/>
    <x v="1"/>
  </r>
  <r>
    <x v="139"/>
    <n v="6.5"/>
    <x v="17"/>
    <x v="0"/>
    <s v="Anpassungen + Test + Setuperstellung"/>
    <m/>
    <s v="Kleinfeldt, Heil"/>
    <m/>
    <e v="#N/A"/>
    <e v="#N/A"/>
    <e v="#N/A"/>
    <e v="#N/A"/>
    <x v="1"/>
  </r>
  <r>
    <x v="140"/>
    <n v="7.5"/>
    <x v="17"/>
    <x v="0"/>
    <s v="Anpassungen + Erweiterungen Statusbericht druckbar."/>
    <m/>
    <s v="Kleinfeldt, Heil"/>
    <m/>
    <e v="#N/A"/>
    <e v="#N/A"/>
    <e v="#N/A"/>
    <e v="#N/A"/>
    <x v="1"/>
  </r>
  <r>
    <x v="141"/>
    <n v="4.5"/>
    <x v="17"/>
    <x v="0"/>
    <s v="Anpassungen + Erweiterungen Statusbericht druckbar."/>
    <m/>
    <s v="Kleinfeldt, Heil"/>
    <m/>
    <e v="#N/A"/>
    <e v="#N/A"/>
    <e v="#N/A"/>
    <e v="#N/A"/>
    <x v="1"/>
  </r>
  <r>
    <x v="141"/>
    <n v="3"/>
    <x v="4"/>
    <x v="0"/>
    <s v="Installationsproblem Adresscheck"/>
    <m/>
    <s v="Fischer-Mondorf"/>
    <m/>
    <e v="#N/A"/>
    <e v="#N/A"/>
    <e v="#N/A"/>
    <e v="#N/A"/>
    <x v="1"/>
  </r>
  <r>
    <x v="142"/>
    <n v="6.5"/>
    <x v="17"/>
    <x v="0"/>
    <s v="Anpassungen + Erweiterungen + Neuinstallation"/>
    <m/>
    <s v="Kleinfeldt, Heil"/>
    <m/>
    <e v="#N/A"/>
    <e v="#N/A"/>
    <e v="#N/A"/>
    <e v="#N/A"/>
    <x v="1"/>
  </r>
  <r>
    <x v="143"/>
    <n v="1"/>
    <x v="4"/>
    <x v="0"/>
    <s v="Installationsproblem Adresscheck"/>
    <m/>
    <s v="Fischer-Mondorf"/>
    <m/>
    <e v="#N/A"/>
    <e v="#N/A"/>
    <e v="#N/A"/>
    <e v="#N/A"/>
    <x v="1"/>
  </r>
  <r>
    <x v="143"/>
    <n v="8.5"/>
    <x v="17"/>
    <x v="0"/>
    <s v="Anpassungen"/>
    <m/>
    <s v="Kleinfeldt, Heil"/>
    <m/>
    <e v="#N/A"/>
    <e v="#N/A"/>
    <e v="#N/A"/>
    <e v="#N/A"/>
    <x v="1"/>
  </r>
  <r>
    <x v="144"/>
    <n v="6.5"/>
    <x v="17"/>
    <x v="0"/>
    <s v="Anpassungen"/>
    <m/>
    <s v="Kleinfeldt, Heil"/>
    <m/>
    <e v="#N/A"/>
    <e v="#N/A"/>
    <e v="#N/A"/>
    <e v="#N/A"/>
    <x v="1"/>
  </r>
  <r>
    <x v="145"/>
    <n v="6.5"/>
    <x v="17"/>
    <x v="0"/>
    <s v="Anpassungen Statusreport druckbar"/>
    <m/>
    <s v="Kleinfeldt, Heil"/>
    <m/>
    <e v="#N/A"/>
    <e v="#N/A"/>
    <e v="#N/A"/>
    <e v="#N/A"/>
    <x v="1"/>
  </r>
  <r>
    <x v="146"/>
    <n v="5"/>
    <x v="17"/>
    <x v="0"/>
    <s v="Anpassungen Folien in bestehende Präsentation einfügen"/>
    <m/>
    <s v="Kleinfeldt, Heil"/>
    <m/>
    <e v="#N/A"/>
    <e v="#N/A"/>
    <e v="#N/A"/>
    <e v="#N/A"/>
    <x v="1"/>
  </r>
  <r>
    <x v="146"/>
    <n v="3.5"/>
    <x v="19"/>
    <x v="0"/>
    <s v="flat file"/>
    <m/>
    <s v="Avera"/>
    <m/>
    <e v="#N/A"/>
    <e v="#N/A"/>
    <e v="#N/A"/>
    <e v="#N/A"/>
    <x v="1"/>
  </r>
  <r>
    <x v="147"/>
    <n v="8.5"/>
    <x v="19"/>
    <x v="0"/>
    <s v="flat file"/>
    <m/>
    <s v="Avera"/>
    <m/>
    <e v="#N/A"/>
    <e v="#N/A"/>
    <e v="#N/A"/>
    <e v="#N/A"/>
    <x v="1"/>
  </r>
  <r>
    <x v="148"/>
    <n v="4"/>
    <x v="2"/>
    <x v="0"/>
    <s v="SAExport Variante I Anpassung an multiple Hierarchien"/>
    <m/>
    <s v="Holzmeier"/>
    <m/>
    <e v="#N/A"/>
    <e v="#N/A"/>
    <e v="#N/A"/>
    <e v="#N/A"/>
    <x v="1"/>
  </r>
  <r>
    <x v="148"/>
    <n v="3.5"/>
    <x v="19"/>
    <x v="0"/>
    <s v="flat file"/>
    <m/>
    <s v="Avera"/>
    <m/>
    <e v="#N/A"/>
    <e v="#N/A"/>
    <e v="#N/A"/>
    <e v="#N/A"/>
    <x v="1"/>
  </r>
  <r>
    <x v="149"/>
    <n v="2"/>
    <x v="19"/>
    <x v="0"/>
    <s v="flat file"/>
    <m/>
    <s v="Avera"/>
    <m/>
    <e v="#N/A"/>
    <e v="#N/A"/>
    <e v="#N/A"/>
    <e v="#N/A"/>
    <x v="1"/>
  </r>
  <r>
    <x v="149"/>
    <n v="6.5"/>
    <x v="17"/>
    <x v="0"/>
    <s v="Anpassungen Folien in bestehende Präsentation einfügen"/>
    <m/>
    <s v="Kleinfeldt, Heil"/>
    <m/>
    <e v="#N/A"/>
    <e v="#N/A"/>
    <e v="#N/A"/>
    <e v="#N/A"/>
    <x v="1"/>
  </r>
  <r>
    <x v="150"/>
    <n v="2"/>
    <x v="2"/>
    <x v="0"/>
    <s v="SAExport Variante I "/>
    <m/>
    <s v="Holzmeier"/>
    <m/>
    <e v="#N/A"/>
    <e v="#N/A"/>
    <e v="#N/A"/>
    <e v="#N/A"/>
    <x v="1"/>
  </r>
  <r>
    <x v="150"/>
    <n v="3.5"/>
    <x v="17"/>
    <x v="0"/>
    <s v="Anpassungen Folien in bestehende Präsentation einfügen"/>
    <m/>
    <s v="Kleinfeldt, Heil"/>
    <m/>
    <e v="#N/A"/>
    <e v="#N/A"/>
    <e v="#N/A"/>
    <e v="#N/A"/>
    <x v="1"/>
  </r>
  <r>
    <x v="150"/>
    <n v="2"/>
    <x v="17"/>
    <x v="0"/>
    <s v="Einrichtung Schulungsumgebung"/>
    <m/>
    <s v="Kleinfeldt, Heil"/>
    <m/>
    <e v="#N/A"/>
    <e v="#N/A"/>
    <e v="#N/A"/>
    <e v="#N/A"/>
    <x v="1"/>
  </r>
  <r>
    <x v="151"/>
    <n v="7"/>
    <x v="17"/>
    <x v="0"/>
    <s v="Änderungswünsche nach Schulung"/>
    <m/>
    <s v="Kleinfeldt, Heil"/>
    <m/>
    <e v="#N/A"/>
    <e v="#N/A"/>
    <e v="#N/A"/>
    <e v="#N/A"/>
    <x v="1"/>
  </r>
  <r>
    <x v="152"/>
    <n v="7.5"/>
    <x v="17"/>
    <x v="0"/>
    <s v="Bugfixing + Installation"/>
    <m/>
    <s v="Kleinfeldt, Heil"/>
    <m/>
    <e v="#N/A"/>
    <e v="#N/A"/>
    <e v="#N/A"/>
    <e v="#N/A"/>
    <x v="1"/>
  </r>
  <r>
    <x v="153"/>
    <n v="2.5"/>
    <x v="19"/>
    <x v="0"/>
    <s v="flat file"/>
    <m/>
    <s v="Avera"/>
    <m/>
    <e v="#N/A"/>
    <e v="#N/A"/>
    <e v="#N/A"/>
    <e v="#N/A"/>
    <x v="1"/>
  </r>
  <r>
    <x v="153"/>
    <n v="6"/>
    <x v="17"/>
    <x v="0"/>
    <s v="Korrekturen und Änderungenswünsche"/>
    <m/>
    <s v="Kleinfeldt, Heil"/>
    <m/>
    <e v="#N/A"/>
    <e v="#N/A"/>
    <e v="#N/A"/>
    <e v="#N/A"/>
    <x v="1"/>
  </r>
  <r>
    <x v="154"/>
    <n v="6.5"/>
    <x v="17"/>
    <x v="0"/>
    <s v="Korrekturen und Änderungenswünsche"/>
    <m/>
    <s v="Kleinfeldt, Heil"/>
    <m/>
    <e v="#N/A"/>
    <e v="#N/A"/>
    <e v="#N/A"/>
    <e v="#N/A"/>
    <x v="1"/>
  </r>
  <r>
    <x v="155"/>
    <n v="6.5"/>
    <x v="20"/>
    <x v="0"/>
    <s v="OTCGMS"/>
    <m/>
    <s v="Spiegel"/>
    <m/>
    <e v="#N/A"/>
    <e v="#N/A"/>
    <e v="#N/A"/>
    <e v="#N/A"/>
    <x v="1"/>
  </r>
  <r>
    <x v="156"/>
    <n v="6"/>
    <x v="17"/>
    <x v="0"/>
    <s v="Bugfixing"/>
    <m/>
    <s v="Kleinfeldt, Heil"/>
    <m/>
    <e v="#N/A"/>
    <e v="#N/A"/>
    <e v="#N/A"/>
    <e v="#N/A"/>
    <x v="1"/>
  </r>
  <r>
    <x v="156"/>
    <n v="1"/>
    <x v="7"/>
    <x v="0"/>
    <s v="Besprechung"/>
    <m/>
    <s v="Borchard"/>
    <m/>
    <e v="#N/A"/>
    <e v="#N/A"/>
    <e v="#N/A"/>
    <e v="#N/A"/>
    <x v="1"/>
  </r>
  <r>
    <x v="157"/>
    <n v="2.5"/>
    <x v="20"/>
    <x v="0"/>
    <s v="OTCGMS"/>
    <m/>
    <s v="Spiegel"/>
    <m/>
    <e v="#N/A"/>
    <e v="#N/A"/>
    <e v="#N/A"/>
    <e v="#N/A"/>
    <x v="1"/>
  </r>
  <r>
    <x v="157"/>
    <n v="6"/>
    <x v="17"/>
    <x v="0"/>
    <s v="AC Nielsen Reports"/>
    <m/>
    <s v="Kleinfeldt, Heil"/>
    <m/>
    <e v="#N/A"/>
    <e v="#N/A"/>
    <e v="#N/A"/>
    <e v="#N/A"/>
    <x v="1"/>
  </r>
  <r>
    <x v="158"/>
    <n v="8.5"/>
    <x v="17"/>
    <x v="0"/>
    <s v="Anpassung auf Hierarchien für AC Nielsen Reports"/>
    <m/>
    <s v="Kleinfeldt, Heil"/>
    <m/>
    <e v="#N/A"/>
    <e v="#N/A"/>
    <e v="#N/A"/>
    <e v="#N/A"/>
    <x v="1"/>
  </r>
  <r>
    <x v="159"/>
    <n v="1"/>
    <x v="7"/>
    <x v="0"/>
    <s v="Konto gesperrt"/>
    <m/>
    <s v="Avera"/>
    <m/>
    <e v="#N/A"/>
    <e v="#N/A"/>
    <e v="#N/A"/>
    <e v="#N/A"/>
    <x v="1"/>
  </r>
  <r>
    <x v="159"/>
    <n v="1"/>
    <x v="6"/>
    <x v="0"/>
    <s v="Konto gesperrt"/>
    <m/>
    <s v="Borchard"/>
    <m/>
    <e v="#N/A"/>
    <e v="#N/A"/>
    <e v="#N/A"/>
    <e v="#N/A"/>
    <x v="1"/>
  </r>
  <r>
    <x v="159"/>
    <n v="4.5"/>
    <x v="17"/>
    <x v="0"/>
    <s v="Anpassung auf Hierarchien für AC Nielsen Reports"/>
    <m/>
    <s v="Kleinfeldt, Heil"/>
    <m/>
    <e v="#N/A"/>
    <e v="#N/A"/>
    <e v="#N/A"/>
    <e v="#N/A"/>
    <x v="1"/>
  </r>
  <r>
    <x v="160"/>
    <n v="1"/>
    <x v="2"/>
    <x v="0"/>
    <s v="SA Export"/>
    <m/>
    <s v="Runkel"/>
    <m/>
    <e v="#N/A"/>
    <e v="#N/A"/>
    <e v="#N/A"/>
    <e v="#N/A"/>
    <x v="1"/>
  </r>
  <r>
    <x v="160"/>
    <n v="7.5"/>
    <x v="17"/>
    <x v="0"/>
    <s v="AC Nielsen Reports Fertigstellung und Test"/>
    <m/>
    <s v="Kleinfeldt, Heil"/>
    <m/>
    <e v="#N/A"/>
    <e v="#N/A"/>
    <e v="#N/A"/>
    <e v="#N/A"/>
    <x v="1"/>
  </r>
  <r>
    <x v="161"/>
    <n v="8.5"/>
    <x v="17"/>
    <x v="0"/>
    <s v="AC Nielsen Reports Korrektur und Legendenumbruch"/>
    <m/>
    <s v="Kleinfeldt, Heil"/>
    <m/>
    <e v="#N/A"/>
    <e v="#N/A"/>
    <e v="#N/A"/>
    <e v="#N/A"/>
    <x v="1"/>
  </r>
  <r>
    <x v="162"/>
    <n v="2"/>
    <x v="19"/>
    <x v="0"/>
    <s v="flat file"/>
    <m/>
    <s v="Avera"/>
    <m/>
    <e v="#N/A"/>
    <e v="#N/A"/>
    <e v="#N/A"/>
    <e v="#N/A"/>
    <x v="1"/>
  </r>
  <r>
    <x v="162"/>
    <n v="4.5"/>
    <x v="17"/>
    <x v="0"/>
    <s v="AC Nielsen Reports Korrektur und Legendenumbruch"/>
    <m/>
    <s v="Kleinfeldt, Heil"/>
    <m/>
    <e v="#N/A"/>
    <e v="#N/A"/>
    <e v="#N/A"/>
    <e v="#N/A"/>
    <x v="1"/>
  </r>
  <r>
    <x v="163"/>
    <n v="9"/>
    <x v="17"/>
    <x v="0"/>
    <s v="DepFiles"/>
    <m/>
    <s v="Kleinfeldt, Heil"/>
    <m/>
    <e v="#N/A"/>
    <e v="#N/A"/>
    <e v="#N/A"/>
    <e v="#N/A"/>
    <x v="1"/>
  </r>
  <r>
    <x v="164"/>
    <n v="9.5"/>
    <x v="17"/>
    <x v="0"/>
    <s v="DepFiles"/>
    <m/>
    <s v="Kleinfeldt, Heil"/>
    <m/>
    <e v="#N/A"/>
    <e v="#N/A"/>
    <e v="#N/A"/>
    <e v="#N/A"/>
    <x v="1"/>
  </r>
  <r>
    <x v="165"/>
    <n v="4"/>
    <x v="17"/>
    <x v="0"/>
    <s v="DepFiles"/>
    <m/>
    <s v="Kleinfeldt, Heil"/>
    <m/>
    <e v="#N/A"/>
    <e v="#N/A"/>
    <e v="#N/A"/>
    <e v="#N/A"/>
    <x v="1"/>
  </r>
  <r>
    <x v="165"/>
    <n v="4.5"/>
    <x v="20"/>
    <x v="0"/>
    <s v="OTCGMS"/>
    <m/>
    <s v="Spiegel"/>
    <m/>
    <e v="#N/A"/>
    <e v="#N/A"/>
    <e v="#N/A"/>
    <e v="#N/A"/>
    <x v="1"/>
  </r>
  <r>
    <x v="166"/>
    <n v="6.5"/>
    <x v="17"/>
    <x v="0"/>
    <s v="DepFiles Test Suchfunktion für Gruppen"/>
    <m/>
    <s v="Kleinfeldt, Heil"/>
    <m/>
    <e v="#N/A"/>
    <e v="#N/A"/>
    <e v="#N/A"/>
    <e v="#N/A"/>
    <x v="1"/>
  </r>
  <r>
    <x v="167"/>
    <n v="5.5"/>
    <x v="17"/>
    <x v="0"/>
    <s v="frei wählbare Zeiträume"/>
    <m/>
    <s v="Kleinfeldt, Heil"/>
    <m/>
    <e v="#N/A"/>
    <e v="#N/A"/>
    <e v="#N/A"/>
    <e v="#N/A"/>
    <x v="1"/>
  </r>
  <r>
    <x v="167"/>
    <n v="1"/>
    <x v="7"/>
    <x v="0"/>
    <s v="Projektbesprechung BMS"/>
    <m/>
    <s v="Borchard"/>
    <m/>
    <e v="#N/A"/>
    <e v="#N/A"/>
    <e v="#N/A"/>
    <e v="#N/A"/>
    <x v="1"/>
  </r>
  <r>
    <x v="168"/>
    <n v="1"/>
    <x v="21"/>
    <x v="0"/>
    <s v="Besprechung MundiExport"/>
    <m/>
    <s v="Runkel"/>
    <m/>
    <e v="#N/A"/>
    <e v="#N/A"/>
    <e v="#N/A"/>
    <e v="#N/A"/>
    <x v="1"/>
  </r>
  <r>
    <x v="168"/>
    <n v="3"/>
    <x v="17"/>
    <x v="0"/>
    <s v="Powerpoint AddIn"/>
    <m/>
    <s v="Kleinfeldt, Heil"/>
    <m/>
    <e v="#N/A"/>
    <e v="#N/A"/>
    <e v="#N/A"/>
    <e v="#N/A"/>
    <x v="1"/>
  </r>
  <r>
    <x v="168"/>
    <n v="3.5"/>
    <x v="21"/>
    <x v="0"/>
    <s v="MundiExport"/>
    <m/>
    <s v="Runkel"/>
    <m/>
    <e v="#N/A"/>
    <e v="#N/A"/>
    <e v="#N/A"/>
    <e v="#N/A"/>
    <x v="1"/>
  </r>
  <r>
    <x v="168"/>
    <n v="2"/>
    <x v="17"/>
    <x v="0"/>
    <s v="flexible Zeiträume"/>
    <m/>
    <s v="Kleinfeldt, Heil"/>
    <m/>
    <e v="#N/A"/>
    <e v="#N/A"/>
    <e v="#N/A"/>
    <e v="#N/A"/>
    <x v="1"/>
  </r>
  <r>
    <x v="169"/>
    <n v="1"/>
    <x v="21"/>
    <x v="0"/>
    <s v="MundiExport"/>
    <m/>
    <s v="Runkel"/>
    <m/>
    <e v="#N/A"/>
    <e v="#N/A"/>
    <e v="#N/A"/>
    <e v="#N/A"/>
    <x v="1"/>
  </r>
  <r>
    <x v="169"/>
    <n v="4"/>
    <x v="20"/>
    <x v="0"/>
    <s v="OTCGMS"/>
    <m/>
    <s v="Spiegel"/>
    <m/>
    <e v="#N/A"/>
    <e v="#N/A"/>
    <e v="#N/A"/>
    <e v="#N/A"/>
    <x v="1"/>
  </r>
  <r>
    <x v="169"/>
    <n v="3.5"/>
    <x v="17"/>
    <x v="0"/>
    <s v="flexible Zeiträume, Test"/>
    <m/>
    <s v="Kleinfeldt, Heil"/>
    <m/>
    <e v="#N/A"/>
    <e v="#N/A"/>
    <e v="#N/A"/>
    <e v="#N/A"/>
    <x v="1"/>
  </r>
  <r>
    <x v="170"/>
    <n v="6"/>
    <x v="17"/>
    <x v="0"/>
    <s v="flexible Zeiträume, Anpassung für frei wählbare flexible Zeiträume"/>
    <m/>
    <s v="Kleinfeldt, Heil"/>
    <m/>
    <e v="#N/A"/>
    <e v="#N/A"/>
    <e v="#N/A"/>
    <e v="#N/A"/>
    <x v="1"/>
  </r>
  <r>
    <x v="171"/>
    <n v="8.5"/>
    <x v="20"/>
    <x v="0"/>
    <s v="OTCGMS"/>
    <m/>
    <s v="Spiegel"/>
    <m/>
    <e v="#N/A"/>
    <e v="#N/A"/>
    <e v="#N/A"/>
    <e v="#N/A"/>
    <x v="1"/>
  </r>
  <r>
    <x v="172"/>
    <n v="8.5"/>
    <x v="17"/>
    <x v="0"/>
    <s v="Anpassung ACN Charts"/>
    <m/>
    <s v="Kleinfeldt, Heil"/>
    <m/>
    <e v="#N/A"/>
    <e v="#N/A"/>
    <e v="#N/A"/>
    <e v="#N/A"/>
    <x v="1"/>
  </r>
  <r>
    <x v="173"/>
    <n v="3"/>
    <x v="17"/>
    <x v="0"/>
    <s v="Powercharts"/>
    <m/>
    <s v="Kleinfeldt, Heil"/>
    <m/>
    <e v="#N/A"/>
    <e v="#N/A"/>
    <e v="#N/A"/>
    <e v="#N/A"/>
    <x v="1"/>
  </r>
  <r>
    <x v="173"/>
    <n v="2.5"/>
    <x v="20"/>
    <x v="0"/>
    <s v="OTCGMS"/>
    <m/>
    <s v="Spiegel"/>
    <m/>
    <e v="#N/A"/>
    <e v="#N/A"/>
    <e v="#N/A"/>
    <e v="#N/A"/>
    <x v="1"/>
  </r>
  <r>
    <x v="174"/>
    <n v="6.5"/>
    <x v="19"/>
    <x v="0"/>
    <s v="flat file"/>
    <m/>
    <s v="Avera"/>
    <m/>
    <e v="#N/A"/>
    <e v="#N/A"/>
    <e v="#N/A"/>
    <e v="#N/A"/>
    <x v="1"/>
  </r>
  <r>
    <x v="175"/>
    <n v="8.5"/>
    <x v="17"/>
    <x v="0"/>
    <s v="Powercharts,3 Facts untereinander"/>
    <m/>
    <s v="Kleinfeldt, Heil"/>
    <m/>
    <e v="#N/A"/>
    <e v="#N/A"/>
    <e v="#N/A"/>
    <e v="#N/A"/>
    <x v="1"/>
  </r>
  <r>
    <x v="176"/>
    <n v="8.5"/>
    <x v="17"/>
    <x v="0"/>
    <s v="Powercharts, 3 Facts nebeneinander"/>
    <m/>
    <s v="Kleinfeldt, Heil"/>
    <m/>
    <e v="#N/A"/>
    <e v="#N/A"/>
    <e v="#N/A"/>
    <e v="#N/A"/>
    <x v="1"/>
  </r>
  <r>
    <x v="177"/>
    <n v="3"/>
    <x v="17"/>
    <x v="0"/>
    <s v="Powercharts, Chart Absatz/Umsatz"/>
    <m/>
    <s v="Kleinfeldt, Heil"/>
    <m/>
    <e v="#N/A"/>
    <e v="#N/A"/>
    <e v="#N/A"/>
    <e v="#N/A"/>
    <x v="1"/>
  </r>
  <r>
    <x v="177"/>
    <n v="2"/>
    <x v="22"/>
    <x v="0"/>
    <s v="BMS Projektbesprechung"/>
    <m/>
    <s v="Wang/Borchard"/>
    <m/>
    <e v="#N/A"/>
    <e v="#N/A"/>
    <e v="#N/A"/>
    <e v="#N/A"/>
    <x v="1"/>
  </r>
  <r>
    <x v="178"/>
    <n v="4"/>
    <x v="17"/>
    <x v="0"/>
    <s v="Powercharts, Chart Absatz/Umsatz"/>
    <m/>
    <s v="Kleinfeldt, Heil"/>
    <m/>
    <e v="#N/A"/>
    <e v="#N/A"/>
    <e v="#N/A"/>
    <e v="#N/A"/>
    <x v="1"/>
  </r>
  <r>
    <x v="178"/>
    <n v="2.5"/>
    <x v="19"/>
    <x v="0"/>
    <s v="flat file"/>
    <m/>
    <s v="Avera"/>
    <m/>
    <e v="#N/A"/>
    <e v="#N/A"/>
    <e v="#N/A"/>
    <e v="#N/A"/>
    <x v="1"/>
  </r>
  <r>
    <x v="179"/>
    <n v="8.5"/>
    <x v="19"/>
    <x v="0"/>
    <s v="flat file"/>
    <m/>
    <s v="Avera"/>
    <m/>
    <e v="#N/A"/>
    <e v="#N/A"/>
    <e v="#N/A"/>
    <e v="#N/A"/>
    <x v="1"/>
  </r>
  <r>
    <x v="180"/>
    <n v="6"/>
    <x v="19"/>
    <x v="0"/>
    <s v="flat file"/>
    <m/>
    <s v="Avera"/>
    <m/>
    <e v="#N/A"/>
    <e v="#N/A"/>
    <e v="#N/A"/>
    <e v="#N/A"/>
    <x v="1"/>
  </r>
  <r>
    <x v="180"/>
    <n v="2.5"/>
    <x v="17"/>
    <x v="0"/>
    <s v="Powercharts, Anpassungen"/>
    <m/>
    <s v="Kleinfeldt, Heil"/>
    <m/>
    <e v="#N/A"/>
    <e v="#N/A"/>
    <e v="#N/A"/>
    <e v="#N/A"/>
    <x v="1"/>
  </r>
  <r>
    <x v="181"/>
    <n v="2"/>
    <x v="17"/>
    <x v="0"/>
    <s v="Powercharts, Anpassungen"/>
    <m/>
    <s v="Kleinfeldt, Heil"/>
    <m/>
    <e v="#N/A"/>
    <e v="#N/A"/>
    <e v="#N/A"/>
    <e v="#N/A"/>
    <x v="1"/>
  </r>
  <r>
    <x v="181"/>
    <n v="4"/>
    <x v="17"/>
    <x v="0"/>
    <s v="Compress Presentation"/>
    <m/>
    <s v="Kleinfeldt, Heil"/>
    <m/>
    <e v="#N/A"/>
    <e v="#N/A"/>
    <e v="#N/A"/>
    <e v="#N/A"/>
    <x v="1"/>
  </r>
  <r>
    <x v="182"/>
    <n v="2"/>
    <x v="21"/>
    <x v="0"/>
    <s v="Mundiexport"/>
    <m/>
    <s v="Runkel"/>
    <m/>
    <e v="#N/A"/>
    <e v="#N/A"/>
    <e v="#N/A"/>
    <e v="#N/A"/>
    <x v="1"/>
  </r>
  <r>
    <x v="182"/>
    <n v="4.5"/>
    <x v="20"/>
    <x v="0"/>
    <s v="OTCGMS Anpassung an mehrere Datenbanken"/>
    <m/>
    <s v="Spiegel"/>
    <m/>
    <e v="#N/A"/>
    <e v="#N/A"/>
    <e v="#N/A"/>
    <e v="#N/A"/>
    <x v="1"/>
  </r>
  <r>
    <x v="183"/>
    <n v="3"/>
    <x v="20"/>
    <x v="0"/>
    <s v="OTCGMS Anpassung an mehrere Datenbanken, Setup, Test"/>
    <m/>
    <s v="Spiegel"/>
    <m/>
    <e v="#N/A"/>
    <e v="#N/A"/>
    <e v="#N/A"/>
    <e v="#N/A"/>
    <x v="1"/>
  </r>
  <r>
    <x v="183"/>
    <n v="3"/>
    <x v="21"/>
    <x v="0"/>
    <s v="Mundiexport"/>
    <m/>
    <s v="Runkel"/>
    <m/>
    <e v="#N/A"/>
    <e v="#N/A"/>
    <e v="#N/A"/>
    <e v="#N/A"/>
    <x v="1"/>
  </r>
  <r>
    <x v="183"/>
    <n v="1"/>
    <x v="22"/>
    <x v="0"/>
    <s v="Oracle Installation"/>
    <m/>
    <s v="Wang/Borchard"/>
    <m/>
    <e v="#N/A"/>
    <e v="#N/A"/>
    <e v="#N/A"/>
    <e v="#N/A"/>
    <x v="1"/>
  </r>
  <r>
    <x v="183"/>
    <n v="1.5"/>
    <x v="17"/>
    <x v="0"/>
    <s v="Powercharts, Anpassungen"/>
    <m/>
    <s v="Kleinfeldt, Heil"/>
    <m/>
    <e v="#N/A"/>
    <e v="#N/A"/>
    <e v="#N/A"/>
    <e v="#N/A"/>
    <x v="1"/>
  </r>
  <r>
    <x v="184"/>
    <n v="1"/>
    <x v="7"/>
    <x v="0"/>
    <s v="MDX-Erstellung"/>
    <m/>
    <s v="Holzmeier"/>
    <m/>
    <e v="#N/A"/>
    <e v="#N/A"/>
    <e v="#N/A"/>
    <e v="#N/A"/>
    <x v="1"/>
  </r>
  <r>
    <x v="184"/>
    <n v="5"/>
    <x v="17"/>
    <x v="0"/>
    <s v="Powercharts, Anpassung an XP (Einrichtung Entwicklungsumgebung)"/>
    <m/>
    <s v="Kleinfeldt, Heil"/>
    <m/>
    <e v="#N/A"/>
    <e v="#N/A"/>
    <e v="#N/A"/>
    <e v="#N/A"/>
    <x v="1"/>
  </r>
  <r>
    <x v="184"/>
    <n v="1"/>
    <x v="21"/>
    <x v="0"/>
    <s v="Mundiexport"/>
    <m/>
    <s v="Runkel"/>
    <m/>
    <e v="#N/A"/>
    <e v="#N/A"/>
    <e v="#N/A"/>
    <e v="#N/A"/>
    <x v="1"/>
  </r>
  <r>
    <x v="185"/>
    <n v="6.5"/>
    <x v="17"/>
    <x v="0"/>
    <s v="Powercharts, Übernahme SA Anteile bzw. Berechnungen"/>
    <m/>
    <s v="Kleinfeldt, Heil"/>
    <m/>
    <e v="#N/A"/>
    <e v="#N/A"/>
    <e v="#N/A"/>
    <e v="#N/A"/>
    <x v="1"/>
  </r>
  <r>
    <x v="186"/>
    <n v="6.5"/>
    <x v="17"/>
    <x v="0"/>
    <s v="Powercharts, Übernahme SA Anteile bzw. Berechnungen"/>
    <m/>
    <s v="Kleinfeldt, Heil"/>
    <m/>
    <e v="#N/A"/>
    <e v="#N/A"/>
    <e v="#N/A"/>
    <e v="#N/A"/>
    <x v="1"/>
  </r>
  <r>
    <x v="187"/>
    <n v="7.5"/>
    <x v="17"/>
    <x v="0"/>
    <s v="Powercharts, neuer Bericht 4Facts, 3Facts untereinander"/>
    <m/>
    <s v="Kleinfeldt, Heil"/>
    <m/>
    <e v="#N/A"/>
    <e v="#N/A"/>
    <e v="#N/A"/>
    <e v="#N/A"/>
    <x v="1"/>
  </r>
  <r>
    <x v="188"/>
    <n v="7.5"/>
    <x v="17"/>
    <x v="0"/>
    <s v="englische Facts"/>
    <m/>
    <s v="Kleinfeldt, Heil"/>
    <m/>
    <e v="#N/A"/>
    <e v="#N/A"/>
    <e v="#N/A"/>
    <e v="#N/A"/>
    <x v="1"/>
  </r>
  <r>
    <x v="189"/>
    <n v="7.5"/>
    <x v="17"/>
    <x v="0"/>
    <s v="englische Facts"/>
    <m/>
    <s v="Kleinfeldt, Heil"/>
    <m/>
    <e v="#N/A"/>
    <e v="#N/A"/>
    <e v="#N/A"/>
    <e v="#N/A"/>
    <x v="1"/>
  </r>
  <r>
    <x v="189"/>
    <n v="1"/>
    <x v="16"/>
    <x v="0"/>
    <s v="OTC Powerpoint"/>
    <m/>
    <s v="Spiegel"/>
    <m/>
    <e v="#N/A"/>
    <e v="#N/A"/>
    <e v="#N/A"/>
    <e v="#N/A"/>
    <x v="1"/>
  </r>
  <r>
    <x v="190"/>
    <n v="1.5"/>
    <x v="22"/>
    <x v="0"/>
    <s v="Projektbesprechung BMS"/>
    <m/>
    <s v="Borchard"/>
    <m/>
    <e v="#N/A"/>
    <e v="#N/A"/>
    <e v="#N/A"/>
    <e v="#N/A"/>
    <x v="1"/>
  </r>
  <r>
    <x v="190"/>
    <n v="5"/>
    <x v="17"/>
    <x v="0"/>
    <s v="Anpassungen englische Charts"/>
    <m/>
    <s v="Kleinfeldt, Heil"/>
    <m/>
    <e v="#N/A"/>
    <e v="#N/A"/>
    <e v="#N/A"/>
    <e v="#N/A"/>
    <x v="1"/>
  </r>
  <r>
    <x v="191"/>
    <n v="6"/>
    <x v="17"/>
    <x v="0"/>
    <s v="ACN-Gruppen"/>
    <m/>
    <s v="Kleinfeldt, Heil"/>
    <m/>
    <e v="#N/A"/>
    <e v="#N/A"/>
    <e v="#N/A"/>
    <e v="#N/A"/>
    <x v="1"/>
  </r>
  <r>
    <x v="191"/>
    <n v="0.5"/>
    <x v="7"/>
    <x v="0"/>
    <s v="MDX-Erstellung"/>
    <m/>
    <s v="Holzmeier"/>
    <m/>
    <e v="#N/A"/>
    <e v="#N/A"/>
    <e v="#N/A"/>
    <e v="#N/A"/>
    <x v="1"/>
  </r>
  <r>
    <x v="192"/>
    <n v="7.5"/>
    <x v="17"/>
    <x v="0"/>
    <s v="ACN-Gruppen und Anteile Korrektur Verkauf Packungen YTD"/>
    <m/>
    <s v="Kleinfeldt, Heil"/>
    <m/>
    <e v="#N/A"/>
    <e v="#N/A"/>
    <e v="#N/A"/>
    <e v="#N/A"/>
    <x v="1"/>
  </r>
  <r>
    <x v="193"/>
    <n v="8.5"/>
    <x v="17"/>
    <x v="0"/>
    <s v="ACN-HBT Keyfactentwicklung"/>
    <m/>
    <s v="Kleinfeldt, Heil"/>
    <m/>
    <e v="#N/A"/>
    <e v="#N/A"/>
    <e v="#N/A"/>
    <e v="#N/A"/>
    <x v="1"/>
  </r>
  <r>
    <x v="194"/>
    <n v="6.5"/>
    <x v="17"/>
    <x v="0"/>
    <s v="ACN-HBT ABSATZ/UMSATZ absolut relativ Geos"/>
    <m/>
    <s v="Kleinfeldt, Heil"/>
    <m/>
    <e v="#N/A"/>
    <e v="#N/A"/>
    <e v="#N/A"/>
    <e v="#N/A"/>
    <x v="1"/>
  </r>
  <r>
    <x v="195"/>
    <n v="2.5"/>
    <x v="17"/>
    <x v="0"/>
    <s v="ACN-HBT ABSATZ/UMSATZ absolut relativ Produkte"/>
    <m/>
    <s v="Kleinfeldt, Heil"/>
    <m/>
    <e v="#N/A"/>
    <e v="#N/A"/>
    <e v="#N/A"/>
    <e v="#N/A"/>
    <x v="1"/>
  </r>
  <r>
    <x v="195"/>
    <n v="6"/>
    <x v="23"/>
    <x v="0"/>
    <s v="POS_SMEX"/>
    <m/>
    <s v="Stadler, Forster"/>
    <m/>
    <e v="#N/A"/>
    <e v="#N/A"/>
    <e v="#N/A"/>
    <e v="#N/A"/>
    <x v="1"/>
  </r>
  <r>
    <x v="196"/>
    <n v="0.5"/>
    <x v="23"/>
    <x v="0"/>
    <s v="POS_SMEX"/>
    <m/>
    <s v="Stadler, Forster"/>
    <m/>
    <e v="#N/A"/>
    <e v="#N/A"/>
    <e v="#N/A"/>
    <e v="#N/A"/>
    <x v="1"/>
  </r>
  <r>
    <x v="196"/>
    <n v="8"/>
    <x v="17"/>
    <x v="0"/>
    <s v="ACN-HBT ABSATZ/UMSATZ absolut relativ Produkte"/>
    <m/>
    <s v="Kleinfeldt, Heil"/>
    <m/>
    <e v="#N/A"/>
    <e v="#N/A"/>
    <e v="#N/A"/>
    <e v="#N/A"/>
    <x v="1"/>
  </r>
  <r>
    <x v="197"/>
    <n v="0.5"/>
    <x v="23"/>
    <x v="0"/>
    <s v="POS_SMEX"/>
    <m/>
    <s v="Stadler, Forster"/>
    <m/>
    <e v="#N/A"/>
    <e v="#N/A"/>
    <e v="#N/A"/>
    <e v="#N/A"/>
    <x v="1"/>
  </r>
  <r>
    <x v="197"/>
    <n v="8"/>
    <x v="17"/>
    <x v="0"/>
    <s v="ACN-HBT ABSATZ/UMSATZ absolut relativ Produkte"/>
    <m/>
    <s v="Kleinfeldt, Heil"/>
    <m/>
    <e v="#N/A"/>
    <e v="#N/A"/>
    <e v="#N/A"/>
    <e v="#N/A"/>
    <x v="1"/>
  </r>
  <r>
    <x v="198"/>
    <n v="6.5"/>
    <x v="23"/>
    <x v="0"/>
    <s v="Passwortcracker"/>
    <m/>
    <s v="Schulz"/>
    <m/>
    <e v="#N/A"/>
    <e v="#N/A"/>
    <e v="#N/A"/>
    <e v="#N/A"/>
    <x v="1"/>
  </r>
  <r>
    <x v="199"/>
    <n v="5.5"/>
    <x v="22"/>
    <x v="0"/>
    <s v="Projektbesprechung BMS"/>
    <m/>
    <s v="Borchard"/>
    <m/>
    <e v="#N/A"/>
    <e v="#N/A"/>
    <e v="#N/A"/>
    <e v="#N/A"/>
    <x v="1"/>
  </r>
  <r>
    <x v="199"/>
    <n v="2"/>
    <x v="24"/>
    <x v="0"/>
    <s v="Passwortcracker"/>
    <m/>
    <s v="Schulz"/>
    <m/>
    <e v="#N/A"/>
    <e v="#N/A"/>
    <e v="#N/A"/>
    <e v="#N/A"/>
    <x v="1"/>
  </r>
  <r>
    <x v="200"/>
    <n v="6"/>
    <x v="22"/>
    <x v="0"/>
    <s v="Projektbesprechung BMS"/>
    <m/>
    <s v="Borchard"/>
    <m/>
    <e v="#N/A"/>
    <e v="#N/A"/>
    <e v="#N/A"/>
    <e v="#N/A"/>
    <x v="1"/>
  </r>
  <r>
    <x v="200"/>
    <n v="1.5"/>
    <x v="24"/>
    <x v="0"/>
    <s v="Passwortcracker"/>
    <m/>
    <s v="Schulz"/>
    <m/>
    <e v="#N/A"/>
    <e v="#N/A"/>
    <e v="#N/A"/>
    <e v="#N/A"/>
    <x v="1"/>
  </r>
  <r>
    <x v="201"/>
    <n v="4"/>
    <x v="24"/>
    <x v="0"/>
    <s v="Passwortcracker"/>
    <m/>
    <s v="Schulz"/>
    <m/>
    <e v="#N/A"/>
    <e v="#N/A"/>
    <e v="#N/A"/>
    <e v="#N/A"/>
    <x v="1"/>
  </r>
  <r>
    <x v="201"/>
    <n v="2"/>
    <x v="24"/>
    <x v="0"/>
    <s v="Passwortcracker"/>
    <m/>
    <s v="Schulz"/>
    <m/>
    <e v="#N/A"/>
    <e v="#N/A"/>
    <e v="#N/A"/>
    <e v="#N/A"/>
    <x v="1"/>
  </r>
  <r>
    <x v="202"/>
    <n v="1"/>
    <x v="24"/>
    <x v="0"/>
    <s v="Passwortcracker"/>
    <m/>
    <s v="Schulz"/>
    <m/>
    <e v="#N/A"/>
    <e v="#N/A"/>
    <e v="#N/A"/>
    <e v="#N/A"/>
    <x v="1"/>
  </r>
  <r>
    <x v="202"/>
    <n v="1"/>
    <x v="21"/>
    <x v="0"/>
    <s v="Mundiexport Anpassungen"/>
    <m/>
    <s v="Burger"/>
    <m/>
    <e v="#N/A"/>
    <e v="#N/A"/>
    <e v="#N/A"/>
    <e v="#N/A"/>
    <x v="1"/>
  </r>
  <r>
    <x v="202"/>
    <n v="1"/>
    <x v="25"/>
    <x v="0"/>
    <s v="IMSTP Anpassung der Installationsroutine"/>
    <m/>
    <s v="Burger"/>
    <m/>
    <e v="#N/A"/>
    <e v="#N/A"/>
    <e v="#N/A"/>
    <e v="#N/A"/>
    <x v="1"/>
  </r>
  <r>
    <x v="202"/>
    <n v="1"/>
    <x v="24"/>
    <x v="0"/>
    <s v="Passwortcracker Oberfläche"/>
    <m/>
    <s v="Horst"/>
    <m/>
    <e v="#N/A"/>
    <e v="#N/A"/>
    <e v="#N/A"/>
    <e v="#N/A"/>
    <x v="1"/>
  </r>
  <r>
    <x v="202"/>
    <n v="5"/>
    <x v="17"/>
    <x v="0"/>
    <s v="Powercharts, Anpassungen"/>
    <m/>
    <s v="Kleinfeldt, Heil"/>
    <m/>
    <e v="#N/A"/>
    <e v="#N/A"/>
    <e v="#N/A"/>
    <e v="#N/A"/>
    <x v="1"/>
  </r>
  <r>
    <x v="203"/>
    <n v="4"/>
    <x v="24"/>
    <x v="0"/>
    <s v="Passwortcracker Oberfläche + Setup"/>
    <m/>
    <s v="Horst"/>
    <m/>
    <e v="#N/A"/>
    <e v="#N/A"/>
    <e v="#N/A"/>
    <e v="#N/A"/>
    <x v="1"/>
  </r>
  <r>
    <x v="203"/>
    <n v="4.5"/>
    <x v="17"/>
    <x v="0"/>
    <s v="Besprechung, Powercharts, Anpassungen"/>
    <m/>
    <s v="Kleinfeldt, Heil"/>
    <m/>
    <e v="#N/A"/>
    <e v="#N/A"/>
    <e v="#N/A"/>
    <e v="#N/A"/>
    <x v="1"/>
  </r>
  <r>
    <x v="204"/>
    <n v="7"/>
    <x v="17"/>
    <x v="0"/>
    <s v="Powercharts, Anpassungen"/>
    <m/>
    <s v="Kleinfeldt, Heil"/>
    <m/>
    <e v="#N/A"/>
    <e v="#N/A"/>
    <e v="#N/A"/>
    <e v="#N/A"/>
    <x v="1"/>
  </r>
  <r>
    <x v="204"/>
    <n v="1.5"/>
    <x v="21"/>
    <x v="0"/>
    <s v="Mundiexport Anpassungen"/>
    <m/>
    <s v="Burger"/>
    <m/>
    <e v="#N/A"/>
    <e v="#N/A"/>
    <e v="#N/A"/>
    <e v="#N/A"/>
    <x v="1"/>
  </r>
  <r>
    <x v="205"/>
    <n v="2"/>
    <x v="17"/>
    <x v="0"/>
    <s v="Besprechung, Powercharts, Anpassungen"/>
    <m/>
    <s v="Kleinfeldt, Heil"/>
    <m/>
    <e v="#N/A"/>
    <e v="#N/A"/>
    <e v="#N/A"/>
    <e v="#N/A"/>
    <x v="1"/>
  </r>
  <r>
    <x v="205"/>
    <n v="6.5"/>
    <x v="17"/>
    <x v="0"/>
    <s v="XP Version"/>
    <m/>
    <s v="Kleinfeldt, Heil"/>
    <m/>
    <e v="#N/A"/>
    <e v="#N/A"/>
    <e v="#N/A"/>
    <e v="#N/A"/>
    <x v="1"/>
  </r>
  <r>
    <x v="206"/>
    <n v="6"/>
    <x v="17"/>
    <x v="0"/>
    <s v="XP Version"/>
    <m/>
    <s v="Kleinfeldt, Heil"/>
    <m/>
    <e v="#N/A"/>
    <e v="#N/A"/>
    <e v="#N/A"/>
    <e v="#N/A"/>
    <x v="1"/>
  </r>
  <r>
    <x v="206"/>
    <n v="2.5"/>
    <x v="22"/>
    <x v="0"/>
    <s v="BMS"/>
    <m/>
    <s v="Borchard"/>
    <m/>
    <e v="#N/A"/>
    <e v="#N/A"/>
    <e v="#N/A"/>
    <e v="#N/A"/>
    <x v="1"/>
  </r>
  <r>
    <x v="207"/>
    <n v="8.5"/>
    <x v="22"/>
    <x v="0"/>
    <s v="BMS Preloader und Postloader in VBScript implementiert"/>
    <m/>
    <s v="Borchard"/>
    <m/>
    <e v="#N/A"/>
    <e v="#N/A"/>
    <e v="#N/A"/>
    <e v="#N/A"/>
    <x v="1"/>
  </r>
  <r>
    <x v="208"/>
    <n v="7.5"/>
    <x v="22"/>
    <x v="0"/>
    <s v="Installation, Bugfixing OWB"/>
    <m/>
    <s v="Borchard"/>
    <m/>
    <e v="#N/A"/>
    <e v="#N/A"/>
    <e v="#N/A"/>
    <e v="#N/A"/>
    <x v="1"/>
  </r>
  <r>
    <x v="209"/>
    <n v="6"/>
    <x v="22"/>
    <x v="0"/>
    <s v="Mappings"/>
    <m/>
    <s v="Borchard"/>
    <m/>
    <e v="#N/A"/>
    <e v="#N/A"/>
    <e v="#N/A"/>
    <e v="#N/A"/>
    <x v="1"/>
  </r>
  <r>
    <x v="209"/>
    <n v="2"/>
    <x v="26"/>
    <x v="0"/>
    <s v="POS_SMEX, Datenbankdialog"/>
    <m/>
    <s v="Stadler, Forster"/>
    <m/>
    <e v="#N/A"/>
    <e v="#N/A"/>
    <e v="#N/A"/>
    <e v="#N/A"/>
    <x v="1"/>
  </r>
  <r>
    <x v="210"/>
    <n v="8.5"/>
    <x v="22"/>
    <x v="0"/>
    <s v="Mappings"/>
    <m/>
    <s v="Borchard"/>
    <m/>
    <e v="#N/A"/>
    <e v="#N/A"/>
    <e v="#N/A"/>
    <e v="#N/A"/>
    <x v="1"/>
  </r>
  <r>
    <x v="211"/>
    <n v="13"/>
    <x v="22"/>
    <x v="0"/>
    <s v="Meeting BMS München"/>
    <m/>
    <s v="Borchard"/>
    <m/>
    <e v="#N/A"/>
    <e v="#N/A"/>
    <e v="#N/A"/>
    <e v="#N/A"/>
    <x v="1"/>
  </r>
  <r>
    <x v="212"/>
    <n v="4.5"/>
    <x v="22"/>
    <x v="0"/>
    <s v="Mappings"/>
    <m/>
    <s v="Borchard"/>
    <m/>
    <e v="#N/A"/>
    <e v="#N/A"/>
    <e v="#N/A"/>
    <e v="#N/A"/>
    <x v="1"/>
  </r>
  <r>
    <x v="212"/>
    <n v="0.5"/>
    <x v="6"/>
    <x v="0"/>
    <s v="Setuperstelleung OTC bzw. Microcoaches (neue tags.ini)"/>
    <m/>
    <s v="Tuchel"/>
    <m/>
    <e v="#N/A"/>
    <e v="#N/A"/>
    <e v="#N/A"/>
    <e v="#N/A"/>
    <x v="1"/>
  </r>
  <r>
    <x v="213"/>
    <n v="1"/>
    <x v="17"/>
    <x v="0"/>
    <s v="Powercharts, Bugfixing Powercharts Gruppen"/>
    <m/>
    <s v="Kleinfeldt, Heil"/>
    <m/>
    <e v="#N/A"/>
    <e v="#N/A"/>
    <e v="#N/A"/>
    <e v="#N/A"/>
    <x v="1"/>
  </r>
  <r>
    <x v="213"/>
    <n v="5.5"/>
    <x v="22"/>
    <x v="0"/>
    <s v="Erstellung Datenmodell Staging"/>
    <m/>
    <s v="Borchard"/>
    <m/>
    <e v="#N/A"/>
    <e v="#N/A"/>
    <e v="#N/A"/>
    <e v="#N/A"/>
    <x v="1"/>
  </r>
  <r>
    <x v="214"/>
    <n v="8.5"/>
    <x v="22"/>
    <x v="0"/>
    <s v="Oracle Workflow Installation und Einrichtung"/>
    <m/>
    <s v="Borchard"/>
    <m/>
    <e v="#N/A"/>
    <e v="#N/A"/>
    <e v="#N/A"/>
    <e v="#N/A"/>
    <x v="1"/>
  </r>
  <r>
    <x v="215"/>
    <n v="8.5"/>
    <x v="22"/>
    <x v="0"/>
    <s v="BMS Meeting mit Erik und Ying"/>
    <m/>
    <s v="Borchard"/>
    <m/>
    <e v="#N/A"/>
    <e v="#N/A"/>
    <e v="#N/A"/>
    <e v="#N/A"/>
    <x v="1"/>
  </r>
  <r>
    <x v="216"/>
    <n v="8.5"/>
    <x v="22"/>
    <x v="0"/>
    <s v="BMS Meeting mit Erik und Ying"/>
    <m/>
    <s v="Borchard"/>
    <m/>
    <e v="#N/A"/>
    <e v="#N/A"/>
    <e v="#N/A"/>
    <e v="#N/A"/>
    <x v="1"/>
  </r>
  <r>
    <x v="217"/>
    <n v="8.5"/>
    <x v="22"/>
    <x v="0"/>
    <s v="ETL Package BMSDW_ETL"/>
    <m/>
    <s v="Borchard"/>
    <m/>
    <e v="#N/A"/>
    <e v="#N/A"/>
    <e v="#N/A"/>
    <e v="#N/A"/>
    <x v="1"/>
  </r>
  <r>
    <x v="218"/>
    <n v="7.5"/>
    <x v="22"/>
    <x v="0"/>
    <s v="ETL Package BMSDW_ETL"/>
    <m/>
    <s v="Borchard"/>
    <m/>
    <e v="#N/A"/>
    <e v="#N/A"/>
    <e v="#N/A"/>
    <e v="#N/A"/>
    <x v="1"/>
  </r>
  <r>
    <x v="219"/>
    <n v="8.5"/>
    <x v="22"/>
    <x v="0"/>
    <s v="Ausführen von Mappings aus PL/SQL Call bei Oracle nötig"/>
    <m/>
    <s v="Borchard"/>
    <m/>
    <e v="#N/A"/>
    <e v="#N/A"/>
    <e v="#N/A"/>
    <e v="#N/A"/>
    <x v="1"/>
  </r>
  <r>
    <x v="220"/>
    <n v="8"/>
    <x v="22"/>
    <x v="0"/>
    <s v="Anpassung DB Design Staging und Erstellung 6 Mappings auf 22 Tabellen"/>
    <m/>
    <s v="Borchard"/>
    <m/>
    <e v="#N/A"/>
    <e v="#N/A"/>
    <e v="#N/A"/>
    <e v="#N/A"/>
    <x v="1"/>
  </r>
  <r>
    <x v="221"/>
    <n v="12"/>
    <x v="22"/>
    <x v="0"/>
    <s v="load process Load STG + CDB"/>
    <m/>
    <s v="Borchard"/>
    <m/>
    <e v="#N/A"/>
    <e v="#N/A"/>
    <e v="#N/A"/>
    <e v="#N/A"/>
    <x v="1"/>
  </r>
  <r>
    <x v="222"/>
    <n v="10"/>
    <x v="22"/>
    <x v="0"/>
    <s v="load process Load STG + CDB"/>
    <m/>
    <s v="Borchard"/>
    <m/>
    <e v="#N/A"/>
    <e v="#N/A"/>
    <e v="#N/A"/>
    <e v="#N/A"/>
    <x v="1"/>
  </r>
  <r>
    <x v="223"/>
    <n v="10"/>
    <x v="22"/>
    <x v="0"/>
    <s v="load process Load STG + CDB"/>
    <m/>
    <s v="Borchard"/>
    <m/>
    <e v="#N/A"/>
    <e v="#N/A"/>
    <e v="#N/A"/>
    <e v="#N/A"/>
    <x v="1"/>
  </r>
  <r>
    <x v="224"/>
    <n v="12"/>
    <x v="22"/>
    <x v="0"/>
    <s v="load process Load STG + CDB"/>
    <m/>
    <s v="Borchard"/>
    <m/>
    <e v="#N/A"/>
    <e v="#N/A"/>
    <e v="#N/A"/>
    <e v="#N/A"/>
    <x v="1"/>
  </r>
  <r>
    <x v="225"/>
    <n v="2"/>
    <x v="24"/>
    <x v="0"/>
    <s v="Passwortcracker Anpassung"/>
    <m/>
    <s v="Beschorner"/>
    <m/>
    <e v="#N/A"/>
    <e v="#N/A"/>
    <e v="#N/A"/>
    <e v="#N/A"/>
    <x v="1"/>
  </r>
  <r>
    <x v="225"/>
    <n v="4.5"/>
    <x v="4"/>
    <x v="0"/>
    <s v="Adresscheck XML Problem"/>
    <m/>
    <s v="Hornbruch"/>
    <m/>
    <e v="#N/A"/>
    <e v="#N/A"/>
    <e v="#N/A"/>
    <e v="#N/A"/>
    <x v="1"/>
  </r>
  <r>
    <x v="226"/>
    <n v="13"/>
    <x v="22"/>
    <x v="0"/>
    <s v="Besprechung in München Workflow"/>
    <m/>
    <s v="Borchard"/>
    <m/>
    <e v="#N/A"/>
    <e v="#N/A"/>
    <e v="#N/A"/>
    <e v="#N/A"/>
    <x v="1"/>
  </r>
  <r>
    <x v="227"/>
    <n v="2"/>
    <x v="4"/>
    <x v="0"/>
    <s v="Adresscheck XML Problem"/>
    <m/>
    <s v="Hornbruch"/>
    <m/>
    <e v="#N/A"/>
    <e v="#N/A"/>
    <e v="#N/A"/>
    <e v="#N/A"/>
    <x v="1"/>
  </r>
  <r>
    <x v="227"/>
    <n v="6"/>
    <x v="17"/>
    <x v="0"/>
    <s v="Powercharts"/>
    <m/>
    <s v="Forster, Heil"/>
    <m/>
    <e v="#N/A"/>
    <e v="#N/A"/>
    <e v="#N/A"/>
    <e v="#N/A"/>
    <x v="1"/>
  </r>
  <r>
    <x v="228"/>
    <n v="5.5"/>
    <x v="22"/>
    <x v="0"/>
    <s v="Anpassung Server Frankfurt an Umgebung München"/>
    <m/>
    <s v="Borchard"/>
    <m/>
    <e v="#N/A"/>
    <e v="#N/A"/>
    <e v="#N/A"/>
    <e v="#N/A"/>
    <x v="1"/>
  </r>
  <r>
    <x v="229"/>
    <n v="7.5"/>
    <x v="22"/>
    <x v="0"/>
    <s v="Processflow Design"/>
    <m/>
    <s v="Borchard"/>
    <m/>
    <e v="#N/A"/>
    <e v="#N/A"/>
    <e v="#N/A"/>
    <e v="#N/A"/>
    <x v="1"/>
  </r>
  <r>
    <x v="230"/>
    <n v="7.5"/>
    <x v="22"/>
    <x v="0"/>
    <s v="Load und Processflow Konzept loaddesign.doc"/>
    <m/>
    <s v="Borchard"/>
    <m/>
    <e v="#N/A"/>
    <e v="#N/A"/>
    <e v="#N/A"/>
    <e v="#N/A"/>
    <x v="1"/>
  </r>
  <r>
    <x v="231"/>
    <n v="12"/>
    <x v="22"/>
    <x v="0"/>
    <s v="München Besprechung Load Exception handling Wiederaufsetzbarkeit"/>
    <m/>
    <s v="Borchard"/>
    <m/>
    <e v="#N/A"/>
    <e v="#N/A"/>
    <e v="#N/A"/>
    <e v="#N/A"/>
    <x v="1"/>
  </r>
  <r>
    <x v="232"/>
    <n v="3"/>
    <x v="22"/>
    <x v="0"/>
    <s v="Anpassung Load und Processflowkonzept"/>
    <m/>
    <s v="Borchard"/>
    <m/>
    <e v="#N/A"/>
    <e v="#N/A"/>
    <e v="#N/A"/>
    <e v="#N/A"/>
    <x v="1"/>
  </r>
  <r>
    <x v="232"/>
    <n v="2.5"/>
    <x v="26"/>
    <x v="0"/>
    <s v="POS_SMEX"/>
    <m/>
    <s v="Stadler, Kretschmer"/>
    <m/>
    <e v="#N/A"/>
    <e v="#N/A"/>
    <e v="#N/A"/>
    <e v="#N/A"/>
    <x v="1"/>
  </r>
  <r>
    <x v="233"/>
    <n v="4"/>
    <x v="26"/>
    <x v="0"/>
    <s v="POS_SMEX"/>
    <m/>
    <s v="Stadler, Kretschmer"/>
    <m/>
    <e v="#N/A"/>
    <e v="#N/A"/>
    <e v="#N/A"/>
    <e v="#N/A"/>
    <x v="1"/>
  </r>
  <r>
    <x v="233"/>
    <n v="1"/>
    <x v="17"/>
    <x v="0"/>
    <s v="Powercharts, Besprechung wählbare Measures SM/VO-Entwicklung"/>
    <m/>
    <s v="Forster, Heil"/>
    <m/>
    <e v="#N/A"/>
    <e v="#N/A"/>
    <e v="#N/A"/>
    <e v="#N/A"/>
    <x v="1"/>
  </r>
  <r>
    <x v="233"/>
    <n v="2.5"/>
    <x v="22"/>
    <x v="0"/>
    <s v="Prototyp Mappingwrapper, Logfunktionen"/>
    <m/>
    <s v="Borchard"/>
    <m/>
    <e v="#N/A"/>
    <e v="#N/A"/>
    <e v="#N/A"/>
    <e v="#N/A"/>
    <x v="1"/>
  </r>
  <r>
    <x v="234"/>
    <n v="7.5"/>
    <x v="22"/>
    <x v="0"/>
    <s v="Prototyp Mappingwrapper, Logfunktionen"/>
    <m/>
    <s v="Borchard"/>
    <m/>
    <e v="#N/A"/>
    <e v="#N/A"/>
    <e v="#N/A"/>
    <e v="#N/A"/>
    <x v="1"/>
  </r>
  <r>
    <x v="235"/>
    <n v="5.5"/>
    <x v="22"/>
    <x v="0"/>
    <s v="Anpassung runLoad an neues Loaddesign"/>
    <m/>
    <s v="Borchard"/>
    <m/>
    <e v="#N/A"/>
    <e v="#N/A"/>
    <e v="#N/A"/>
    <e v="#N/A"/>
    <x v="1"/>
  </r>
  <r>
    <x v="235"/>
    <n v="3"/>
    <x v="17"/>
    <x v="0"/>
    <s v="Anpassung SM/VO Chart Measures hinzugefügt"/>
    <m/>
    <s v="Kleinfeldt, Heil"/>
    <m/>
    <e v="#N/A"/>
    <e v="#N/A"/>
    <e v="#N/A"/>
    <e v="#N/A"/>
    <x v="1"/>
  </r>
  <r>
    <x v="236"/>
    <n v="3.5"/>
    <x v="17"/>
    <x v="0"/>
    <s v="Anpassung SM/VO Chart Measureauswahl hinzugefügt"/>
    <m/>
    <s v="Kleinfeldt, Heil"/>
    <m/>
    <e v="#N/A"/>
    <e v="#N/A"/>
    <e v="#N/A"/>
    <e v="#N/A"/>
    <x v="1"/>
  </r>
  <r>
    <x v="236"/>
    <n v="3"/>
    <x v="17"/>
    <x v="0"/>
    <s v="Anpassung Batchlauf: Abbruch Folie unterbricht Durchlauf nicht mehr"/>
    <m/>
    <s v="Kleinfeldt, Heil"/>
    <m/>
    <e v="#N/A"/>
    <e v="#N/A"/>
    <e v="#N/A"/>
    <e v="#N/A"/>
    <x v="1"/>
  </r>
  <r>
    <x v="237"/>
    <n v="2"/>
    <x v="6"/>
    <x v="0"/>
    <s v="MDX-Erstellung"/>
    <m/>
    <s v="Forster"/>
    <m/>
    <e v="#N/A"/>
    <e v="#N/A"/>
    <e v="#N/A"/>
    <e v="#N/A"/>
    <x v="1"/>
  </r>
  <r>
    <x v="237"/>
    <n v="5.5"/>
    <x v="22"/>
    <x v="0"/>
    <s v="Evaluierung Flashbackqueries für Wiederaufsetzbarkeit"/>
    <m/>
    <s v="Borchard"/>
    <m/>
    <e v="#N/A"/>
    <e v="#N/A"/>
    <e v="#N/A"/>
    <e v="#N/A"/>
    <x v="1"/>
  </r>
  <r>
    <x v="238"/>
    <n v="12"/>
    <x v="22"/>
    <x v="0"/>
    <s v="Einrichtung runLoad in München, Absprache"/>
    <m/>
    <s v="Borchard"/>
    <m/>
    <e v="#N/A"/>
    <e v="#N/A"/>
    <e v="#N/A"/>
    <e v="#N/A"/>
    <x v="1"/>
  </r>
  <r>
    <x v="239"/>
    <n v="2.5"/>
    <x v="17"/>
    <x v="0"/>
    <s v="Anpassung Batchlauf"/>
    <m/>
    <s v="Kleinfeldt, Heil"/>
    <m/>
    <e v="#N/A"/>
    <e v="#N/A"/>
    <e v="#N/A"/>
    <e v="#N/A"/>
    <x v="1"/>
  </r>
  <r>
    <x v="239"/>
    <n v="2"/>
    <x v="6"/>
    <x v="0"/>
    <s v="Troubleshooting auf Testrechner: Error &quot;Unable to retrieve children: Member with the UniqueName not found"/>
    <m/>
    <s v="Borchard"/>
    <m/>
    <e v="#N/A"/>
    <e v="#N/A"/>
    <e v="#N/A"/>
    <e v="#N/A"/>
    <x v="1"/>
  </r>
  <r>
    <x v="239"/>
    <n v="2"/>
    <x v="7"/>
    <x v="0"/>
    <s v="Troubleshooting auf Testrechner: Error &quot;Unable to retrieve children: Member with the UniqueName not found"/>
    <m/>
    <s v="Borchard"/>
    <m/>
    <e v="#N/A"/>
    <e v="#N/A"/>
    <e v="#N/A"/>
    <e v="#N/A"/>
    <x v="1"/>
  </r>
  <r>
    <x v="240"/>
    <n v="11"/>
    <x v="22"/>
    <x v="0"/>
    <s v="München: Besprechung weitere Vorgehensweise, Anpassung Laderoutine"/>
    <m/>
    <s v="Borchard"/>
    <m/>
    <e v="#N/A"/>
    <e v="#N/A"/>
    <e v="#N/A"/>
    <e v="#N/A"/>
    <x v="1"/>
  </r>
  <r>
    <x v="241"/>
    <n v="11"/>
    <x v="22"/>
    <x v="0"/>
    <s v="München: Anpassung Laderoutine, data_error folder + Wiederaufsetzbarkeit"/>
    <m/>
    <s v="Borchard"/>
    <m/>
    <e v="#N/A"/>
    <e v="#N/A"/>
    <e v="#N/A"/>
    <e v="#N/A"/>
    <x v="1"/>
  </r>
  <r>
    <x v="242"/>
    <n v="7.5"/>
    <x v="27"/>
    <x v="0"/>
    <s v="Prodcopy Ausgabe Statistik"/>
    <m/>
    <s v="Hornbruch"/>
    <m/>
    <e v="#N/A"/>
    <e v="#N/A"/>
    <e v="#N/A"/>
    <e v="#N/A"/>
    <x v="1"/>
  </r>
  <r>
    <x v="243"/>
    <n v="1"/>
    <x v="22"/>
    <x v="0"/>
    <s v="Besprechung: Aktueller Stand"/>
    <m/>
    <s v="Borchard"/>
    <m/>
    <e v="#N/A"/>
    <e v="#N/A"/>
    <e v="#N/A"/>
    <e v="#N/A"/>
    <x v="1"/>
  </r>
  <r>
    <x v="243"/>
    <n v="1.5"/>
    <x v="7"/>
    <x v="0"/>
    <s v="Funktion fullName"/>
    <m/>
    <s v="Holzmeier"/>
    <m/>
    <e v="#N/A"/>
    <e v="#N/A"/>
    <e v="#N/A"/>
    <e v="#N/A"/>
    <x v="1"/>
  </r>
  <r>
    <x v="243"/>
    <n v="2"/>
    <x v="17"/>
    <x v="0"/>
    <s v="Troubleshooting Powercharts"/>
    <m/>
    <s v="Kleinfeldt, Heil"/>
    <m/>
    <e v="#N/A"/>
    <e v="#N/A"/>
    <e v="#N/A"/>
    <e v="#N/A"/>
    <x v="1"/>
  </r>
  <r>
    <x v="243"/>
    <n v="2"/>
    <x v="27"/>
    <x v="0"/>
    <s v="Prodcopy Ausgabe Statistik"/>
    <m/>
    <s v="Hornbruch"/>
    <m/>
    <e v="#N/A"/>
    <e v="#N/A"/>
    <e v="#N/A"/>
    <e v="#N/A"/>
    <x v="1"/>
  </r>
  <r>
    <x v="244"/>
    <n v="7.5"/>
    <x v="22"/>
    <x v="0"/>
    <s v=" Test Installation in Frankfurt"/>
    <m/>
    <s v="Borchard"/>
    <m/>
    <e v="#N/A"/>
    <e v="#N/A"/>
    <e v="#N/A"/>
    <e v="#N/A"/>
    <x v="1"/>
  </r>
  <r>
    <x v="245"/>
    <n v="2"/>
    <x v="26"/>
    <x v="0"/>
    <s v="Pos-coach Sortierungsproblem, Setuperstellung"/>
    <m/>
    <s v="Tuchel"/>
    <m/>
    <e v="#N/A"/>
    <e v="#N/A"/>
    <e v="#N/A"/>
    <e v="#N/A"/>
    <x v="1"/>
  </r>
  <r>
    <x v="245"/>
    <n v="6.5"/>
    <x v="22"/>
    <x v="0"/>
    <s v=" Test Installation in Frankfurt, Dokumentation"/>
    <m/>
    <s v="Borchard"/>
    <m/>
    <e v="#N/A"/>
    <e v="#N/A"/>
    <e v="#N/A"/>
    <e v="#N/A"/>
    <x v="1"/>
  </r>
  <r>
    <x v="246"/>
    <n v="8.5"/>
    <x v="26"/>
    <x v="0"/>
    <s v="POS_SMEX variable Inputfiles"/>
    <m/>
    <s v="Stadler, Tuchel"/>
    <m/>
    <e v="#N/A"/>
    <e v="#N/A"/>
    <e v="#N/A"/>
    <e v="#N/A"/>
    <x v="1"/>
  </r>
  <r>
    <x v="247"/>
    <n v="6"/>
    <x v="26"/>
    <x v="0"/>
    <s v="POS_SMEX  variable Inputfiles"/>
    <m/>
    <s v="Stadler, Tuchel"/>
    <m/>
    <e v="#N/A"/>
    <e v="#N/A"/>
    <e v="#N/A"/>
    <e v="#N/A"/>
    <x v="1"/>
  </r>
  <r>
    <x v="248"/>
    <n v="2"/>
    <x v="26"/>
    <x v="0"/>
    <s v="POS_SMEX Datenbankerstellung"/>
    <m/>
    <s v="Stadler"/>
    <m/>
    <e v="#N/A"/>
    <e v="#N/A"/>
    <e v="#N/A"/>
    <e v="#N/A"/>
    <x v="1"/>
  </r>
  <r>
    <x v="248"/>
    <n v="6.5"/>
    <x v="22"/>
    <x v="0"/>
    <s v="Laden von Laufwerk M:\ Anpassung Doku"/>
    <m/>
    <s v="Borchard"/>
    <m/>
    <e v="#N/A"/>
    <e v="#N/A"/>
    <e v="#N/A"/>
    <e v="#N/A"/>
    <x v="1"/>
  </r>
  <r>
    <x v="249"/>
    <n v="7.5"/>
    <x v="20"/>
    <x v="0"/>
    <s v="OTCGMS"/>
    <m/>
    <s v="Spiegel"/>
    <m/>
    <e v="#N/A"/>
    <e v="#N/A"/>
    <e v="#N/A"/>
    <e v="#N/A"/>
    <x v="1"/>
  </r>
  <r>
    <x v="250"/>
    <n v="6"/>
    <x v="20"/>
    <x v="0"/>
    <s v="OTCGMS"/>
    <m/>
    <s v="Spiegel"/>
    <m/>
    <e v="#N/A"/>
    <e v="#N/A"/>
    <e v="#N/A"/>
    <e v="#N/A"/>
    <x v="1"/>
  </r>
  <r>
    <x v="251"/>
    <n v="6.5"/>
    <x v="20"/>
    <x v="0"/>
    <s v="OTCGMS"/>
    <m/>
    <s v="Spiegel"/>
    <m/>
    <e v="#N/A"/>
    <e v="#N/A"/>
    <e v="#N/A"/>
    <e v="#N/A"/>
    <x v="1"/>
  </r>
  <r>
    <x v="251"/>
    <n v="0.5"/>
    <x v="7"/>
    <x v="0"/>
    <s v="Unterstützung VBA Programmierung"/>
    <m/>
    <s v="Holzmeier"/>
    <m/>
    <e v="#N/A"/>
    <e v="#N/A"/>
    <e v="#N/A"/>
    <e v="#N/A"/>
    <x v="1"/>
  </r>
  <r>
    <x v="252"/>
    <n v="11"/>
    <x v="22"/>
    <x v="0"/>
    <s v=" Besprechung weitere Vorgehensweise München"/>
    <m/>
    <s v="Borchard"/>
    <m/>
    <e v="#N/A"/>
    <e v="#N/A"/>
    <e v="#N/A"/>
    <e v="#N/A"/>
    <x v="1"/>
  </r>
  <r>
    <x v="253"/>
    <n v="7"/>
    <x v="22"/>
    <x v="0"/>
    <s v=" Besprechung Übergabe Entw, test, produktion München"/>
    <m/>
    <s v="Borchard"/>
    <m/>
    <e v="#N/A"/>
    <e v="#N/A"/>
    <e v="#N/A"/>
    <e v="#N/A"/>
    <x v="1"/>
  </r>
  <r>
    <x v="254"/>
    <n v="6"/>
    <x v="22"/>
    <x v="0"/>
    <s v="Automatisierung Übergabe von Entw zu Test zu Prod"/>
    <m/>
    <s v="Borchard"/>
    <m/>
    <e v="#N/A"/>
    <e v="#N/A"/>
    <e v="#N/A"/>
    <e v="#N/A"/>
    <x v="1"/>
  </r>
  <r>
    <x v="255"/>
    <n v="7"/>
    <x v="22"/>
    <x v="0"/>
    <s v="Automatisierung Übergabe von Entw zu Test zu Prod"/>
    <m/>
    <s v="Borchard"/>
    <m/>
    <e v="#N/A"/>
    <e v="#N/A"/>
    <e v="#N/A"/>
    <e v="#N/A"/>
    <x v="1"/>
  </r>
  <r>
    <x v="256"/>
    <n v="7"/>
    <x v="22"/>
    <x v="0"/>
    <s v="Automatisierung Übergabe von Entw zu Test zu Prod"/>
    <m/>
    <s v="Borchard"/>
    <m/>
    <e v="#N/A"/>
    <e v="#N/A"/>
    <e v="#N/A"/>
    <e v="#N/A"/>
    <x v="1"/>
  </r>
  <r>
    <x v="257"/>
    <n v="7.5"/>
    <x v="22"/>
    <x v="0"/>
    <s v="Automatisierung Übergabe von Entw zu Test zu Prod"/>
    <m/>
    <s v="Borchard"/>
    <m/>
    <e v="#N/A"/>
    <e v="#N/A"/>
    <e v="#N/A"/>
    <e v="#N/A"/>
    <x v="1"/>
  </r>
  <r>
    <x v="258"/>
    <n v="8"/>
    <x v="22"/>
    <x v="0"/>
    <s v="Automatisierung Übergabe von Entw zu Test zu Prod"/>
    <m/>
    <s v="Borchard"/>
    <m/>
    <e v="#N/A"/>
    <e v="#N/A"/>
    <e v="#N/A"/>
    <e v="#N/A"/>
    <x v="1"/>
  </r>
  <r>
    <x v="259"/>
    <n v="5.5"/>
    <x v="22"/>
    <x v="0"/>
    <s v="Automatisierung Übergabe von Entw zu Test zu Prod"/>
    <m/>
    <s v="Borchard"/>
    <m/>
    <e v="#N/A"/>
    <e v="#N/A"/>
    <e v="#N/A"/>
    <e v="#N/A"/>
    <x v="1"/>
  </r>
  <r>
    <x v="260"/>
    <n v="6"/>
    <x v="28"/>
    <x v="0"/>
    <s v="Schering Zyklus Einrichtung bei Ying"/>
    <m/>
    <s v="Borchard"/>
    <m/>
    <e v="#N/A"/>
    <e v="#N/A"/>
    <e v="#N/A"/>
    <e v="#N/A"/>
    <x v="1"/>
  </r>
  <r>
    <x v="260"/>
    <n v="1"/>
    <x v="22"/>
    <x v="0"/>
    <s v="Automatisierung Übergabe von Entw zu Test zu Prod"/>
    <m/>
    <s v="Borchard"/>
    <m/>
    <e v="#N/A"/>
    <e v="#N/A"/>
    <e v="#N/A"/>
    <e v="#N/A"/>
    <x v="1"/>
  </r>
  <r>
    <x v="261"/>
    <n v="12"/>
    <x v="22"/>
    <x v="0"/>
    <s v="München: Test und Implementierung Übergabe von Entw zu Test zu Prod"/>
    <m/>
    <s v="Borchard"/>
    <m/>
    <e v="#N/A"/>
    <e v="#N/A"/>
    <e v="#N/A"/>
    <e v="#N/A"/>
    <x v="1"/>
  </r>
  <r>
    <x v="262"/>
    <n v="12"/>
    <x v="22"/>
    <x v="0"/>
    <s v="München: Test und Implementierung Übergabe von Entw zu Test zu Prod"/>
    <m/>
    <s v="Borchard"/>
    <m/>
    <e v="#N/A"/>
    <e v="#N/A"/>
    <e v="#N/A"/>
    <e v="#N/A"/>
    <x v="1"/>
  </r>
  <r>
    <x v="263"/>
    <n v="5"/>
    <x v="20"/>
    <x v="0"/>
    <s v="OTCGMS"/>
    <m/>
    <s v="Spiegel"/>
    <m/>
    <e v="#N/A"/>
    <e v="#N/A"/>
    <e v="#N/A"/>
    <e v="#N/A"/>
    <x v="1"/>
  </r>
  <r>
    <x v="264"/>
    <n v="12"/>
    <x v="22"/>
    <x v="0"/>
    <s v="München: Besprechung + OWBTransfer"/>
    <m/>
    <s v="Borchard"/>
    <m/>
    <e v="#N/A"/>
    <e v="#N/A"/>
    <e v="#N/A"/>
    <e v="#N/A"/>
    <x v="2"/>
  </r>
  <r>
    <x v="265"/>
    <n v="12"/>
    <x v="22"/>
    <x v="0"/>
    <s v="Fertigstellung OWBTransfer"/>
    <m/>
    <s v="Borchard"/>
    <m/>
    <e v="#N/A"/>
    <e v="#N/A"/>
    <e v="#N/A"/>
    <e v="#N/A"/>
    <x v="2"/>
  </r>
  <r>
    <x v="266"/>
    <n v="1"/>
    <x v="7"/>
    <x v="0"/>
    <s v="Freischaltung Benutzeraccount"/>
    <m/>
    <s v="Borchard"/>
    <m/>
    <e v="#N/A"/>
    <e v="#N/A"/>
    <e v="#N/A"/>
    <e v="#N/A"/>
    <x v="2"/>
  </r>
  <r>
    <x v="266"/>
    <n v="1"/>
    <x v="6"/>
    <x v="0"/>
    <s v="Freischaltung Benutzeraccount"/>
    <m/>
    <s v="Forster"/>
    <m/>
    <e v="#N/A"/>
    <e v="#N/A"/>
    <e v="#N/A"/>
    <e v="#N/A"/>
    <x v="2"/>
  </r>
  <r>
    <x v="266"/>
    <n v="5.5"/>
    <x v="20"/>
    <x v="0"/>
    <s v="OTCGMS"/>
    <m/>
    <s v="Spiegel"/>
    <m/>
    <e v="#N/A"/>
    <e v="#N/A"/>
    <e v="#N/A"/>
    <e v="#N/A"/>
    <x v="2"/>
  </r>
  <r>
    <x v="267"/>
    <n v="7.5"/>
    <x v="20"/>
    <x v="0"/>
    <s v="OTCGMS"/>
    <m/>
    <s v="Spiegel"/>
    <m/>
    <e v="#N/A"/>
    <e v="#N/A"/>
    <e v="#N/A"/>
    <e v="#N/A"/>
    <x v="2"/>
  </r>
  <r>
    <x v="268"/>
    <n v="7.5"/>
    <x v="20"/>
    <x v="0"/>
    <s v="OTCGMS"/>
    <m/>
    <s v="Spiegel"/>
    <m/>
    <e v="#N/A"/>
    <e v="#N/A"/>
    <e v="#N/A"/>
    <e v="#N/A"/>
    <x v="2"/>
  </r>
  <r>
    <x v="269"/>
    <n v="4.5"/>
    <x v="20"/>
    <x v="0"/>
    <s v="OTCGMS"/>
    <m/>
    <s v="Spiegel"/>
    <m/>
    <e v="#N/A"/>
    <e v="#N/A"/>
    <e v="#N/A"/>
    <e v="#N/A"/>
    <x v="2"/>
  </r>
  <r>
    <x v="269"/>
    <n v="3"/>
    <x v="2"/>
    <x v="0"/>
    <s v="SA Export Variante: F 255 Gebiets Beschränkung aufgehoben"/>
    <m/>
    <s v="Runkel"/>
    <m/>
    <e v="#N/A"/>
    <e v="#N/A"/>
    <e v="#N/A"/>
    <e v="#N/A"/>
    <x v="2"/>
  </r>
  <r>
    <x v="270"/>
    <n v="8.5"/>
    <x v="17"/>
    <x v="0"/>
    <s v="Powercharts Anpassung Datenbankänderung für bestehenden Bericht"/>
    <m/>
    <s v="Kleinfeldt, Heil"/>
    <m/>
    <e v="#N/A"/>
    <e v="#N/A"/>
    <e v="#N/A"/>
    <e v="#N/A"/>
    <x v="2"/>
  </r>
  <r>
    <x v="271"/>
    <n v="7.5"/>
    <x v="17"/>
    <x v="0"/>
    <s v="Powercharts: neue Varianten"/>
    <m/>
    <s v="Spiegel"/>
    <m/>
    <e v="#N/A"/>
    <e v="#N/A"/>
    <e v="#N/A"/>
    <e v="#N/A"/>
    <x v="2"/>
  </r>
  <r>
    <x v="272"/>
    <n v="7.5"/>
    <x v="17"/>
    <x v="0"/>
    <s v="Powercharts Anpassung Datenbankänderung für bestehenden Bericht"/>
    <m/>
    <s v="Kleinfeldt, Heil"/>
    <m/>
    <e v="#N/A"/>
    <e v="#N/A"/>
    <e v="#N/A"/>
    <e v="#N/A"/>
    <x v="2"/>
  </r>
  <r>
    <x v="273"/>
    <n v="12"/>
    <x v="22"/>
    <x v="0"/>
    <s v="Anpassungen OWBTransfer"/>
    <m/>
    <s v="Borchard"/>
    <m/>
    <e v="#N/A"/>
    <e v="#N/A"/>
    <e v="#N/A"/>
    <e v="#N/A"/>
    <x v="2"/>
  </r>
  <r>
    <x v="274"/>
    <n v="6.5"/>
    <x v="17"/>
    <x v="0"/>
    <s v="Datenkompbilitätsprüfung bei Änderung der Datenbank"/>
    <m/>
    <s v="Kleinfeldt, Heil"/>
    <m/>
    <e v="#N/A"/>
    <e v="#N/A"/>
    <e v="#N/A"/>
    <e v="#N/A"/>
    <x v="2"/>
  </r>
  <r>
    <x v="275"/>
    <n v="14"/>
    <x v="22"/>
    <x v="0"/>
    <s v="Berechtigungen Produktionsserver, OWBTransfer"/>
    <m/>
    <s v="Borchard"/>
    <m/>
    <e v="#N/A"/>
    <e v="#N/A"/>
    <e v="#N/A"/>
    <e v="#N/A"/>
    <x v="2"/>
  </r>
  <r>
    <x v="276"/>
    <n v="11"/>
    <x v="22"/>
    <x v="0"/>
    <s v="Qualitätscheck"/>
    <m/>
    <s v="Borchard"/>
    <m/>
    <e v="#N/A"/>
    <e v="#N/A"/>
    <e v="#N/A"/>
    <e v="#N/A"/>
    <x v="2"/>
  </r>
  <r>
    <x v="277"/>
    <n v="7.5"/>
    <x v="17"/>
    <x v="0"/>
    <s v="Powercharts: neue Varianten"/>
    <m/>
    <s v="Spiegel"/>
    <m/>
    <e v="#N/A"/>
    <e v="#N/A"/>
    <e v="#N/A"/>
    <e v="#N/A"/>
    <x v="2"/>
  </r>
  <r>
    <x v="278"/>
    <n v="12"/>
    <x v="22"/>
    <x v="0"/>
    <s v="Qualitätscheck, OWBTransfer, Umstellung 114 auf 140 "/>
    <m/>
    <s v="Borchard"/>
    <m/>
    <e v="#N/A"/>
    <e v="#N/A"/>
    <e v="#N/A"/>
    <e v="#N/A"/>
    <x v="2"/>
  </r>
  <r>
    <x v="279"/>
    <n v="11"/>
    <x v="22"/>
    <x v="0"/>
    <s v="Qualitätscheck, OWBTransfer, Umstellung 114 auf 140, Dokumentation"/>
    <m/>
    <s v="Borchard"/>
    <m/>
    <e v="#N/A"/>
    <e v="#N/A"/>
    <e v="#N/A"/>
    <e v="#N/A"/>
    <x v="2"/>
  </r>
  <r>
    <x v="280"/>
    <n v="2"/>
    <x v="22"/>
    <x v="0"/>
    <s v="Umstellung 114 auf 140"/>
    <m/>
    <s v="Borchard"/>
    <m/>
    <e v="#N/A"/>
    <e v="#N/A"/>
    <e v="#N/A"/>
    <e v="#N/A"/>
    <x v="2"/>
  </r>
  <r>
    <x v="280"/>
    <n v="5.5"/>
    <x v="17"/>
    <x v="0"/>
    <s v="Powercharts: neue Varianten"/>
    <m/>
    <s v="Spiegel"/>
    <m/>
    <e v="#N/A"/>
    <e v="#N/A"/>
    <e v="#N/A"/>
    <e v="#N/A"/>
    <x v="2"/>
  </r>
  <r>
    <x v="281"/>
    <n v="12"/>
    <x v="22"/>
    <x v="0"/>
    <s v="Quality Assurance Control"/>
    <m/>
    <s v="Borchard"/>
    <m/>
    <e v="#N/A"/>
    <e v="#N/A"/>
    <e v="#N/A"/>
    <e v="#N/A"/>
    <x v="2"/>
  </r>
  <r>
    <x v="282"/>
    <n v="12"/>
    <x v="22"/>
    <x v="0"/>
    <s v="Quality Assurance Control"/>
    <m/>
    <s v="Borchard"/>
    <m/>
    <e v="#N/A"/>
    <e v="#N/A"/>
    <e v="#N/A"/>
    <e v="#N/A"/>
    <x v="2"/>
  </r>
  <r>
    <x v="283"/>
    <n v="7.5"/>
    <x v="17"/>
    <x v="0"/>
    <s v="Powercharts: neue Varianten"/>
    <m/>
    <s v="Spiegel"/>
    <m/>
    <e v="#N/A"/>
    <e v="#N/A"/>
    <e v="#N/A"/>
    <e v="#N/A"/>
    <x v="2"/>
  </r>
  <r>
    <x v="284"/>
    <n v="13"/>
    <x v="22"/>
    <x v="0"/>
    <s v="München: Übergabe, Processflow als Batch, Gruppierung von qualitychecks, Ingoing qualitychecks"/>
    <m/>
    <s v="Borchard"/>
    <m/>
    <e v="#N/A"/>
    <e v="#N/A"/>
    <e v="#N/A"/>
    <e v="#N/A"/>
    <x v="2"/>
  </r>
  <r>
    <x v="285"/>
    <n v="9"/>
    <x v="22"/>
    <x v="0"/>
    <s v="München: parallelProduction"/>
    <m/>
    <s v="Borchard"/>
    <m/>
    <e v="#N/A"/>
    <e v="#N/A"/>
    <e v="#N/A"/>
    <e v="#N/A"/>
    <x v="2"/>
  </r>
  <r>
    <x v="286"/>
    <n v="6.5"/>
    <x v="17"/>
    <x v="0"/>
    <s v="Powercharts: neue Varianten"/>
    <m/>
    <s v="Spiegel"/>
    <m/>
    <e v="#N/A"/>
    <e v="#N/A"/>
    <e v="#N/A"/>
    <e v="#N/A"/>
    <x v="2"/>
  </r>
  <r>
    <x v="287"/>
    <n v="13"/>
    <x v="22"/>
    <x v="0"/>
    <s v="München: Troubleshooting Mappings"/>
    <m/>
    <s v="Borchard"/>
    <m/>
    <e v="#N/A"/>
    <e v="#N/A"/>
    <e v="#N/A"/>
    <e v="#N/A"/>
    <x v="2"/>
  </r>
  <r>
    <x v="288"/>
    <n v="12"/>
    <x v="22"/>
    <x v="0"/>
    <s v="München: parallelProduction"/>
    <m/>
    <s v="Borchard"/>
    <m/>
    <e v="#N/A"/>
    <e v="#N/A"/>
    <e v="#N/A"/>
    <e v="#N/A"/>
    <x v="2"/>
  </r>
  <r>
    <x v="289"/>
    <n v="2"/>
    <x v="22"/>
    <x v="0"/>
    <s v="München: parallelProduction Doku"/>
    <m/>
    <s v="Borchard"/>
    <m/>
    <e v="#N/A"/>
    <e v="#N/A"/>
    <e v="#N/A"/>
    <e v="#N/A"/>
    <x v="2"/>
  </r>
  <r>
    <x v="289"/>
    <n v="4"/>
    <x v="17"/>
    <x v="0"/>
    <s v="Powercharts: neue Varianten"/>
    <m/>
    <s v="Spiegel"/>
    <m/>
    <e v="#N/A"/>
    <e v="#N/A"/>
    <e v="#N/A"/>
    <e v="#N/A"/>
    <x v="2"/>
  </r>
  <r>
    <x v="290"/>
    <n v="8.5"/>
    <x v="17"/>
    <x v="0"/>
    <s v="Powercharts: neue Varianten"/>
    <m/>
    <s v="Spiegel"/>
    <m/>
    <e v="#N/A"/>
    <e v="#N/A"/>
    <e v="#N/A"/>
    <e v="#N/A"/>
    <x v="2"/>
  </r>
  <r>
    <x v="291"/>
    <n v="7"/>
    <x v="20"/>
    <x v="0"/>
    <s v="OTCGMS neue Varianten"/>
    <m/>
    <s v="Spiegel"/>
    <m/>
    <e v="#N/A"/>
    <e v="#N/A"/>
    <e v="#N/A"/>
    <e v="#N/A"/>
    <x v="2"/>
  </r>
  <r>
    <x v="292"/>
    <n v="3.5"/>
    <x v="17"/>
    <x v="0"/>
    <s v="Powercharts: Top5 einbauen"/>
    <m/>
    <s v="Spiegel"/>
    <m/>
    <e v="#N/A"/>
    <e v="#N/A"/>
    <e v="#N/A"/>
    <e v="#N/A"/>
    <x v="2"/>
  </r>
  <r>
    <x v="292"/>
    <n v="2"/>
    <x v="23"/>
    <x v="0"/>
    <s v="Besprechung Solution Definition Konfig Tool"/>
    <m/>
    <s v="Burger"/>
    <m/>
    <e v="#N/A"/>
    <e v="#N/A"/>
    <e v="#N/A"/>
    <e v="#N/A"/>
    <x v="2"/>
  </r>
  <r>
    <x v="293"/>
    <n v="2.5"/>
    <x v="17"/>
    <x v="0"/>
    <s v="Powercharts: Top5 einbauen"/>
    <m/>
    <s v="Spiegel"/>
    <m/>
    <e v="#N/A"/>
    <e v="#N/A"/>
    <e v="#N/A"/>
    <e v="#N/A"/>
    <x v="2"/>
  </r>
  <r>
    <x v="293"/>
    <n v="2"/>
    <x v="17"/>
    <x v="0"/>
    <s v="Neue Charts, die unter XP nicht laufen"/>
    <m/>
    <s v="Lappas"/>
    <m/>
    <e v="#N/A"/>
    <e v="#N/A"/>
    <e v="#N/A"/>
    <e v="#N/A"/>
    <x v="2"/>
  </r>
  <r>
    <x v="294"/>
    <n v="7.5"/>
    <x v="17"/>
    <x v="0"/>
    <s v="Neue Charts, die unter XP nicht laufen"/>
    <m/>
    <s v="Lappas"/>
    <m/>
    <e v="#N/A"/>
    <e v="#N/A"/>
    <e v="#N/A"/>
    <e v="#N/A"/>
    <x v="2"/>
  </r>
  <r>
    <x v="295"/>
    <n v="3"/>
    <x v="6"/>
    <x v="0"/>
    <s v="MDX-Erstellung"/>
    <m/>
    <s v="Tuchel"/>
    <m/>
    <e v="#N/A"/>
    <e v="#N/A"/>
    <e v="#N/A"/>
    <e v="#N/A"/>
    <x v="2"/>
  </r>
  <r>
    <x v="295"/>
    <n v="4"/>
    <x v="17"/>
    <x v="0"/>
    <s v="Powercharts: Top5 einbauen"/>
    <m/>
    <s v="Spiegel"/>
    <m/>
    <e v="#N/A"/>
    <e v="#N/A"/>
    <e v="#N/A"/>
    <e v="#N/A"/>
    <x v="2"/>
  </r>
  <r>
    <x v="296"/>
    <n v="1"/>
    <x v="7"/>
    <x v="0"/>
    <s v="Besprechung berechnetes Element"/>
    <m/>
    <s v="Montermann"/>
    <m/>
    <e v="#N/A"/>
    <e v="#N/A"/>
    <e v="#N/A"/>
    <e v="#N/A"/>
    <x v="2"/>
  </r>
  <r>
    <x v="296"/>
    <n v="6"/>
    <x v="17"/>
    <x v="0"/>
    <s v="Powercharts: Top6-10 erstellen"/>
    <m/>
    <s v="Spiegel"/>
    <m/>
    <e v="#N/A"/>
    <e v="#N/A"/>
    <e v="#N/A"/>
    <e v="#N/A"/>
    <x v="2"/>
  </r>
  <r>
    <x v="297"/>
    <n v="6.5"/>
    <x v="29"/>
    <x v="0"/>
    <s v="Besprechung Solution Definition Konfig Tool und Evaluierung  XSD Schema"/>
    <m/>
    <s v="Burger"/>
    <m/>
    <e v="#N/A"/>
    <e v="#N/A"/>
    <e v="#N/A"/>
    <e v="#N/A"/>
    <x v="2"/>
  </r>
  <r>
    <x v="298"/>
    <n v="7.5"/>
    <x v="17"/>
    <x v="0"/>
    <s v="Einrichtung PIAs für Office XP in Setup"/>
    <m/>
    <s v="Lappas"/>
    <m/>
    <e v="#N/A"/>
    <e v="#N/A"/>
    <e v="#N/A"/>
    <e v="#N/A"/>
    <x v="2"/>
  </r>
  <r>
    <x v="299"/>
    <n v="3"/>
    <x v="29"/>
    <x v="0"/>
    <s v="Solution Definition Tool XSD Schema"/>
    <m/>
    <s v="Burger"/>
    <m/>
    <e v="#N/A"/>
    <e v="#N/A"/>
    <e v="#N/A"/>
    <e v="#N/A"/>
    <x v="2"/>
  </r>
  <r>
    <x v="299"/>
    <n v="4"/>
    <x v="22"/>
    <x v="0"/>
    <s v="Anpassung Batchfiles, Datenbank neu aufsetzen"/>
    <m/>
    <s v="Borchard"/>
    <m/>
    <e v="#N/A"/>
    <e v="#N/A"/>
    <e v="#N/A"/>
    <e v="#N/A"/>
    <x v="2"/>
  </r>
  <r>
    <x v="300"/>
    <n v="2"/>
    <x v="17"/>
    <x v="0"/>
    <s v="Test XP auf Notebook Frau Lappas"/>
    <m/>
    <s v="Lappas"/>
    <m/>
    <e v="#N/A"/>
    <e v="#N/A"/>
    <e v="#N/A"/>
    <e v="#N/A"/>
    <x v="2"/>
  </r>
  <r>
    <x v="300"/>
    <n v="4.5"/>
    <x v="22"/>
    <x v="0"/>
    <s v="Anpassung Batchfiles, Datenbank neu aufsetzen"/>
    <m/>
    <s v="Borchard"/>
    <m/>
    <e v="#N/A"/>
    <e v="#N/A"/>
    <e v="#N/A"/>
    <e v="#N/A"/>
    <x v="2"/>
  </r>
  <r>
    <x v="301"/>
    <n v="12"/>
    <x v="22"/>
    <x v="0"/>
    <s v="Bugfixing PHSA Mappings in Development"/>
    <m/>
    <s v="Borchard"/>
    <m/>
    <e v="#N/A"/>
    <e v="#N/A"/>
    <e v="#N/A"/>
    <e v="#N/A"/>
    <x v="2"/>
  </r>
  <r>
    <x v="302"/>
    <n v="5"/>
    <x v="29"/>
    <x v="0"/>
    <s v="TP-Admin Konzept"/>
    <m/>
    <s v="Burger"/>
    <m/>
    <e v="#N/A"/>
    <e v="#N/A"/>
    <e v="#N/A"/>
    <e v="#N/A"/>
    <x v="2"/>
  </r>
  <r>
    <x v="303"/>
    <n v="7"/>
    <x v="29"/>
    <x v="0"/>
    <s v="Installation Testserver und Anpassung TP-Admin Konzept"/>
    <m/>
    <s v="Burger"/>
    <m/>
    <e v="#N/A"/>
    <e v="#N/A"/>
    <e v="#N/A"/>
    <e v="#N/A"/>
    <x v="2"/>
  </r>
  <r>
    <x v="304"/>
    <n v="7.5"/>
    <x v="29"/>
    <x v="0"/>
    <s v="Datenmodellierung"/>
    <m/>
    <s v="Burger"/>
    <m/>
    <e v="#N/A"/>
    <e v="#N/A"/>
    <e v="#N/A"/>
    <e v="#N/A"/>
    <x v="2"/>
  </r>
  <r>
    <x v="305"/>
    <n v="6"/>
    <x v="29"/>
    <x v="0"/>
    <s v="Datenmodellierung und XSD-Schema"/>
    <m/>
    <s v="Burger"/>
    <m/>
    <e v="#N/A"/>
    <e v="#N/A"/>
    <e v="#N/A"/>
    <e v="#N/A"/>
    <x v="2"/>
  </r>
  <r>
    <x v="306"/>
    <n v="5"/>
    <x v="29"/>
    <x v="0"/>
    <s v="XSD-Schema"/>
    <m/>
    <s v="Burger"/>
    <m/>
    <e v="#N/A"/>
    <e v="#N/A"/>
    <e v="#N/A"/>
    <e v="#N/A"/>
    <x v="2"/>
  </r>
  <r>
    <x v="306"/>
    <n v="1"/>
    <x v="17"/>
    <x v="0"/>
    <s v="Powercharts Bugfixing"/>
    <m/>
    <s v="Spiegel"/>
    <m/>
    <e v="#N/A"/>
    <e v="#N/A"/>
    <e v="#N/A"/>
    <e v="#N/A"/>
    <x v="2"/>
  </r>
  <r>
    <x v="307"/>
    <n v="7.5"/>
    <x v="29"/>
    <x v="0"/>
    <s v="XSD-Schema und Beispiel XML für Termin mit MapInfo"/>
    <m/>
    <s v="Burger"/>
    <m/>
    <e v="#N/A"/>
    <e v="#N/A"/>
    <e v="#N/A"/>
    <e v="#N/A"/>
    <x v="2"/>
  </r>
  <r>
    <x v="308"/>
    <n v="4"/>
    <x v="29"/>
    <x v="0"/>
    <s v="XSD-Schema und Beispiel XML für Termin mit MapInfo"/>
    <m/>
    <s v="Burger"/>
    <m/>
    <e v="#N/A"/>
    <e v="#N/A"/>
    <e v="#N/A"/>
    <e v="#N/A"/>
    <x v="2"/>
  </r>
  <r>
    <x v="309"/>
    <n v="5"/>
    <x v="29"/>
    <x v="0"/>
    <s v="TP2 Dataaccess"/>
    <m/>
    <s v="Burger"/>
    <m/>
    <e v="#N/A"/>
    <e v="#N/A"/>
    <e v="#N/A"/>
    <e v="#N/A"/>
    <x v="2"/>
  </r>
  <r>
    <x v="309"/>
    <n v="1"/>
    <x v="17"/>
    <x v="0"/>
    <s v="Powercharts Besprechung Anpassung neue Powercharts Berichte"/>
    <m/>
    <s v="Spiegel"/>
    <m/>
    <e v="#N/A"/>
    <e v="#N/A"/>
    <e v="#N/A"/>
    <e v="#N/A"/>
    <x v="2"/>
  </r>
  <r>
    <x v="310"/>
    <n v="6.5"/>
    <x v="29"/>
    <x v="0"/>
    <s v="TP2 Dataaccess"/>
    <m/>
    <s v="Burger"/>
    <m/>
    <e v="#N/A"/>
    <e v="#N/A"/>
    <e v="#N/A"/>
    <e v="#N/A"/>
    <x v="2"/>
  </r>
  <r>
    <x v="311"/>
    <n v="7.5"/>
    <x v="29"/>
    <x v="0"/>
    <s v="TP2 Programmierung"/>
    <m/>
    <s v="Burger"/>
    <m/>
    <e v="#N/A"/>
    <e v="#N/A"/>
    <e v="#N/A"/>
    <e v="#N/A"/>
    <x v="2"/>
  </r>
  <r>
    <x v="312"/>
    <n v="6.5"/>
    <x v="29"/>
    <x v="0"/>
    <s v="TP2 Programmierung"/>
    <m/>
    <s v="Burger"/>
    <m/>
    <e v="#N/A"/>
    <e v="#N/A"/>
    <e v="#N/A"/>
    <e v="#N/A"/>
    <x v="2"/>
  </r>
  <r>
    <x v="313"/>
    <n v="7.5"/>
    <x v="29"/>
    <x v="0"/>
    <s v="TP2 Programmierung"/>
    <m/>
    <s v="Burger"/>
    <m/>
    <e v="#N/A"/>
    <e v="#N/A"/>
    <e v="#N/A"/>
    <e v="#N/A"/>
    <x v="2"/>
  </r>
  <r>
    <x v="314"/>
    <n v="1.5"/>
    <x v="6"/>
    <x v="0"/>
    <s v="MDX-Erstellung"/>
    <m/>
    <s v="Heibl"/>
    <m/>
    <e v="#N/A"/>
    <e v="#N/A"/>
    <e v="#N/A"/>
    <e v="#N/A"/>
    <x v="2"/>
  </r>
  <r>
    <x v="314"/>
    <n v="6"/>
    <x v="29"/>
    <x v="0"/>
    <s v="TP2 Programmierung"/>
    <m/>
    <s v="Burger"/>
    <m/>
    <e v="#N/A"/>
    <e v="#N/A"/>
    <e v="#N/A"/>
    <e v="#N/A"/>
    <x v="2"/>
  </r>
  <r>
    <x v="315"/>
    <n v="3"/>
    <x v="6"/>
    <x v="0"/>
    <s v="MDX-Erstellung"/>
    <m/>
    <s v="Heibl"/>
    <m/>
    <e v="#N/A"/>
    <e v="#N/A"/>
    <e v="#N/A"/>
    <e v="#N/A"/>
    <x v="2"/>
  </r>
  <r>
    <x v="315"/>
    <n v="5.5"/>
    <x v="29"/>
    <x v="0"/>
    <s v="TP2 Programmierung"/>
    <m/>
    <s v="Burger"/>
    <m/>
    <e v="#N/A"/>
    <e v="#N/A"/>
    <e v="#N/A"/>
    <e v="#N/A"/>
    <x v="2"/>
  </r>
  <r>
    <x v="316"/>
    <n v="6.5"/>
    <x v="17"/>
    <x v="0"/>
    <s v="Aufwandsabschätzung Spanien und international"/>
    <m/>
    <s v="Kleinfeldt, Heil"/>
    <m/>
    <e v="#N/A"/>
    <e v="#N/A"/>
    <e v="#N/A"/>
    <e v="#N/A"/>
    <x v="2"/>
  </r>
  <r>
    <x v="317"/>
    <n v="3.5"/>
    <x v="29"/>
    <x v="0"/>
    <s v="TP2 Programmierung"/>
    <m/>
    <s v="Burger"/>
    <m/>
    <e v="#N/A"/>
    <e v="#N/A"/>
    <e v="#N/A"/>
    <e v="#N/A"/>
    <x v="2"/>
  </r>
  <r>
    <x v="317"/>
    <n v="5"/>
    <x v="22"/>
    <x v="0"/>
    <s v="Einrichtung Testserver"/>
    <m/>
    <s v="Borchard"/>
    <m/>
    <e v="#N/A"/>
    <e v="#N/A"/>
    <e v="#N/A"/>
    <e v="#N/A"/>
    <x v="2"/>
  </r>
  <r>
    <x v="318"/>
    <n v="8.5"/>
    <x v="29"/>
    <x v="0"/>
    <s v="TP2 Programmierung"/>
    <m/>
    <s v="Burger"/>
    <m/>
    <e v="#N/A"/>
    <e v="#N/A"/>
    <e v="#N/A"/>
    <e v="#N/A"/>
    <x v="2"/>
  </r>
  <r>
    <x v="319"/>
    <n v="8"/>
    <x v="29"/>
    <x v="0"/>
    <s v="TP2 Programmierung"/>
    <m/>
    <s v="Burger"/>
    <m/>
    <e v="#N/A"/>
    <e v="#N/A"/>
    <e v="#N/A"/>
    <e v="#N/A"/>
    <x v="2"/>
  </r>
  <r>
    <x v="320"/>
    <n v="8.5"/>
    <x v="29"/>
    <x v="0"/>
    <s v="TP2 Programmierung"/>
    <m/>
    <s v="Burger"/>
    <m/>
    <e v="#N/A"/>
    <e v="#N/A"/>
    <e v="#N/A"/>
    <e v="#N/A"/>
    <x v="2"/>
  </r>
  <r>
    <x v="321"/>
    <n v="8"/>
    <x v="29"/>
    <x v="0"/>
    <s v="TP2 Programmierung"/>
    <m/>
    <s v="Burger"/>
    <m/>
    <e v="#N/A"/>
    <e v="#N/A"/>
    <e v="#N/A"/>
    <e v="#N/A"/>
    <x v="2"/>
  </r>
  <r>
    <x v="322"/>
    <n v="6"/>
    <x v="17"/>
    <x v="0"/>
    <s v="Anpassung Apo Berichte"/>
    <m/>
    <s v="Spiegel"/>
    <m/>
    <e v="#N/A"/>
    <e v="#N/A"/>
    <e v="#N/A"/>
    <e v="#N/A"/>
    <x v="2"/>
  </r>
  <r>
    <x v="323"/>
    <n v="4"/>
    <x v="22"/>
    <x v="0"/>
    <s v="Synonym Switch Test"/>
    <m/>
    <s v="Wang/Borchard"/>
    <m/>
    <e v="#N/A"/>
    <e v="#N/A"/>
    <e v="#N/A"/>
    <e v="#N/A"/>
    <x v="2"/>
  </r>
  <r>
    <x v="323"/>
    <n v="3"/>
    <x v="29"/>
    <x v="0"/>
    <s v="TP2 Programmierung"/>
    <m/>
    <s v="Burger"/>
    <m/>
    <e v="#N/A"/>
    <e v="#N/A"/>
    <e v="#N/A"/>
    <e v="#N/A"/>
    <x v="2"/>
  </r>
  <r>
    <x v="324"/>
    <n v="7.5"/>
    <x v="29"/>
    <x v="0"/>
    <s v="TP2 Programmierung"/>
    <m/>
    <s v="Burger"/>
    <m/>
    <e v="#N/A"/>
    <e v="#N/A"/>
    <e v="#N/A"/>
    <e v="#N/A"/>
    <x v="2"/>
  </r>
  <r>
    <x v="325"/>
    <n v="7.5"/>
    <x v="29"/>
    <x v="0"/>
    <s v="TP2 Programmierung"/>
    <m/>
    <s v="Burger"/>
    <m/>
    <e v="#N/A"/>
    <e v="#N/A"/>
    <e v="#N/A"/>
    <e v="#N/A"/>
    <x v="2"/>
  </r>
  <r>
    <x v="326"/>
    <n v="7.5"/>
    <x v="29"/>
    <x v="0"/>
    <s v="TP2 Programmierung"/>
    <m/>
    <s v="Burger"/>
    <m/>
    <e v="#N/A"/>
    <e v="#N/A"/>
    <e v="#N/A"/>
    <e v="#N/A"/>
    <x v="2"/>
  </r>
  <r>
    <x v="327"/>
    <n v="8.5"/>
    <x v="29"/>
    <x v="0"/>
    <s v="TP2 Programmierung"/>
    <m/>
    <s v="Burger"/>
    <m/>
    <e v="#N/A"/>
    <e v="#N/A"/>
    <e v="#N/A"/>
    <e v="#N/A"/>
    <x v="2"/>
  </r>
  <r>
    <x v="328"/>
    <n v="7.5"/>
    <x v="29"/>
    <x v="0"/>
    <s v="TP2 Programmierung"/>
    <m/>
    <s v="Burger"/>
    <m/>
    <e v="#N/A"/>
    <e v="#N/A"/>
    <e v="#N/A"/>
    <e v="#N/A"/>
    <x v="2"/>
  </r>
  <r>
    <x v="329"/>
    <n v="7.5"/>
    <x v="29"/>
    <x v="0"/>
    <s v="TP2 Programmierung"/>
    <m/>
    <s v="Burger"/>
    <m/>
    <e v="#N/A"/>
    <e v="#N/A"/>
    <e v="#N/A"/>
    <e v="#N/A"/>
    <x v="2"/>
  </r>
  <r>
    <x v="330"/>
    <n v="8.5"/>
    <x v="29"/>
    <x v="0"/>
    <s v="TP2 Programmierung"/>
    <m/>
    <s v="Burger"/>
    <m/>
    <e v="#N/A"/>
    <e v="#N/A"/>
    <e v="#N/A"/>
    <e v="#N/A"/>
    <x v="2"/>
  </r>
  <r>
    <x v="331"/>
    <n v="6.5"/>
    <x v="29"/>
    <x v="0"/>
    <s v="TP2 Programmierung"/>
    <m/>
    <s v="Burger"/>
    <m/>
    <e v="#N/A"/>
    <e v="#N/A"/>
    <e v="#N/A"/>
    <e v="#N/A"/>
    <x v="2"/>
  </r>
  <r>
    <x v="332"/>
    <n v="7.5"/>
    <x v="29"/>
    <x v="0"/>
    <s v="Meeting TP2"/>
    <m/>
    <s v="Burger"/>
    <m/>
    <e v="#N/A"/>
    <e v="#N/A"/>
    <e v="#N/A"/>
    <e v="#N/A"/>
    <x v="2"/>
  </r>
  <r>
    <x v="333"/>
    <n v="10"/>
    <x v="22"/>
    <x v="0"/>
    <s v="München: Anpassungen und Test"/>
    <m/>
    <s v="Wang/Borchard"/>
    <m/>
    <e v="#N/A"/>
    <e v="#N/A"/>
    <e v="#N/A"/>
    <e v="#N/A"/>
    <x v="2"/>
  </r>
  <r>
    <x v="334"/>
    <n v="8"/>
    <x v="22"/>
    <x v="0"/>
    <s v="München: Anpassungen und Test"/>
    <m/>
    <s v="Wang/Borchard"/>
    <m/>
    <e v="#N/A"/>
    <e v="#N/A"/>
    <e v="#N/A"/>
    <e v="#N/A"/>
    <x v="2"/>
  </r>
  <r>
    <x v="335"/>
    <n v="8"/>
    <x v="17"/>
    <x v="0"/>
    <s v="Powercharts: Bericht kippen, Test und neues Setup"/>
    <m/>
    <s v="Spiegel"/>
    <m/>
    <e v="#N/A"/>
    <e v="#N/A"/>
    <e v="#N/A"/>
    <e v="#N/A"/>
    <x v="2"/>
  </r>
  <r>
    <x v="336"/>
    <n v="7.5"/>
    <x v="29"/>
    <x v="0"/>
    <s v="TP2 Programmierung: Treeviews"/>
    <m/>
    <s v="Burger"/>
    <m/>
    <e v="#N/A"/>
    <e v="#N/A"/>
    <e v="#N/A"/>
    <e v="#N/A"/>
    <x v="2"/>
  </r>
  <r>
    <x v="337"/>
    <n v="6"/>
    <x v="17"/>
    <x v="0"/>
    <s v="Powercharts: Anpassungen Newsletter Reports"/>
    <m/>
    <s v="Spiegel"/>
    <m/>
    <e v="#N/A"/>
    <e v="#N/A"/>
    <e v="#N/A"/>
    <e v="#N/A"/>
    <x v="2"/>
  </r>
  <r>
    <x v="338"/>
    <n v="6"/>
    <x v="17"/>
    <x v="0"/>
    <s v="Powercharts: Anpassungen Newsletter Reports"/>
    <m/>
    <s v="Spiegel"/>
    <m/>
    <e v="#N/A"/>
    <e v="#N/A"/>
    <e v="#N/A"/>
    <e v="#N/A"/>
    <x v="2"/>
  </r>
  <r>
    <x v="339"/>
    <n v="7.5"/>
    <x v="20"/>
    <x v="0"/>
    <s v="OTCGMS neue Varianten"/>
    <m/>
    <s v="Spiegel/Charafeddine"/>
    <m/>
    <e v="#N/A"/>
    <e v="#N/A"/>
    <e v="#N/A"/>
    <e v="#N/A"/>
    <x v="2"/>
  </r>
  <r>
    <x v="340"/>
    <n v="7.5"/>
    <x v="20"/>
    <x v="0"/>
    <s v="OTCGMS neue Varianten"/>
    <m/>
    <s v="Spiegel/Charafeddine"/>
    <m/>
    <e v="#N/A"/>
    <e v="#N/A"/>
    <e v="#N/A"/>
    <e v="#N/A"/>
    <x v="2"/>
  </r>
  <r>
    <x v="341"/>
    <n v="6.5"/>
    <x v="20"/>
    <x v="0"/>
    <s v="OTCGMS neue Varianten"/>
    <m/>
    <s v="Spiegel/Charafeddine"/>
    <m/>
    <e v="#N/A"/>
    <e v="#N/A"/>
    <e v="#N/A"/>
    <e v="#N/A"/>
    <x v="2"/>
  </r>
  <r>
    <x v="342"/>
    <n v="2"/>
    <x v="17"/>
    <x v="0"/>
    <s v="Powercharts: Korrektur Apo Charts"/>
    <m/>
    <s v="Spiegel"/>
    <m/>
    <e v="#N/A"/>
    <e v="#N/A"/>
    <e v="#N/A"/>
    <e v="#N/A"/>
    <x v="2"/>
  </r>
  <r>
    <x v="342"/>
    <n v="6"/>
    <x v="20"/>
    <x v="0"/>
    <s v="OTCGMS neue Varianten"/>
    <m/>
    <s v="Spiegel/Charafeddine"/>
    <m/>
    <e v="#N/A"/>
    <e v="#N/A"/>
    <e v="#N/A"/>
    <e v="#N/A"/>
    <x v="2"/>
  </r>
  <r>
    <x v="343"/>
    <n v="4"/>
    <x v="20"/>
    <x v="0"/>
    <s v="OTCGMS neue Varianten"/>
    <m/>
    <s v="Spiegel/Charafeddine"/>
    <m/>
    <e v="#N/A"/>
    <e v="#N/A"/>
    <e v="#N/A"/>
    <e v="#N/A"/>
    <x v="2"/>
  </r>
  <r>
    <x v="343"/>
    <n v="3.5"/>
    <x v="22"/>
    <x v="0"/>
    <s v="Rejected Records in Testumgebung"/>
    <m/>
    <s v="Wang/Borchard"/>
    <m/>
    <e v="#N/A"/>
    <e v="#N/A"/>
    <e v="#N/A"/>
    <e v="#N/A"/>
    <x v="2"/>
  </r>
  <r>
    <x v="344"/>
    <n v="4"/>
    <x v="20"/>
    <x v="0"/>
    <s v="OTCGMS neue Varianten"/>
    <m/>
    <s v="Spiegel/Charafeddine"/>
    <m/>
    <e v="#N/A"/>
    <e v="#N/A"/>
    <e v="#N/A"/>
    <e v="#N/A"/>
    <x v="2"/>
  </r>
  <r>
    <x v="344"/>
    <n v="4.5"/>
    <x v="22"/>
    <x v="0"/>
    <s v="Fehler: Exact Fetch in Testumgebung"/>
    <m/>
    <s v="Wang/Borchard"/>
    <m/>
    <e v="#N/A"/>
    <e v="#N/A"/>
    <e v="#N/A"/>
    <e v="#N/A"/>
    <x v="2"/>
  </r>
  <r>
    <x v="345"/>
    <n v="7.5"/>
    <x v="20"/>
    <x v="0"/>
    <s v="OTCGMS neue Varianten"/>
    <m/>
    <s v="Spiegel/Charafeddine"/>
    <m/>
    <e v="#N/A"/>
    <e v="#N/A"/>
    <e v="#N/A"/>
    <e v="#N/A"/>
    <x v="2"/>
  </r>
  <r>
    <x v="346"/>
    <n v="6.5"/>
    <x v="20"/>
    <x v="0"/>
    <s v="OTCGMS neue Varianten"/>
    <m/>
    <s v="Spiegel/Charafeddine"/>
    <m/>
    <e v="#N/A"/>
    <e v="#N/A"/>
    <e v="#N/A"/>
    <e v="#N/A"/>
    <x v="2"/>
  </r>
  <r>
    <x v="347"/>
    <n v="7.5"/>
    <x v="20"/>
    <x v="0"/>
    <s v="OTCGMS neue Varianten"/>
    <m/>
    <s v="Spiegel/Charafeddine"/>
    <m/>
    <e v="#N/A"/>
    <e v="#N/A"/>
    <e v="#N/A"/>
    <e v="#N/A"/>
    <x v="2"/>
  </r>
  <r>
    <x v="348"/>
    <n v="4"/>
    <x v="20"/>
    <x v="0"/>
    <s v="OTCGMS Anpassungen"/>
    <m/>
    <s v="Spiegel/Charafeddine"/>
    <m/>
    <e v="#N/A"/>
    <e v="#N/A"/>
    <e v="#N/A"/>
    <e v="#N/A"/>
    <x v="2"/>
  </r>
  <r>
    <x v="348"/>
    <n v="3.5"/>
    <x v="9"/>
    <x v="0"/>
    <s v="CognosConvert Anpassung auf 140er Format"/>
    <m/>
    <s v="Wang/Borchard"/>
    <m/>
    <e v="#N/A"/>
    <e v="#N/A"/>
    <e v="#N/A"/>
    <e v="#N/A"/>
    <x v="2"/>
  </r>
  <r>
    <x v="349"/>
    <n v="6.5"/>
    <x v="9"/>
    <x v="0"/>
    <s v="CognosConvert Anpassung auf 140er Format"/>
    <m/>
    <s v="Wang/Borchard"/>
    <m/>
    <e v="#N/A"/>
    <e v="#N/A"/>
    <e v="#N/A"/>
    <e v="#N/A"/>
    <x v="2"/>
  </r>
  <r>
    <x v="350"/>
    <n v="5.5"/>
    <x v="17"/>
    <x v="0"/>
    <s v="Powercharts: Anpassung Top 5 Charts Beschriftungen"/>
    <m/>
    <s v="Spiegel"/>
    <m/>
    <e v="#N/A"/>
    <e v="#N/A"/>
    <e v="#N/A"/>
    <e v="#N/A"/>
    <x v="2"/>
  </r>
  <r>
    <x v="351"/>
    <n v="7.5"/>
    <x v="20"/>
    <x v="0"/>
    <s v="OTCGMS Erweiterung Berichte s21 - s35"/>
    <m/>
    <s v="Spiegel/Charafeddine"/>
    <m/>
    <e v="#N/A"/>
    <e v="#N/A"/>
    <e v="#N/A"/>
    <e v="#N/A"/>
    <x v="2"/>
  </r>
  <r>
    <x v="352"/>
    <n v="7.5"/>
    <x v="20"/>
    <x v="0"/>
    <s v="OTCGMS Erweiterung Berichte s21 - s35"/>
    <m/>
    <s v="Spiegel/Charafeddine"/>
    <m/>
    <e v="#N/A"/>
    <e v="#N/A"/>
    <e v="#N/A"/>
    <e v="#N/A"/>
    <x v="2"/>
  </r>
  <r>
    <x v="353"/>
    <n v="5.5"/>
    <x v="17"/>
    <x v="0"/>
    <s v="Powercharts: Anpassung Top 5 Charts neue Berichte Gesamtumsatz"/>
    <m/>
    <s v="Spiegel"/>
    <m/>
    <e v="#N/A"/>
    <e v="#N/A"/>
    <e v="#N/A"/>
    <e v="#N/A"/>
    <x v="2"/>
  </r>
  <r>
    <x v="354"/>
    <n v="2"/>
    <x v="20"/>
    <x v="0"/>
    <s v="OTCGMS Korrekturen"/>
    <m/>
    <s v="Spiegel/Charafeddine"/>
    <m/>
    <e v="#N/A"/>
    <e v="#N/A"/>
    <e v="#N/A"/>
    <e v="#N/A"/>
    <x v="2"/>
  </r>
  <r>
    <x v="354"/>
    <n v="4.5"/>
    <x v="17"/>
    <x v="0"/>
    <s v="Powercharts: Anpassung Top 5 Charts neue Berichte Gesamtumsatz"/>
    <m/>
    <s v="Spiegel"/>
    <m/>
    <e v="#N/A"/>
    <e v="#N/A"/>
    <e v="#N/A"/>
    <e v="#N/A"/>
    <x v="2"/>
  </r>
  <r>
    <x v="355"/>
    <n v="4"/>
    <x v="20"/>
    <x v="0"/>
    <s v="OTCGMS Anpassungen"/>
    <m/>
    <s v="Spiegel/Charafeddine"/>
    <m/>
    <e v="#N/A"/>
    <e v="#N/A"/>
    <e v="#N/A"/>
    <e v="#N/A"/>
    <x v="2"/>
  </r>
  <r>
    <x v="355"/>
    <n v="4"/>
    <x v="6"/>
    <x v="0"/>
    <s v="MDX-Erstellung YTDFiscal"/>
    <m/>
    <s v="Heibl"/>
    <m/>
    <e v="#N/A"/>
    <e v="#N/A"/>
    <e v="#N/A"/>
    <e v="#N/A"/>
    <x v="2"/>
  </r>
  <r>
    <x v="356"/>
    <n v="2"/>
    <x v="6"/>
    <x v="0"/>
    <s v="MDX-Erstellung YTDFiscal"/>
    <m/>
    <s v="Heibl"/>
    <m/>
    <e v="#N/A"/>
    <e v="#N/A"/>
    <e v="#N/A"/>
    <e v="#N/A"/>
    <x v="2"/>
  </r>
  <r>
    <x v="356"/>
    <n v="4.5"/>
    <x v="20"/>
    <x v="0"/>
    <s v="OTCGMS Anpassungen"/>
    <m/>
    <s v="Spiegel/Charafeddine"/>
    <m/>
    <e v="#N/A"/>
    <e v="#N/A"/>
    <e v="#N/A"/>
    <e v="#N/A"/>
    <x v="2"/>
  </r>
  <r>
    <x v="357"/>
    <n v="2"/>
    <x v="7"/>
    <x v="0"/>
    <s v="berechnetes Element Produktsumme"/>
    <m/>
    <s v="Runkel"/>
    <m/>
    <e v="#N/A"/>
    <e v="#N/A"/>
    <e v="#N/A"/>
    <e v="#N/A"/>
    <x v="2"/>
  </r>
  <r>
    <x v="357"/>
    <n v="2"/>
    <x v="6"/>
    <x v="0"/>
    <s v="MDX-Erstellung YTDFiscal"/>
    <m/>
    <s v="Heibl"/>
    <m/>
    <e v="#N/A"/>
    <e v="#N/A"/>
    <e v="#N/A"/>
    <e v="#N/A"/>
    <x v="2"/>
  </r>
  <r>
    <x v="357"/>
    <n v="2"/>
    <x v="20"/>
    <x v="0"/>
    <s v="OTCGMS Anpassungen"/>
    <m/>
    <s v="Spiegel/Charafeddine"/>
    <m/>
    <e v="#N/A"/>
    <e v="#N/A"/>
    <e v="#N/A"/>
    <e v="#N/A"/>
    <x v="2"/>
  </r>
  <r>
    <x v="358"/>
    <n v="2"/>
    <x v="20"/>
    <x v="0"/>
    <s v="OTCGMS Anpassungen schwarze Farbe korrigiert"/>
    <m/>
    <s v="Spiegel/Charafeddine"/>
    <m/>
    <e v="#N/A"/>
    <e v="#N/A"/>
    <e v="#N/A"/>
    <e v="#N/A"/>
    <x v="2"/>
  </r>
  <r>
    <x v="358"/>
    <n v="4"/>
    <x v="17"/>
    <x v="0"/>
    <s v="Powercharts: Anpassung Top 5 Charts Beschriftungen ineinander verschoben"/>
    <m/>
    <s v="Spiegel"/>
    <m/>
    <e v="#N/A"/>
    <e v="#N/A"/>
    <e v="#N/A"/>
    <e v="#N/A"/>
    <x v="2"/>
  </r>
  <r>
    <x v="359"/>
    <n v="4"/>
    <x v="20"/>
    <x v="0"/>
    <s v="OTCGMS Anpassungen"/>
    <m/>
    <s v="Spiegel/Charafeddine"/>
    <m/>
    <e v="#N/A"/>
    <e v="#N/A"/>
    <e v="#N/A"/>
    <e v="#N/A"/>
    <x v="2"/>
  </r>
  <r>
    <x v="359"/>
    <n v="3"/>
    <x v="17"/>
    <x v="0"/>
    <s v="Powercharts: Anpassung Top 5 Charts neue Berichte Apomarkt"/>
    <m/>
    <s v="Spiegel"/>
    <m/>
    <e v="#N/A"/>
    <e v="#N/A"/>
    <e v="#N/A"/>
    <e v="#N/A"/>
    <x v="2"/>
  </r>
  <r>
    <x v="360"/>
    <n v="7.5"/>
    <x v="17"/>
    <x v="0"/>
    <s v="Powercharts: Anpassung Top 5 Charts neue Berichte Apomarkt"/>
    <m/>
    <s v="Spiegel"/>
    <m/>
    <e v="#N/A"/>
    <e v="#N/A"/>
    <e v="#N/A"/>
    <e v="#N/A"/>
    <x v="2"/>
  </r>
  <r>
    <x v="361"/>
    <n v="4.5"/>
    <x v="17"/>
    <x v="0"/>
    <s v="Powercharts: Anpassung Top 5 Charts neue Berichte Apomarkt"/>
    <m/>
    <s v="Spiegel"/>
    <m/>
    <e v="#N/A"/>
    <e v="#N/A"/>
    <e v="#N/A"/>
    <e v="#N/A"/>
    <x v="2"/>
  </r>
  <r>
    <x v="362"/>
    <n v="6.5"/>
    <x v="17"/>
    <x v="0"/>
    <s v="Powercharts: Anpassung Top 5 Charts neue Berichte Apomarkt: Test und Setup"/>
    <m/>
    <s v="Spiegel"/>
    <m/>
    <e v="#N/A"/>
    <e v="#N/A"/>
    <e v="#N/A"/>
    <e v="#N/A"/>
    <x v="2"/>
  </r>
  <r>
    <x v="363"/>
    <n v="4.5"/>
    <x v="17"/>
    <x v="0"/>
    <s v="Powercharts: Korrektur Apo Personal Care Charts"/>
    <m/>
    <s v="Spiegel"/>
    <m/>
    <e v="#N/A"/>
    <e v="#N/A"/>
    <e v="#N/A"/>
    <e v="#N/A"/>
    <x v="2"/>
  </r>
  <r>
    <x v="364"/>
    <n v="6.5"/>
    <x v="17"/>
    <x v="0"/>
    <s v="Powercharts: Multithreading, Powercharts im Hintergrund"/>
    <m/>
    <s v="Spiegel"/>
    <m/>
    <e v="#N/A"/>
    <e v="#N/A"/>
    <e v="#N/A"/>
    <e v="#N/A"/>
    <x v="2"/>
  </r>
  <r>
    <x v="365"/>
    <n v="5.5"/>
    <x v="16"/>
    <x v="0"/>
    <s v="Warengruppencharts Anpassung an Office XP"/>
    <m/>
    <s v="Spiegel"/>
    <m/>
    <e v="#N/A"/>
    <e v="#N/A"/>
    <e v="#N/A"/>
    <e v="#N/A"/>
    <x v="2"/>
  </r>
  <r>
    <x v="366"/>
    <n v="6.5"/>
    <x v="17"/>
    <x v="0"/>
    <s v="Powercharts: Multithreading, Powercharts im Hintergrund"/>
    <m/>
    <s v="Kleinfeldt, Heil"/>
    <m/>
    <e v="#N/A"/>
    <e v="#N/A"/>
    <e v="#N/A"/>
    <e v="#N/A"/>
    <x v="2"/>
  </r>
  <r>
    <x v="367"/>
    <n v="6.5"/>
    <x v="17"/>
    <x v="0"/>
    <s v="Powercharts: Multithreading, Powercharts im Hintergrund"/>
    <m/>
    <s v="Kleinfeldt, Heil"/>
    <m/>
    <e v="#N/A"/>
    <e v="#N/A"/>
    <e v="#N/A"/>
    <e v="#N/A"/>
    <x v="2"/>
  </r>
  <r>
    <x v="368"/>
    <n v="6.5"/>
    <x v="16"/>
    <x v="0"/>
    <s v="Warengruppencharts Anpassung an Office XP"/>
    <m/>
    <s v="Spiegel"/>
    <m/>
    <e v="#N/A"/>
    <e v="#N/A"/>
    <e v="#N/A"/>
    <e v="#N/A"/>
    <x v="2"/>
  </r>
  <r>
    <x v="369"/>
    <n v="6.5"/>
    <x v="16"/>
    <x v="0"/>
    <s v="Warengruppencharts Anpassung an Office XP"/>
    <m/>
    <s v="Spiegel"/>
    <m/>
    <e v="#N/A"/>
    <e v="#N/A"/>
    <e v="#N/A"/>
    <e v="#N/A"/>
    <x v="2"/>
  </r>
  <r>
    <x v="370"/>
    <n v="3"/>
    <x v="7"/>
    <x v="0"/>
    <s v="RocheExport Hierarchien in neuer Datenbankstruktur"/>
    <m/>
    <s v="Günther"/>
    <m/>
    <e v="#N/A"/>
    <e v="#N/A"/>
    <e v="#N/A"/>
    <e v="#N/A"/>
    <x v="2"/>
  </r>
  <r>
    <x v="370"/>
    <n v="1"/>
    <x v="6"/>
    <x v="0"/>
    <s v="1. Angebot Klosterfrau"/>
    <m/>
    <s v="Heibl"/>
    <m/>
    <e v="#N/A"/>
    <e v="#N/A"/>
    <e v="#N/A"/>
    <e v="#N/A"/>
    <x v="2"/>
  </r>
  <r>
    <x v="370"/>
    <n v="2.5"/>
    <x v="16"/>
    <x v="0"/>
    <s v="Warengruppencharts Anpassung an Office XP: Test"/>
    <m/>
    <s v="Spiegel"/>
    <m/>
    <e v="#N/A"/>
    <e v="#N/A"/>
    <e v="#N/A"/>
    <e v="#N/A"/>
    <x v="2"/>
  </r>
  <r>
    <x v="371"/>
    <n v="1"/>
    <x v="6"/>
    <x v="0"/>
    <s v="2. Angebot Klosterfrau"/>
    <m/>
    <s v="Heibl"/>
    <m/>
    <e v="#N/A"/>
    <e v="#N/A"/>
    <e v="#N/A"/>
    <e v="#N/A"/>
    <x v="2"/>
  </r>
  <r>
    <x v="371"/>
    <n v="4.5"/>
    <x v="16"/>
    <x v="0"/>
    <s v="Warengruppencharts Anpassung an Office XP: neues Setup"/>
    <m/>
    <s v="Spiegel"/>
    <m/>
    <e v="#N/A"/>
    <e v="#N/A"/>
    <e v="#N/A"/>
    <e v="#N/A"/>
    <x v="2"/>
  </r>
  <r>
    <x v="372"/>
    <n v="7.5"/>
    <x v="20"/>
    <x v="0"/>
    <s v="OTCGMS Anpassungen"/>
    <m/>
    <s v="Spiegel/Charafeddine"/>
    <m/>
    <e v="#N/A"/>
    <e v="#N/A"/>
    <e v="#N/A"/>
    <e v="#N/A"/>
    <x v="2"/>
  </r>
  <r>
    <x v="373"/>
    <n v="6.5"/>
    <x v="20"/>
    <x v="0"/>
    <s v="OTCGMS Anpassungen"/>
    <m/>
    <s v="Spiegel/Charafeddine"/>
    <m/>
    <e v="#N/A"/>
    <e v="#N/A"/>
    <e v="#N/A"/>
    <e v="#N/A"/>
    <x v="2"/>
  </r>
  <r>
    <x v="374"/>
    <n v="7.5"/>
    <x v="30"/>
    <x v="0"/>
    <s v="HBTExport"/>
    <m/>
    <s v="Heibl"/>
    <m/>
    <e v="#N/A"/>
    <e v="#N/A"/>
    <e v="#N/A"/>
    <e v="#N/A"/>
    <x v="2"/>
  </r>
  <r>
    <x v="375"/>
    <n v="7.5"/>
    <x v="30"/>
    <x v="0"/>
    <s v="HBTExport"/>
    <m/>
    <s v="Heibl"/>
    <m/>
    <e v="#N/A"/>
    <e v="#N/A"/>
    <e v="#N/A"/>
    <e v="#N/A"/>
    <x v="2"/>
  </r>
  <r>
    <x v="376"/>
    <n v="2"/>
    <x v="17"/>
    <x v="0"/>
    <s v="Powercharts: Deinstallationsproblem"/>
    <m/>
    <s v="Schilly"/>
    <m/>
    <e v="#N/A"/>
    <e v="#N/A"/>
    <e v="#N/A"/>
    <e v="#N/A"/>
    <x v="2"/>
  </r>
  <r>
    <x v="376"/>
    <n v="3.5"/>
    <x v="30"/>
    <x v="0"/>
    <s v="HBTExport"/>
    <m/>
    <s v="Heibl"/>
    <m/>
    <e v="#N/A"/>
    <e v="#N/A"/>
    <e v="#N/A"/>
    <e v="#N/A"/>
    <x v="2"/>
  </r>
  <r>
    <x v="376"/>
    <n v="1"/>
    <x v="20"/>
    <x v="0"/>
    <s v="OTCGMS Besprechung Erweiterungen"/>
    <m/>
    <s v="Spiegel/Charafeddine"/>
    <m/>
    <e v="#N/A"/>
    <e v="#N/A"/>
    <e v="#N/A"/>
    <e v="#N/A"/>
    <x v="2"/>
  </r>
  <r>
    <x v="377"/>
    <n v="7"/>
    <x v="30"/>
    <x v="0"/>
    <s v="HBTExport Erweiterung Itemcodes"/>
    <m/>
    <s v="Heibl"/>
    <m/>
    <e v="#N/A"/>
    <e v="#N/A"/>
    <e v="#N/A"/>
    <e v="#N/A"/>
    <x v="2"/>
  </r>
  <r>
    <x v="378"/>
    <n v="4"/>
    <x v="30"/>
    <x v="0"/>
    <s v="HBTExport Anpassung neue Geos"/>
    <m/>
    <s v="Heibl"/>
    <m/>
    <e v="#N/A"/>
    <e v="#N/A"/>
    <e v="#N/A"/>
    <e v="#N/A"/>
    <x v="2"/>
  </r>
  <r>
    <x v="379"/>
    <n v="8.5"/>
    <x v="30"/>
    <x v="0"/>
    <s v="HBTExport Anpassung neue Geos"/>
    <m/>
    <s v="Heibl"/>
    <m/>
    <e v="#N/A"/>
    <e v="#N/A"/>
    <e v="#N/A"/>
    <e v="#N/A"/>
    <x v="2"/>
  </r>
  <r>
    <x v="380"/>
    <n v="1"/>
    <x v="7"/>
    <x v="0"/>
    <s v="Besprechung Datenschnittstelle Xponent"/>
    <m/>
    <s v="Borchard"/>
    <m/>
    <e v="#N/A"/>
    <e v="#N/A"/>
    <e v="#N/A"/>
    <e v="#N/A"/>
    <x v="2"/>
  </r>
  <r>
    <x v="380"/>
    <n v="7.5"/>
    <x v="20"/>
    <x v="0"/>
    <s v="OTCGMS Erweiterungen"/>
    <m/>
    <s v="Spiegel/Charafeddine"/>
    <m/>
    <e v="#N/A"/>
    <e v="#N/A"/>
    <e v="#N/A"/>
    <e v="#N/A"/>
    <x v="2"/>
  </r>
  <r>
    <x v="381"/>
    <n v="7.5"/>
    <x v="30"/>
    <x v="0"/>
    <s v="HBTExport Memory Leak, Export der internen Tags"/>
    <m/>
    <s v="Heibl"/>
    <m/>
    <e v="#N/A"/>
    <e v="#N/A"/>
    <e v="#N/A"/>
    <e v="#N/A"/>
    <x v="2"/>
  </r>
  <r>
    <x v="382"/>
    <n v="1"/>
    <x v="30"/>
    <x v="0"/>
    <s v="HBTExport: Korrektur falsche Geo"/>
    <m/>
    <s v="Heibl"/>
    <m/>
    <e v="#N/A"/>
    <e v="#N/A"/>
    <e v="#N/A"/>
    <e v="#N/A"/>
    <x v="2"/>
  </r>
  <r>
    <x v="382"/>
    <n v="6.5"/>
    <x v="20"/>
    <x v="0"/>
    <s v="OTCGMS Erweiterungen"/>
    <m/>
    <s v="Spiegel/Charafeddine"/>
    <m/>
    <e v="#N/A"/>
    <e v="#N/A"/>
    <e v="#N/A"/>
    <e v="#N/A"/>
    <x v="2"/>
  </r>
  <r>
    <x v="383"/>
    <n v="8.5"/>
    <x v="20"/>
    <x v="0"/>
    <s v="OTCGMS Erweiterungen"/>
    <m/>
    <s v="Spiegel/Charafeddine"/>
    <m/>
    <e v="#N/A"/>
    <e v="#N/A"/>
    <e v="#N/A"/>
    <e v="#N/A"/>
    <x v="2"/>
  </r>
  <r>
    <x v="384"/>
    <n v="6.5"/>
    <x v="20"/>
    <x v="0"/>
    <s v="OTCGMS Erweiterungen"/>
    <m/>
    <s v="Spiegel/Charafeddine"/>
    <m/>
    <e v="#N/A"/>
    <e v="#N/A"/>
    <e v="#N/A"/>
    <e v="#N/A"/>
    <x v="2"/>
  </r>
  <r>
    <x v="384"/>
    <n v="1"/>
    <x v="17"/>
    <x v="0"/>
    <s v="Powercharts Laufzeitproblem"/>
    <m/>
    <s v="Kleinfeldt, Heil"/>
    <m/>
    <e v="#N/A"/>
    <e v="#N/A"/>
    <e v="#N/A"/>
    <e v="#N/A"/>
    <x v="2"/>
  </r>
  <r>
    <x v="385"/>
    <n v="5.5"/>
    <x v="20"/>
    <x v="0"/>
    <s v="OTCGMS Erweiterungen"/>
    <m/>
    <s v="Spiegel/Charafeddine"/>
    <m/>
    <e v="#N/A"/>
    <e v="#N/A"/>
    <e v="#N/A"/>
    <e v="#N/A"/>
    <x v="2"/>
  </r>
  <r>
    <x v="386"/>
    <n v="8.5"/>
    <x v="31"/>
    <x v="0"/>
    <s v="XPONENT Schnittstelle"/>
    <m/>
    <s v="Borchard"/>
    <m/>
    <e v="#N/A"/>
    <e v="#N/A"/>
    <e v="#N/A"/>
    <e v="#N/A"/>
    <x v="2"/>
  </r>
  <r>
    <x v="387"/>
    <n v="8.5"/>
    <x v="31"/>
    <x v="0"/>
    <s v="XPONENT Schnittstelle"/>
    <m/>
    <s v="Borchard"/>
    <m/>
    <e v="#N/A"/>
    <e v="#N/A"/>
    <e v="#N/A"/>
    <e v="#N/A"/>
    <x v="2"/>
  </r>
  <r>
    <x v="388"/>
    <n v="2"/>
    <x v="20"/>
    <x v="0"/>
    <s v="OTCGMS Support"/>
    <m/>
    <s v="Spiegel/Charafeddine"/>
    <m/>
    <e v="#N/A"/>
    <e v="#N/A"/>
    <e v="#N/A"/>
    <e v="#N/A"/>
    <x v="2"/>
  </r>
  <r>
    <x v="388"/>
    <n v="6"/>
    <x v="31"/>
    <x v="0"/>
    <s v="XPONENT Schnittstelle"/>
    <m/>
    <s v="Borchard"/>
    <m/>
    <e v="#N/A"/>
    <e v="#N/A"/>
    <e v="#N/A"/>
    <e v="#N/A"/>
    <x v="2"/>
  </r>
  <r>
    <x v="389"/>
    <n v="8"/>
    <x v="20"/>
    <x v="0"/>
    <s v="OTCGMS Erweiterungen MAT Charts, flexible Zeiterkennung"/>
    <m/>
    <s v="Spiegel/Charafeddine"/>
    <m/>
    <e v="#N/A"/>
    <e v="#N/A"/>
    <e v="#N/A"/>
    <e v="#N/A"/>
    <x v="2"/>
  </r>
  <r>
    <x v="390"/>
    <n v="5"/>
    <x v="20"/>
    <x v="0"/>
    <s v="OTCGMS Anpassung Titel"/>
    <m/>
    <s v="Spiegel/Charafeddine"/>
    <m/>
    <e v="#N/A"/>
    <e v="#N/A"/>
    <e v="#N/A"/>
    <e v="#N/A"/>
    <x v="2"/>
  </r>
  <r>
    <x v="391"/>
    <n v="8.5"/>
    <x v="31"/>
    <x v="0"/>
    <s v="XPONENT Schnittstelle"/>
    <m/>
    <s v="Borchard"/>
    <m/>
    <e v="#N/A"/>
    <e v="#N/A"/>
    <e v="#N/A"/>
    <e v="#N/A"/>
    <x v="2"/>
  </r>
  <r>
    <x v="392"/>
    <n v="8.5"/>
    <x v="31"/>
    <x v="0"/>
    <s v="XPONENT Schnittstelle"/>
    <m/>
    <s v="Borchard"/>
    <m/>
    <e v="#N/A"/>
    <e v="#N/A"/>
    <e v="#N/A"/>
    <e v="#N/A"/>
    <x v="2"/>
  </r>
  <r>
    <x v="393"/>
    <n v="8"/>
    <x v="31"/>
    <x v="0"/>
    <s v="XPONENT Schnittstelle"/>
    <m/>
    <s v="Borchard"/>
    <m/>
    <e v="#N/A"/>
    <e v="#N/A"/>
    <e v="#N/A"/>
    <e v="#N/A"/>
    <x v="2"/>
  </r>
  <r>
    <x v="394"/>
    <n v="6"/>
    <x v="31"/>
    <x v="0"/>
    <s v="XPONENT Schnittstelle"/>
    <m/>
    <s v="Borchard"/>
    <m/>
    <e v="#N/A"/>
    <e v="#N/A"/>
    <e v="#N/A"/>
    <e v="#N/A"/>
    <x v="2"/>
  </r>
  <r>
    <x v="395"/>
    <n v="6"/>
    <x v="31"/>
    <x v="0"/>
    <s v="XPONENT Schnittstelle"/>
    <m/>
    <s v="Borchard"/>
    <m/>
    <e v="#N/A"/>
    <e v="#N/A"/>
    <e v="#N/A"/>
    <e v="#N/A"/>
    <x v="2"/>
  </r>
  <r>
    <x v="396"/>
    <n v="7.5"/>
    <x v="20"/>
    <x v="0"/>
    <s v="OTCGMS Anpassung Typ 1 und 2 Reports"/>
    <m/>
    <s v="Spiegel/Charafeddine"/>
    <m/>
    <e v="#N/A"/>
    <e v="#N/A"/>
    <e v="#N/A"/>
    <e v="#N/A"/>
    <x v="2"/>
  </r>
  <r>
    <x v="397"/>
    <n v="8.5"/>
    <x v="17"/>
    <x v="0"/>
    <s v="Powercharts: Anpassung Newsletter Charts"/>
    <m/>
    <s v="Kleinfeldt, Heil"/>
    <m/>
    <e v="#N/A"/>
    <e v="#N/A"/>
    <e v="#N/A"/>
    <e v="#N/A"/>
    <x v="2"/>
  </r>
  <r>
    <x v="398"/>
    <n v="8.5"/>
    <x v="17"/>
    <x v="0"/>
    <s v="Powercharts: Anpassung Newsletter Charts"/>
    <m/>
    <s v="Kleinfeldt, Heil"/>
    <m/>
    <e v="#N/A"/>
    <e v="#N/A"/>
    <e v="#N/A"/>
    <e v="#N/A"/>
    <x v="2"/>
  </r>
  <r>
    <x v="399"/>
    <n v="7.5"/>
    <x v="17"/>
    <x v="0"/>
    <s v="Powercharts: Anpassung Newsletter Charts"/>
    <m/>
    <s v="Kleinfeldt, Heil"/>
    <m/>
    <e v="#N/A"/>
    <e v="#N/A"/>
    <e v="#N/A"/>
    <e v="#N/A"/>
    <x v="2"/>
  </r>
  <r>
    <x v="400"/>
    <n v="1"/>
    <x v="6"/>
    <x v="0"/>
    <s v="Setuperstellung Woelm Reporting"/>
    <m/>
    <s v="Tuchel"/>
    <m/>
    <e v="#N/A"/>
    <e v="#N/A"/>
    <e v="#N/A"/>
    <e v="#N/A"/>
    <x v="2"/>
  </r>
  <r>
    <x v="400"/>
    <n v="2"/>
    <x v="17"/>
    <x v="0"/>
    <s v="Powercharts: Setup Win2000 + XP"/>
    <m/>
    <s v="Kleinfeldt, Heil"/>
    <m/>
    <e v="#N/A"/>
    <e v="#N/A"/>
    <e v="#N/A"/>
    <e v="#N/A"/>
    <x v="2"/>
  </r>
  <r>
    <x v="400"/>
    <n v="4.5"/>
    <x v="20"/>
    <x v="0"/>
    <s v="OTCGMS Formatierung Bericht Typ 1+2"/>
    <m/>
    <s v="Spiegel/Charafeddine"/>
    <m/>
    <e v="#N/A"/>
    <e v="#N/A"/>
    <e v="#N/A"/>
    <e v="#N/A"/>
    <x v="2"/>
  </r>
  <r>
    <x v="401"/>
    <n v="5"/>
    <x v="20"/>
    <x v="0"/>
    <s v="OTCGMS Formatierung Bericht Typ 1+2 Setuperstellung"/>
    <m/>
    <s v="Spiegel/Charafeddine"/>
    <m/>
    <e v="#N/A"/>
    <e v="#N/A"/>
    <e v="#N/A"/>
    <e v="#N/A"/>
    <x v="2"/>
  </r>
  <r>
    <x v="402"/>
    <n v="6"/>
    <x v="31"/>
    <x v="0"/>
    <s v="XPONENT Schnittstelle"/>
    <m/>
    <s v="Borchard"/>
    <m/>
    <e v="#N/A"/>
    <e v="#N/A"/>
    <e v="#N/A"/>
    <e v="#N/A"/>
    <x v="2"/>
  </r>
  <r>
    <x v="403"/>
    <n v="7"/>
    <x v="31"/>
    <x v="0"/>
    <s v="XPONENT Schnittstelle"/>
    <m/>
    <s v="Borchard"/>
    <m/>
    <e v="#N/A"/>
    <e v="#N/A"/>
    <e v="#N/A"/>
    <e v="#N/A"/>
    <x v="2"/>
  </r>
  <r>
    <x v="404"/>
    <n v="7.5"/>
    <x v="31"/>
    <x v="0"/>
    <s v="XPONENT Schnittstelle"/>
    <m/>
    <s v="Borchard"/>
    <m/>
    <e v="#N/A"/>
    <e v="#N/A"/>
    <e v="#N/A"/>
    <e v="#N/A"/>
    <x v="2"/>
  </r>
  <r>
    <x v="405"/>
    <n v="7.5"/>
    <x v="31"/>
    <x v="0"/>
    <s v="XPONENT Schnittstelle"/>
    <m/>
    <s v="Borchard"/>
    <m/>
    <e v="#N/A"/>
    <e v="#N/A"/>
    <e v="#N/A"/>
    <e v="#N/A"/>
    <x v="2"/>
  </r>
  <r>
    <x v="406"/>
    <n v="7.5"/>
    <x v="6"/>
    <x v="0"/>
    <s v="Prototyp: POSNeu Integration Produktbildern"/>
    <m/>
    <s v="Forster"/>
    <m/>
    <e v="#N/A"/>
    <e v="#N/A"/>
    <e v="#N/A"/>
    <e v="#N/A"/>
    <x v="2"/>
  </r>
  <r>
    <x v="407"/>
    <n v="7"/>
    <x v="31"/>
    <x v="0"/>
    <s v="XPONENT Schnittstelle"/>
    <m/>
    <s v="Borchard"/>
    <m/>
    <e v="#N/A"/>
    <e v="#N/A"/>
    <e v="#N/A"/>
    <e v="#N/A"/>
    <x v="2"/>
  </r>
  <r>
    <x v="408"/>
    <n v="5.5"/>
    <x v="31"/>
    <x v="0"/>
    <s v="XPONENT Schnittstelle"/>
    <m/>
    <s v="Borchard"/>
    <m/>
    <e v="#N/A"/>
    <e v="#N/A"/>
    <e v="#N/A"/>
    <e v="#N/A"/>
    <x v="2"/>
  </r>
  <r>
    <x v="409"/>
    <n v="5.5"/>
    <x v="32"/>
    <x v="0"/>
    <s v="XLFormat"/>
    <m/>
    <s v="Runkel"/>
    <m/>
    <e v="#N/A"/>
    <e v="#N/A"/>
    <e v="#N/A"/>
    <e v="#N/A"/>
    <x v="2"/>
  </r>
  <r>
    <x v="410"/>
    <n v="8.5"/>
    <x v="32"/>
    <x v="0"/>
    <s v="XLFormat"/>
    <m/>
    <s v="Runkel"/>
    <m/>
    <e v="#N/A"/>
    <e v="#N/A"/>
    <e v="#N/A"/>
    <e v="#N/A"/>
    <x v="2"/>
  </r>
  <r>
    <x v="411"/>
    <n v="7.5"/>
    <x v="32"/>
    <x v="0"/>
    <s v="XLFormat"/>
    <m/>
    <s v="Runkel"/>
    <m/>
    <e v="#N/A"/>
    <e v="#N/A"/>
    <e v="#N/A"/>
    <e v="#N/A"/>
    <x v="2"/>
  </r>
  <r>
    <x v="412"/>
    <n v="8.5"/>
    <x v="17"/>
    <x v="0"/>
    <s v="Powercharts: compressPP2003 und compressPPXP"/>
    <m/>
    <s v="Kleinfeldt, Heil"/>
    <m/>
    <e v="#N/A"/>
    <e v="#N/A"/>
    <e v="#N/A"/>
    <e v="#N/A"/>
    <x v="2"/>
  </r>
  <r>
    <x v="413"/>
    <n v="5"/>
    <x v="31"/>
    <x v="0"/>
    <s v="XPONENT Schnittstelle"/>
    <m/>
    <s v="Borchard"/>
    <m/>
    <e v="#N/A"/>
    <e v="#N/A"/>
    <e v="#N/A"/>
    <e v="#N/A"/>
    <x v="2"/>
  </r>
  <r>
    <x v="413"/>
    <n v="3.5"/>
    <x v="6"/>
    <x v="0"/>
    <s v="Anpassung IMSSetup"/>
    <m/>
    <s v="Tuchel"/>
    <m/>
    <e v="#N/A"/>
    <e v="#N/A"/>
    <e v="#N/A"/>
    <e v="#N/A"/>
    <x v="2"/>
  </r>
  <r>
    <x v="414"/>
    <n v="5.5"/>
    <x v="31"/>
    <x v="0"/>
    <s v="XPONENT Schnittstelle"/>
    <m/>
    <s v="Borchard"/>
    <m/>
    <e v="#N/A"/>
    <e v="#N/A"/>
    <e v="#N/A"/>
    <e v="#N/A"/>
    <x v="2"/>
  </r>
  <r>
    <x v="415"/>
    <n v="7.5"/>
    <x v="31"/>
    <x v="0"/>
    <s v="XPONENT Schnittstelle"/>
    <m/>
    <s v="Borchard"/>
    <m/>
    <e v="#N/A"/>
    <e v="#N/A"/>
    <e v="#N/A"/>
    <e v="#N/A"/>
    <x v="2"/>
  </r>
  <r>
    <x v="416"/>
    <n v="8.5"/>
    <x v="31"/>
    <x v="0"/>
    <s v="XPONENT Schnittstelle"/>
    <m/>
    <s v="Borchard"/>
    <m/>
    <e v="#N/A"/>
    <e v="#N/A"/>
    <e v="#N/A"/>
    <e v="#N/A"/>
    <x v="2"/>
  </r>
  <r>
    <x v="417"/>
    <n v="8.5"/>
    <x v="31"/>
    <x v="0"/>
    <s v="XPONENT Schnittstelle"/>
    <m/>
    <s v="Borchard"/>
    <m/>
    <e v="#N/A"/>
    <e v="#N/A"/>
    <e v="#N/A"/>
    <e v="#N/A"/>
    <x v="2"/>
  </r>
  <r>
    <x v="418"/>
    <n v="7.5"/>
    <x v="6"/>
    <x v="0"/>
    <s v="Database Manager Bugfixing und Setuperstellung"/>
    <m/>
    <s v="Tuchel"/>
    <m/>
    <e v="#N/A"/>
    <e v="#N/A"/>
    <e v="#N/A"/>
    <e v="#N/A"/>
    <x v="2"/>
  </r>
  <r>
    <x v="419"/>
    <n v="5.5"/>
    <x v="6"/>
    <x v="0"/>
    <s v="IMSSetup Tool Anpassung"/>
    <m/>
    <s v="Tuchel"/>
    <m/>
    <e v="#N/A"/>
    <e v="#N/A"/>
    <e v="#N/A"/>
    <e v="#N/A"/>
    <x v="2"/>
  </r>
  <r>
    <x v="419"/>
    <n v="3"/>
    <x v="7"/>
    <x v="0"/>
    <s v="SQL Server 2005 + Visual Studio 2005 Evaluierung"/>
    <m/>
    <s v="Borchard"/>
    <m/>
    <e v="#N/A"/>
    <e v="#N/A"/>
    <e v="#N/A"/>
    <e v="#N/A"/>
    <x v="2"/>
  </r>
  <r>
    <x v="420"/>
    <n v="3"/>
    <x v="6"/>
    <x v="0"/>
    <s v="Woem Reporting Fehler 3447 Jet Engine Anpassung Setup"/>
    <m/>
    <s v="Tuchel"/>
    <m/>
    <e v="#N/A"/>
    <e v="#N/A"/>
    <e v="#N/A"/>
    <e v="#N/A"/>
    <x v="2"/>
  </r>
  <r>
    <x v="420"/>
    <n v="4.5"/>
    <x v="7"/>
    <x v="0"/>
    <s v="SQL Server 2005 + Visual Studio 2005 Evaluierung"/>
    <m/>
    <s v="Borchard"/>
    <m/>
    <e v="#N/A"/>
    <e v="#N/A"/>
    <e v="#N/A"/>
    <e v="#N/A"/>
    <x v="2"/>
  </r>
  <r>
    <x v="421"/>
    <n v="4"/>
    <x v="6"/>
    <x v="0"/>
    <s v="Woem Reporting Fehler 3447 Jet Engine Troubleshooting"/>
    <m/>
    <s v="Tuchel"/>
    <m/>
    <e v="#N/A"/>
    <e v="#N/A"/>
    <e v="#N/A"/>
    <e v="#N/A"/>
    <x v="2"/>
  </r>
  <r>
    <x v="421"/>
    <n v="3.5"/>
    <x v="7"/>
    <x v="0"/>
    <s v="SQL Server 2005 + Visual Studio 2005 Evaluierung"/>
    <m/>
    <s v="Borchard"/>
    <m/>
    <e v="#N/A"/>
    <e v="#N/A"/>
    <e v="#N/A"/>
    <e v="#N/A"/>
    <x v="2"/>
  </r>
  <r>
    <x v="422"/>
    <n v="4.5"/>
    <x v="6"/>
    <x v="0"/>
    <s v="Coloplast MDXe"/>
    <m/>
    <s v="Tuchel"/>
    <m/>
    <e v="#N/A"/>
    <e v="#N/A"/>
    <e v="#N/A"/>
    <e v="#N/A"/>
    <x v="2"/>
  </r>
  <r>
    <x v="422"/>
    <n v="1.5"/>
    <x v="7"/>
    <x v="0"/>
    <s v="Einrichtung Reporting Services"/>
    <m/>
    <s v="Borchard"/>
    <m/>
    <e v="#N/A"/>
    <e v="#N/A"/>
    <e v="#N/A"/>
    <e v="#N/A"/>
    <x v="2"/>
  </r>
  <r>
    <x v="423"/>
    <n v="7.5"/>
    <x v="7"/>
    <x v="0"/>
    <s v="SQL Server 2005 + Visual Studio 2005 Evaluierung"/>
    <m/>
    <s v="Borchard"/>
    <m/>
    <e v="#N/A"/>
    <e v="#N/A"/>
    <e v="#N/A"/>
    <e v="#N/A"/>
    <x v="2"/>
  </r>
  <r>
    <x v="424"/>
    <n v="4.5"/>
    <x v="7"/>
    <x v="0"/>
    <s v="SQL Server 2005 + Visual Studio 2005 Evaluierung"/>
    <m/>
    <s v="Borchard"/>
    <m/>
    <e v="#N/A"/>
    <e v="#N/A"/>
    <e v="#N/A"/>
    <e v="#N/A"/>
    <x v="2"/>
  </r>
  <r>
    <x v="424"/>
    <n v="3"/>
    <x v="6"/>
    <x v="0"/>
    <s v="Woem Reporting Fehler 3447 Jet Engine Troubleshooting"/>
    <m/>
    <s v="Heibl"/>
    <m/>
    <e v="#N/A"/>
    <e v="#N/A"/>
    <e v="#N/A"/>
    <e v="#N/A"/>
    <x v="2"/>
  </r>
  <r>
    <x v="425"/>
    <n v="6"/>
    <x v="7"/>
    <x v="0"/>
    <s v="Reporting Services Control SalesExport Variante A"/>
    <m/>
    <s v="Borchard"/>
    <m/>
    <e v="#N/A"/>
    <e v="#N/A"/>
    <e v="#N/A"/>
    <e v="#N/A"/>
    <x v="2"/>
  </r>
  <r>
    <x v="426"/>
    <n v="8.5"/>
    <x v="7"/>
    <x v="0"/>
    <s v="Reporting Services Control SalesExport Variante A"/>
    <m/>
    <s v="Borchard"/>
    <m/>
    <e v="#N/A"/>
    <e v="#N/A"/>
    <e v="#N/A"/>
    <e v="#N/A"/>
    <x v="2"/>
  </r>
  <r>
    <x v="427"/>
    <n v="4.5"/>
    <x v="7"/>
    <x v="0"/>
    <s v="Reporting Services Control SalesExport Variante A"/>
    <m/>
    <s v="Borchard"/>
    <m/>
    <e v="#N/A"/>
    <e v="#N/A"/>
    <e v="#N/A"/>
    <e v="#N/A"/>
    <x v="2"/>
  </r>
  <r>
    <x v="428"/>
    <n v="4"/>
    <x v="9"/>
    <x v="0"/>
    <s v="CognosConvert Anpassung"/>
    <m/>
    <s v="Ying Wang"/>
    <m/>
    <e v="#N/A"/>
    <e v="#N/A"/>
    <e v="#N/A"/>
    <e v="#N/A"/>
    <x v="2"/>
  </r>
  <r>
    <x v="428"/>
    <n v="3.5"/>
    <x v="16"/>
    <x v="0"/>
    <s v="OTC Powerpoint Anpassungen"/>
    <m/>
    <s v="Charafeddine"/>
    <m/>
    <e v="#N/A"/>
    <e v="#N/A"/>
    <e v="#N/A"/>
    <e v="#N/A"/>
    <x v="2"/>
  </r>
  <r>
    <x v="429"/>
    <n v="4"/>
    <x v="16"/>
    <x v="0"/>
    <s v="OTC Powerpoint Anpassungen"/>
    <m/>
    <s v="Charafeddine"/>
    <m/>
    <e v="#N/A"/>
    <e v="#N/A"/>
    <e v="#N/A"/>
    <e v="#N/A"/>
    <x v="2"/>
  </r>
  <r>
    <x v="429"/>
    <n v="3.5"/>
    <x v="7"/>
    <x v="0"/>
    <s v="Reporting Services Control Evaluierung für autoreports"/>
    <m/>
    <s v="Borchard"/>
    <m/>
    <e v="#N/A"/>
    <e v="#N/A"/>
    <e v="#N/A"/>
    <e v="#N/A"/>
    <x v="2"/>
  </r>
  <r>
    <x v="430"/>
    <n v="7.5"/>
    <x v="7"/>
    <x v="0"/>
    <s v="Reporting Services Control Evaluierung für autoreports"/>
    <m/>
    <s v="Borchard"/>
    <m/>
    <e v="#N/A"/>
    <e v="#N/A"/>
    <e v="#N/A"/>
    <e v="#N/A"/>
    <x v="2"/>
  </r>
  <r>
    <x v="431"/>
    <n v="2"/>
    <x v="16"/>
    <x v="0"/>
    <s v="OTC Powerpoint Anpassungen"/>
    <m/>
    <s v="Charafeddine"/>
    <m/>
    <e v="#N/A"/>
    <e v="#N/A"/>
    <e v="#N/A"/>
    <e v="#N/A"/>
    <x v="2"/>
  </r>
  <r>
    <x v="431"/>
    <n v="5.5"/>
    <x v="7"/>
    <x v="0"/>
    <s v="Reporting Services Control Evaluierung für autoreports"/>
    <m/>
    <s v="Borchard"/>
    <m/>
    <e v="#N/A"/>
    <e v="#N/A"/>
    <e v="#N/A"/>
    <e v="#N/A"/>
    <x v="2"/>
  </r>
  <r>
    <x v="432"/>
    <n v="7.5"/>
    <x v="7"/>
    <x v="0"/>
    <s v="Reporting Services Control Evaluierung für autoreports"/>
    <m/>
    <s v="Borchard"/>
    <m/>
    <e v="#N/A"/>
    <e v="#N/A"/>
    <e v="#N/A"/>
    <e v="#N/A"/>
    <x v="2"/>
  </r>
  <r>
    <x v="433"/>
    <n v="4"/>
    <x v="6"/>
    <x v="0"/>
    <s v="Support Woem Reporting Fehler 3447 Jet Kundenrechner"/>
    <m/>
    <s v="Tuchel"/>
    <m/>
    <e v="#N/A"/>
    <e v="#N/A"/>
    <e v="#N/A"/>
    <e v="#N/A"/>
    <x v="2"/>
  </r>
  <r>
    <x v="433"/>
    <n v="3.5"/>
    <x v="7"/>
    <x v="0"/>
    <s v="Reporting Services Control Evaluierung für autoreports"/>
    <m/>
    <s v="Borchard"/>
    <m/>
    <e v="#N/A"/>
    <e v="#N/A"/>
    <e v="#N/A"/>
    <e v="#N/A"/>
    <x v="2"/>
  </r>
  <r>
    <x v="434"/>
    <n v="8.5"/>
    <x v="7"/>
    <x v="0"/>
    <s v="Reporting Prototyp Wolff"/>
    <m/>
    <s v="Runkel"/>
    <m/>
    <e v="#N/A"/>
    <e v="#N/A"/>
    <e v="#N/A"/>
    <e v="#N/A"/>
    <x v="2"/>
  </r>
  <r>
    <x v="435"/>
    <n v="8.5"/>
    <x v="7"/>
    <x v="0"/>
    <s v="Reporting Prototyp Wolff"/>
    <m/>
    <s v="Runkel"/>
    <m/>
    <e v="#N/A"/>
    <e v="#N/A"/>
    <e v="#N/A"/>
    <e v="#N/A"/>
    <x v="2"/>
  </r>
  <r>
    <x v="436"/>
    <n v="5"/>
    <x v="7"/>
    <x v="0"/>
    <s v="Reporting Prototyp Wolff"/>
    <m/>
    <s v="Runkel"/>
    <m/>
    <e v="#N/A"/>
    <e v="#N/A"/>
    <e v="#N/A"/>
    <e v="#N/A"/>
    <x v="2"/>
  </r>
  <r>
    <x v="436"/>
    <n v="1.5"/>
    <x v="7"/>
    <x v="0"/>
    <s v="VMS Setup Tool Anpassungen"/>
    <m/>
    <s v="Holzmeier"/>
    <m/>
    <e v="#N/A"/>
    <e v="#N/A"/>
    <e v="#N/A"/>
    <e v="#N/A"/>
    <x v="2"/>
  </r>
  <r>
    <x v="437"/>
    <n v="7"/>
    <x v="7"/>
    <x v="0"/>
    <s v="Reporting Prototyp Wolff Datenzugriff"/>
    <m/>
    <s v="Runkel"/>
    <m/>
    <e v="#N/A"/>
    <e v="#N/A"/>
    <e v="#N/A"/>
    <e v="#N/A"/>
    <x v="2"/>
  </r>
  <r>
    <x v="438"/>
    <n v="7.5"/>
    <x v="7"/>
    <x v="0"/>
    <s v="Reporting Prototyp Wolff Datenzugriff"/>
    <m/>
    <s v="Runkel"/>
    <m/>
    <e v="#N/A"/>
    <e v="#N/A"/>
    <e v="#N/A"/>
    <e v="#N/A"/>
    <x v="2"/>
  </r>
  <r>
    <x v="439"/>
    <n v="4.5"/>
    <x v="7"/>
    <x v="0"/>
    <s v="Reporting Prototyp Wolff Datenzugriff"/>
    <m/>
    <s v="Runkel"/>
    <m/>
    <e v="#N/A"/>
    <e v="#N/A"/>
    <e v="#N/A"/>
    <e v="#N/A"/>
    <x v="2"/>
  </r>
  <r>
    <x v="439"/>
    <n v="4"/>
    <x v="6"/>
    <x v="0"/>
    <s v="VMS Setup Tool Anpassungen"/>
    <m/>
    <s v="Tuchel"/>
    <m/>
    <e v="#N/A"/>
    <e v="#N/A"/>
    <e v="#N/A"/>
    <e v="#N/A"/>
    <x v="2"/>
  </r>
  <r>
    <x v="440"/>
    <n v="7.5"/>
    <x v="16"/>
    <x v="0"/>
    <s v="OTC Powerpoint Anpassungen"/>
    <m/>
    <s v="Charafeddine"/>
    <m/>
    <e v="#N/A"/>
    <e v="#N/A"/>
    <e v="#N/A"/>
    <e v="#N/A"/>
    <x v="2"/>
  </r>
  <r>
    <x v="441"/>
    <n v="2"/>
    <x v="6"/>
    <x v="0"/>
    <s v="VMS Setup Tool Anpassungen"/>
    <m/>
    <s v="Tuchel"/>
    <m/>
    <e v="#N/A"/>
    <e v="#N/A"/>
    <e v="#N/A"/>
    <e v="#N/A"/>
    <x v="2"/>
  </r>
  <r>
    <x v="441"/>
    <n v="4"/>
    <x v="16"/>
    <x v="0"/>
    <s v="OTC Powerpoint Anpassungen"/>
    <m/>
    <s v="Charafeddine"/>
    <m/>
    <e v="#N/A"/>
    <e v="#N/A"/>
    <e v="#N/A"/>
    <e v="#N/A"/>
    <x v="2"/>
  </r>
  <r>
    <x v="442"/>
    <n v="7.5"/>
    <x v="6"/>
    <x v="0"/>
    <s v="VMS Setup Tool Anpassungen"/>
    <m/>
    <s v="Tuchel"/>
    <m/>
    <e v="#N/A"/>
    <e v="#N/A"/>
    <e v="#N/A"/>
    <e v="#N/A"/>
    <x v="2"/>
  </r>
  <r>
    <x v="443"/>
    <n v="1"/>
    <x v="7"/>
    <x v="0"/>
    <s v="Besprechung VMS Setup"/>
    <m/>
    <s v="Holzmeier"/>
    <m/>
    <e v="#N/A"/>
    <e v="#N/A"/>
    <e v="#N/A"/>
    <e v="#N/A"/>
    <x v="2"/>
  </r>
  <r>
    <x v="443"/>
    <n v="6.5"/>
    <x v="7"/>
    <x v="0"/>
    <s v="Autoreports"/>
    <m/>
    <s v="Borchard"/>
    <m/>
    <e v="#N/A"/>
    <e v="#N/A"/>
    <e v="#N/A"/>
    <e v="#N/A"/>
    <x v="2"/>
  </r>
  <r>
    <x v="444"/>
    <n v="4"/>
    <x v="33"/>
    <x v="0"/>
    <s v="CSV Export"/>
    <m/>
    <s v="Tuchel"/>
    <m/>
    <e v="#N/A"/>
    <e v="#N/A"/>
    <e v="#N/A"/>
    <e v="#N/A"/>
    <x v="2"/>
  </r>
  <r>
    <x v="444"/>
    <n v="3.5"/>
    <x v="7"/>
    <x v="0"/>
    <s v="Autoreports"/>
    <m/>
    <s v="Borchard"/>
    <m/>
    <e v="#N/A"/>
    <e v="#N/A"/>
    <e v="#N/A"/>
    <e v="#N/A"/>
    <x v="2"/>
  </r>
  <r>
    <x v="445"/>
    <n v="7.5"/>
    <x v="7"/>
    <x v="0"/>
    <s v="Autoreports"/>
    <m/>
    <s v="Borchard"/>
    <m/>
    <e v="#N/A"/>
    <e v="#N/A"/>
    <e v="#N/A"/>
    <e v="#N/A"/>
    <x v="2"/>
  </r>
  <r>
    <x v="446"/>
    <n v="6"/>
    <x v="7"/>
    <x v="0"/>
    <s v="Autoreports"/>
    <m/>
    <s v="Borchard"/>
    <m/>
    <e v="#N/A"/>
    <e v="#N/A"/>
    <e v="#N/A"/>
    <e v="#N/A"/>
    <x v="2"/>
  </r>
  <r>
    <x v="447"/>
    <n v="6.5"/>
    <x v="7"/>
    <x v="0"/>
    <s v="Autoreports"/>
    <m/>
    <s v="Borchard"/>
    <m/>
    <e v="#N/A"/>
    <e v="#N/A"/>
    <e v="#N/A"/>
    <e v="#N/A"/>
    <x v="2"/>
  </r>
  <r>
    <x v="448"/>
    <n v="7.5"/>
    <x v="7"/>
    <x v="0"/>
    <s v="Autoreports"/>
    <m/>
    <s v="Borchard"/>
    <m/>
    <e v="#N/A"/>
    <e v="#N/A"/>
    <e v="#N/A"/>
    <e v="#N/A"/>
    <x v="2"/>
  </r>
  <r>
    <x v="449"/>
    <n v="7.5"/>
    <x v="6"/>
    <x v="0"/>
    <s v="Prototyp: SA Bilder"/>
    <m/>
    <s v="Forster"/>
    <m/>
    <e v="#N/A"/>
    <e v="#N/A"/>
    <e v="#N/A"/>
    <e v="#N/A"/>
    <x v="2"/>
  </r>
  <r>
    <x v="450"/>
    <n v="7"/>
    <x v="6"/>
    <x v="0"/>
    <s v="Prototyp: SA Bilder"/>
    <m/>
    <s v="Forster"/>
    <m/>
    <e v="#N/A"/>
    <e v="#N/A"/>
    <e v="#N/A"/>
    <e v="#N/A"/>
    <x v="2"/>
  </r>
  <r>
    <x v="451"/>
    <n v="8"/>
    <x v="7"/>
    <x v="0"/>
    <s v="Autoreports"/>
    <m/>
    <s v="Borchard"/>
    <m/>
    <e v="#N/A"/>
    <e v="#N/A"/>
    <e v="#N/A"/>
    <e v="#N/A"/>
    <x v="2"/>
  </r>
  <r>
    <x v="452"/>
    <n v="7"/>
    <x v="6"/>
    <x v="0"/>
    <s v="Prototyp: POSNeu Integration Produktbildern"/>
    <m/>
    <s v="Forster"/>
    <m/>
    <e v="#N/A"/>
    <e v="#N/A"/>
    <e v="#N/A"/>
    <e v="#N/A"/>
    <x v="3"/>
  </r>
  <r>
    <x v="453"/>
    <n v="7.5"/>
    <x v="6"/>
    <x v="0"/>
    <s v="Prototyp: POSNeu Integration Produktbildern"/>
    <m/>
    <s v="Forster"/>
    <m/>
    <e v="#N/A"/>
    <e v="#N/A"/>
    <e v="#N/A"/>
    <e v="#N/A"/>
    <x v="3"/>
  </r>
  <r>
    <x v="454"/>
    <n v="7.5"/>
    <x v="6"/>
    <x v="0"/>
    <s v="Prototyp: POSNeu Integration Produktbildern"/>
    <m/>
    <s v="Forster"/>
    <m/>
    <e v="#N/A"/>
    <e v="#N/A"/>
    <e v="#N/A"/>
    <e v="#N/A"/>
    <x v="3"/>
  </r>
  <r>
    <x v="455"/>
    <n v="7"/>
    <x v="7"/>
    <x v="0"/>
    <s v="Autoreports"/>
    <m/>
    <s v="Borchard"/>
    <m/>
    <e v="#N/A"/>
    <e v="#N/A"/>
    <e v="#N/A"/>
    <e v="#N/A"/>
    <x v="3"/>
  </r>
  <r>
    <x v="456"/>
    <n v="7.5"/>
    <x v="7"/>
    <x v="0"/>
    <s v="Autoreports"/>
    <m/>
    <s v="Borchard"/>
    <m/>
    <e v="#N/A"/>
    <e v="#N/A"/>
    <e v="#N/A"/>
    <e v="#N/A"/>
    <x v="3"/>
  </r>
  <r>
    <x v="457"/>
    <n v="7.5"/>
    <x v="7"/>
    <x v="0"/>
    <s v="Autoreports"/>
    <m/>
    <s v="Borchard"/>
    <m/>
    <e v="#N/A"/>
    <e v="#N/A"/>
    <e v="#N/A"/>
    <e v="#N/A"/>
    <x v="3"/>
  </r>
  <r>
    <x v="458"/>
    <n v="7.5"/>
    <x v="7"/>
    <x v="0"/>
    <s v="Autoreports"/>
    <m/>
    <s v="Borchard"/>
    <m/>
    <e v="#N/A"/>
    <e v="#N/A"/>
    <e v="#N/A"/>
    <e v="#N/A"/>
    <x v="3"/>
  </r>
  <r>
    <x v="459"/>
    <n v="2.5"/>
    <x v="6"/>
    <x v="0"/>
    <s v="MDX-Erstellung MAT02"/>
    <m/>
    <s v="Heibl"/>
    <m/>
    <e v="#N/A"/>
    <e v="#N/A"/>
    <e v="#N/A"/>
    <e v="#N/A"/>
    <x v="3"/>
  </r>
  <r>
    <x v="459"/>
    <n v="5.5"/>
    <x v="7"/>
    <x v="0"/>
    <s v="Autoreports"/>
    <m/>
    <s v="Borchard"/>
    <m/>
    <e v="#N/A"/>
    <e v="#N/A"/>
    <e v="#N/A"/>
    <e v="#N/A"/>
    <x v="3"/>
  </r>
  <r>
    <x v="460"/>
    <n v="7.5"/>
    <x v="7"/>
    <x v="0"/>
    <s v="Autoreports"/>
    <m/>
    <s v="Borchard"/>
    <m/>
    <e v="#N/A"/>
    <e v="#N/A"/>
    <e v="#N/A"/>
    <e v="#N/A"/>
    <x v="3"/>
  </r>
  <r>
    <x v="461"/>
    <n v="2"/>
    <x v="6"/>
    <x v="0"/>
    <s v="MDX-Erstellung MAT02"/>
    <m/>
    <s v="Heibl"/>
    <m/>
    <e v="#N/A"/>
    <e v="#N/A"/>
    <e v="#N/A"/>
    <e v="#N/A"/>
    <x v="3"/>
  </r>
  <r>
    <x v="461"/>
    <n v="5.5"/>
    <x v="7"/>
    <x v="0"/>
    <s v="Autoreports"/>
    <m/>
    <s v="Borchard"/>
    <m/>
    <e v="#N/A"/>
    <e v="#N/A"/>
    <e v="#N/A"/>
    <e v="#N/A"/>
    <x v="3"/>
  </r>
  <r>
    <x v="462"/>
    <n v="4"/>
    <x v="6"/>
    <x v="0"/>
    <s v="Funktionsweise MAT02 Nielsen"/>
    <m/>
    <s v="Heibl"/>
    <m/>
    <e v="#N/A"/>
    <e v="#N/A"/>
    <e v="#N/A"/>
    <e v="#N/A"/>
    <x v="3"/>
  </r>
  <r>
    <x v="462"/>
    <n v="3.5"/>
    <x v="7"/>
    <x v="0"/>
    <s v="Autoreports"/>
    <m/>
    <s v="Borchard"/>
    <m/>
    <e v="#N/A"/>
    <e v="#N/A"/>
    <e v="#N/A"/>
    <e v="#N/A"/>
    <x v="3"/>
  </r>
  <r>
    <x v="463"/>
    <n v="1"/>
    <x v="6"/>
    <x v="0"/>
    <s v="YEAR 05 MDX"/>
    <m/>
    <s v="Heibl"/>
    <m/>
    <e v="#N/A"/>
    <e v="#N/A"/>
    <e v="#N/A"/>
    <e v="#N/A"/>
    <x v="3"/>
  </r>
  <r>
    <x v="463"/>
    <n v="6.5"/>
    <x v="7"/>
    <x v="0"/>
    <s v="Autoreports"/>
    <m/>
    <s v="Borchard"/>
    <m/>
    <e v="#N/A"/>
    <e v="#N/A"/>
    <e v="#N/A"/>
    <e v="#N/A"/>
    <x v="3"/>
  </r>
  <r>
    <x v="464"/>
    <n v="7.5"/>
    <x v="7"/>
    <x v="0"/>
    <s v="Autoreports"/>
    <m/>
    <s v="Borchard"/>
    <m/>
    <e v="#N/A"/>
    <e v="#N/A"/>
    <e v="#N/A"/>
    <e v="#N/A"/>
    <x v="3"/>
  </r>
  <r>
    <x v="465"/>
    <n v="7.5"/>
    <x v="30"/>
    <x v="0"/>
    <s v="HBTExport"/>
    <m/>
    <s v="Tuchel"/>
    <m/>
    <e v="#N/A"/>
    <e v="#N/A"/>
    <e v="#N/A"/>
    <e v="#N/A"/>
    <x v="3"/>
  </r>
  <r>
    <x v="466"/>
    <n v="2"/>
    <x v="6"/>
    <x v="0"/>
    <s v="YEAR 05 MDX"/>
    <m/>
    <s v="Heibl"/>
    <m/>
    <e v="#N/A"/>
    <e v="#N/A"/>
    <e v="#N/A"/>
    <e v="#N/A"/>
    <x v="3"/>
  </r>
  <r>
    <x v="466"/>
    <n v="1"/>
    <x v="2"/>
    <x v="0"/>
    <s v="SA Export Variante H"/>
    <m/>
    <s v="Holzmeier"/>
    <m/>
    <e v="#N/A"/>
    <e v="#N/A"/>
    <e v="#N/A"/>
    <e v="#N/A"/>
    <x v="3"/>
  </r>
  <r>
    <x v="466"/>
    <n v="4.5"/>
    <x v="6"/>
    <x v="0"/>
    <s v="Prototyp: POSNeu Integration Produktbildern"/>
    <m/>
    <s v="Forster"/>
    <m/>
    <e v="#N/A"/>
    <e v="#N/A"/>
    <e v="#N/A"/>
    <e v="#N/A"/>
    <x v="3"/>
  </r>
  <r>
    <x v="467"/>
    <n v="2"/>
    <x v="6"/>
    <x v="0"/>
    <s v="Prototyp: POSNeu Integration Produktbildern"/>
    <m/>
    <s v="Forster"/>
    <m/>
    <e v="#N/A"/>
    <e v="#N/A"/>
    <e v="#N/A"/>
    <e v="#N/A"/>
    <x v="3"/>
  </r>
  <r>
    <x v="467"/>
    <n v="5.5"/>
    <x v="7"/>
    <x v="0"/>
    <s v="Autoreports"/>
    <m/>
    <s v="Borchard"/>
    <m/>
    <e v="#N/A"/>
    <e v="#N/A"/>
    <e v="#N/A"/>
    <e v="#N/A"/>
    <x v="3"/>
  </r>
  <r>
    <x v="468"/>
    <n v="1.5"/>
    <x v="6"/>
    <x v="0"/>
    <s v="YEAR 05 MDX"/>
    <m/>
    <s v="Heibl"/>
    <m/>
    <e v="#N/A"/>
    <e v="#N/A"/>
    <e v="#N/A"/>
    <e v="#N/A"/>
    <x v="3"/>
  </r>
  <r>
    <x v="468"/>
    <n v="6"/>
    <x v="16"/>
    <x v="0"/>
    <s v="OTC Powerpoint"/>
    <m/>
    <s v="Schnabel"/>
    <m/>
    <e v="#N/A"/>
    <e v="#N/A"/>
    <e v="#N/A"/>
    <e v="#N/A"/>
    <x v="3"/>
  </r>
  <r>
    <x v="469"/>
    <n v="7.5"/>
    <x v="7"/>
    <x v="0"/>
    <s v="Autoreports"/>
    <m/>
    <s v="Borchard"/>
    <m/>
    <e v="#N/A"/>
    <e v="#N/A"/>
    <e v="#N/A"/>
    <e v="#N/A"/>
    <x v="3"/>
  </r>
  <r>
    <x v="470"/>
    <n v="5"/>
    <x v="6"/>
    <x v="0"/>
    <s v="BDF Fusspflege MDX"/>
    <m/>
    <s v="Heibl"/>
    <m/>
    <e v="#N/A"/>
    <e v="#N/A"/>
    <e v="#N/A"/>
    <e v="#N/A"/>
    <x v="3"/>
  </r>
  <r>
    <x v="471"/>
    <n v="6.5"/>
    <x v="7"/>
    <x v="0"/>
    <s v="Autoreports"/>
    <m/>
    <s v="Borchard"/>
    <m/>
    <e v="#N/A"/>
    <e v="#N/A"/>
    <e v="#N/A"/>
    <e v="#N/A"/>
    <x v="3"/>
  </r>
  <r>
    <x v="472"/>
    <n v="7.5"/>
    <x v="7"/>
    <x v="0"/>
    <s v="Autoreports"/>
    <m/>
    <s v="Borchard"/>
    <m/>
    <e v="#N/A"/>
    <e v="#N/A"/>
    <e v="#N/A"/>
    <e v="#N/A"/>
    <x v="3"/>
  </r>
  <r>
    <x v="473"/>
    <n v="5.5"/>
    <x v="7"/>
    <x v="0"/>
    <s v="Autoreports"/>
    <m/>
    <s v="Borchard"/>
    <m/>
    <e v="#N/A"/>
    <e v="#N/A"/>
    <e v="#N/A"/>
    <e v="#N/A"/>
    <x v="3"/>
  </r>
  <r>
    <x v="474"/>
    <n v="3"/>
    <x v="6"/>
    <x v="0"/>
    <s v=" MDX Gesichtspflege"/>
    <m/>
    <s v="Heibl"/>
    <m/>
    <e v="#N/A"/>
    <e v="#N/A"/>
    <e v="#N/A"/>
    <e v="#N/A"/>
    <x v="3"/>
  </r>
  <r>
    <x v="474"/>
    <n v="4.5"/>
    <x v="7"/>
    <x v="0"/>
    <s v="Autoreports"/>
    <m/>
    <s v="Borchard"/>
    <m/>
    <e v="#N/A"/>
    <e v="#N/A"/>
    <e v="#N/A"/>
    <e v="#N/A"/>
    <x v="3"/>
  </r>
  <r>
    <x v="475"/>
    <n v="7.5"/>
    <x v="6"/>
    <x v="0"/>
    <s v="VMS Setup Tool Anpassungen"/>
    <m/>
    <s v="Tuchel"/>
    <m/>
    <e v="#N/A"/>
    <e v="#N/A"/>
    <e v="#N/A"/>
    <e v="#N/A"/>
    <x v="3"/>
  </r>
  <r>
    <x v="476"/>
    <n v="6.5"/>
    <x v="6"/>
    <x v="0"/>
    <s v="VMS Setup Tool Anpassungen"/>
    <m/>
    <s v="Tuchel"/>
    <m/>
    <e v="#N/A"/>
    <e v="#N/A"/>
    <e v="#N/A"/>
    <e v="#N/A"/>
    <x v="3"/>
  </r>
  <r>
    <x v="477"/>
    <n v="3"/>
    <x v="6"/>
    <x v="0"/>
    <s v="VMS Setup Tool Anpassungen"/>
    <m/>
    <s v="Tuchel"/>
    <m/>
    <e v="#N/A"/>
    <e v="#N/A"/>
    <e v="#N/A"/>
    <e v="#N/A"/>
    <x v="3"/>
  </r>
  <r>
    <x v="477"/>
    <n v="3.5"/>
    <x v="7"/>
    <x v="0"/>
    <s v="Autoreports"/>
    <m/>
    <s v="Borchard"/>
    <m/>
    <e v="#N/A"/>
    <e v="#N/A"/>
    <e v="#N/A"/>
    <e v="#N/A"/>
    <x v="3"/>
  </r>
  <r>
    <x v="478"/>
    <n v="7.5"/>
    <x v="7"/>
    <x v="0"/>
    <s v="Autoreports"/>
    <m/>
    <s v="Borchard"/>
    <m/>
    <e v="#N/A"/>
    <e v="#N/A"/>
    <e v="#N/A"/>
    <e v="#N/A"/>
    <x v="3"/>
  </r>
  <r>
    <x v="479"/>
    <n v="6.5"/>
    <x v="7"/>
    <x v="0"/>
    <s v="Autoreports"/>
    <m/>
    <s v="Borchard"/>
    <m/>
    <e v="#N/A"/>
    <e v="#N/A"/>
    <e v="#N/A"/>
    <e v="#N/A"/>
    <x v="3"/>
  </r>
  <r>
    <x v="480"/>
    <n v="6.5"/>
    <x v="7"/>
    <x v="0"/>
    <s v="Autoreports"/>
    <m/>
    <s v="Borchard"/>
    <m/>
    <e v="#N/A"/>
    <e v="#N/A"/>
    <e v="#N/A"/>
    <e v="#N/A"/>
    <x v="3"/>
  </r>
  <r>
    <x v="481"/>
    <n v="7.5"/>
    <x v="7"/>
    <x v="0"/>
    <s v="Autoreports"/>
    <m/>
    <s v="Borchard"/>
    <m/>
    <e v="#N/A"/>
    <e v="#N/A"/>
    <e v="#N/A"/>
    <e v="#N/A"/>
    <x v="3"/>
  </r>
  <r>
    <x v="482"/>
    <n v="7.5"/>
    <x v="7"/>
    <x v="0"/>
    <s v="Autoreports"/>
    <m/>
    <s v="Borchard"/>
    <m/>
    <e v="#N/A"/>
    <e v="#N/A"/>
    <e v="#N/A"/>
    <e v="#N/A"/>
    <x v="3"/>
  </r>
  <r>
    <x v="483"/>
    <n v="8.5"/>
    <x v="6"/>
    <x v="0"/>
    <s v="Prototyp: POSNeu Anpassung an Office 2003"/>
    <m/>
    <s v="Forster"/>
    <m/>
    <e v="#N/A"/>
    <e v="#N/A"/>
    <e v="#N/A"/>
    <e v="#N/A"/>
    <x v="3"/>
  </r>
  <r>
    <x v="484"/>
    <n v="4"/>
    <x v="2"/>
    <x v="0"/>
    <s v="SA Export Variante K"/>
    <m/>
    <s v="Runkel"/>
    <m/>
    <e v="#N/A"/>
    <e v="#N/A"/>
    <e v="#N/A"/>
    <e v="#N/A"/>
    <x v="3"/>
  </r>
  <r>
    <x v="484"/>
    <n v="2"/>
    <x v="7"/>
    <x v="0"/>
    <s v="Autoreports"/>
    <m/>
    <s v="Borchard"/>
    <m/>
    <e v="#N/A"/>
    <e v="#N/A"/>
    <e v="#N/A"/>
    <e v="#N/A"/>
    <x v="3"/>
  </r>
  <r>
    <x v="485"/>
    <n v="6.5"/>
    <x v="6"/>
    <x v="0"/>
    <s v="Veränderungsraten für neue Zeitperioden"/>
    <m/>
    <s v="Heibl"/>
    <m/>
    <e v="#N/A"/>
    <e v="#N/A"/>
    <e v="#N/A"/>
    <e v="#N/A"/>
    <x v="3"/>
  </r>
  <r>
    <x v="486"/>
    <n v="6.5"/>
    <x v="7"/>
    <x v="0"/>
    <s v="Autoreports"/>
    <m/>
    <s v="Borchard"/>
    <m/>
    <e v="#N/A"/>
    <e v="#N/A"/>
    <e v="#N/A"/>
    <e v="#N/A"/>
    <x v="3"/>
  </r>
  <r>
    <x v="487"/>
    <n v="7.5"/>
    <x v="7"/>
    <x v="0"/>
    <s v="Autoreports"/>
    <m/>
    <s v="Borchard"/>
    <m/>
    <e v="#N/A"/>
    <e v="#N/A"/>
    <e v="#N/A"/>
    <e v="#N/A"/>
    <x v="3"/>
  </r>
  <r>
    <x v="488"/>
    <n v="5"/>
    <x v="30"/>
    <x v="0"/>
    <s v="HBTExport Troubleshooting und neue Version (Geo Check)"/>
    <m/>
    <s v="Tuchel"/>
    <m/>
    <e v="#N/A"/>
    <e v="#N/A"/>
    <e v="#N/A"/>
    <e v="#N/A"/>
    <x v="3"/>
  </r>
  <r>
    <x v="489"/>
    <n v="5.5"/>
    <x v="7"/>
    <x v="0"/>
    <s v="Autoreports"/>
    <m/>
    <s v="Borchard"/>
    <m/>
    <e v="#N/A"/>
    <e v="#N/A"/>
    <e v="#N/A"/>
    <e v="#N/A"/>
    <x v="3"/>
  </r>
  <r>
    <x v="490"/>
    <n v="4"/>
    <x v="17"/>
    <x v="0"/>
    <s v="Powercharts neuer Instlaller für XP"/>
    <m/>
    <s v="Heibl, Kleinfeldt"/>
    <m/>
    <e v="#N/A"/>
    <e v="#N/A"/>
    <e v="#N/A"/>
    <e v="#N/A"/>
    <x v="3"/>
  </r>
  <r>
    <x v="490"/>
    <n v="0.5"/>
    <x v="30"/>
    <x v="0"/>
    <s v="HBTExport Installer"/>
    <m/>
    <s v="Tuchel"/>
    <m/>
    <e v="#N/A"/>
    <e v="#N/A"/>
    <e v="#N/A"/>
    <e v="#N/A"/>
    <x v="3"/>
  </r>
  <r>
    <x v="490"/>
    <n v="3.5"/>
    <x v="7"/>
    <x v="0"/>
    <s v="Autoreports"/>
    <m/>
    <s v="Borchard"/>
    <m/>
    <e v="#N/A"/>
    <e v="#N/A"/>
    <e v="#N/A"/>
    <e v="#N/A"/>
    <x v="3"/>
  </r>
  <r>
    <x v="491"/>
    <n v="4"/>
    <x v="34"/>
    <x v="0"/>
    <s v="Microcoach Anpassung, berechnet Periodenelemente"/>
    <m/>
    <s v="Tuchel"/>
    <m/>
    <e v="#N/A"/>
    <e v="#N/A"/>
    <e v="#N/A"/>
    <e v="#N/A"/>
    <x v="3"/>
  </r>
  <r>
    <x v="491"/>
    <n v="3.5"/>
    <x v="7"/>
    <x v="0"/>
    <s v="Autoreports"/>
    <m/>
    <s v="Borchard"/>
    <m/>
    <e v="#N/A"/>
    <e v="#N/A"/>
    <e v="#N/A"/>
    <e v="#N/A"/>
    <x v="3"/>
  </r>
  <r>
    <x v="492"/>
    <n v="6.5"/>
    <x v="7"/>
    <x v="0"/>
    <s v="Autoreports"/>
    <m/>
    <s v="Borchard"/>
    <m/>
    <e v="#N/A"/>
    <e v="#N/A"/>
    <e v="#N/A"/>
    <e v="#N/A"/>
    <x v="3"/>
  </r>
  <r>
    <x v="493"/>
    <n v="8.5"/>
    <x v="6"/>
    <x v="0"/>
    <s v="VMS Setup Tool Anpassungen"/>
    <m/>
    <s v="Tuchel"/>
    <m/>
    <e v="#N/A"/>
    <e v="#N/A"/>
    <e v="#N/A"/>
    <e v="#N/A"/>
    <x v="3"/>
  </r>
  <r>
    <x v="494"/>
    <n v="7.5"/>
    <x v="7"/>
    <x v="0"/>
    <s v="Autoreports"/>
    <m/>
    <s v="Borchard"/>
    <m/>
    <e v="#N/A"/>
    <e v="#N/A"/>
    <e v="#N/A"/>
    <e v="#N/A"/>
    <x v="3"/>
  </r>
  <r>
    <x v="495"/>
    <n v="8"/>
    <x v="7"/>
    <x v="0"/>
    <s v="Autoreports"/>
    <m/>
    <s v="Borchard"/>
    <m/>
    <e v="#N/A"/>
    <e v="#N/A"/>
    <e v="#N/A"/>
    <e v="#N/A"/>
    <x v="3"/>
  </r>
  <r>
    <x v="496"/>
    <n v="5"/>
    <x v="7"/>
    <x v="0"/>
    <s v="Autoreports"/>
    <m/>
    <s v="Borchard"/>
    <m/>
    <e v="#N/A"/>
    <e v="#N/A"/>
    <e v="#N/A"/>
    <e v="#N/A"/>
    <x v="3"/>
  </r>
  <r>
    <x v="497"/>
    <n v="6"/>
    <x v="7"/>
    <x v="0"/>
    <s v="Autoreports"/>
    <m/>
    <s v="Borchard"/>
    <m/>
    <e v="#N/A"/>
    <e v="#N/A"/>
    <e v="#N/A"/>
    <e v="#N/A"/>
    <x v="3"/>
  </r>
  <r>
    <x v="498"/>
    <n v="7"/>
    <x v="7"/>
    <x v="0"/>
    <s v="Autoreports"/>
    <m/>
    <s v="Borchard"/>
    <m/>
    <e v="#N/A"/>
    <e v="#N/A"/>
    <e v="#N/A"/>
    <e v="#N/A"/>
    <x v="3"/>
  </r>
  <r>
    <x v="499"/>
    <n v="6"/>
    <x v="7"/>
    <x v="0"/>
    <s v="Autoreports"/>
    <m/>
    <s v="Borchard"/>
    <m/>
    <e v="#N/A"/>
    <e v="#N/A"/>
    <e v="#N/A"/>
    <e v="#N/A"/>
    <x v="3"/>
  </r>
  <r>
    <x v="500"/>
    <n v="7"/>
    <x v="7"/>
    <x v="0"/>
    <s v="Autoreports"/>
    <m/>
    <s v="Borchard"/>
    <m/>
    <e v="#N/A"/>
    <e v="#N/A"/>
    <e v="#N/A"/>
    <e v="#N/A"/>
    <x v="3"/>
  </r>
  <r>
    <x v="501"/>
    <n v="6"/>
    <x v="7"/>
    <x v="0"/>
    <s v="Autoreports"/>
    <m/>
    <s v="Borchard"/>
    <m/>
    <e v="#N/A"/>
    <e v="#N/A"/>
    <e v="#N/A"/>
    <e v="#N/A"/>
    <x v="3"/>
  </r>
  <r>
    <x v="502"/>
    <n v="7"/>
    <x v="7"/>
    <x v="0"/>
    <s v="Autoreports"/>
    <m/>
    <s v="Borchard"/>
    <m/>
    <e v="#N/A"/>
    <e v="#N/A"/>
    <e v="#N/A"/>
    <e v="#N/A"/>
    <x v="3"/>
  </r>
  <r>
    <x v="503"/>
    <n v="4"/>
    <x v="7"/>
    <x v="0"/>
    <s v="Autoreports"/>
    <m/>
    <s v="Borchard"/>
    <m/>
    <e v="#N/A"/>
    <e v="#N/A"/>
    <e v="#N/A"/>
    <e v="#N/A"/>
    <x v="3"/>
  </r>
  <r>
    <x v="504"/>
    <n v="7.5"/>
    <x v="7"/>
    <x v="0"/>
    <s v="Autoreports"/>
    <m/>
    <s v="Borchard"/>
    <m/>
    <e v="#N/A"/>
    <e v="#N/A"/>
    <e v="#N/A"/>
    <e v="#N/A"/>
    <x v="3"/>
  </r>
  <r>
    <x v="505"/>
    <n v="7.5"/>
    <x v="7"/>
    <x v="0"/>
    <s v="Autoreports"/>
    <m/>
    <s v="Borchard"/>
    <m/>
    <e v="#N/A"/>
    <e v="#N/A"/>
    <e v="#N/A"/>
    <e v="#N/A"/>
    <x v="3"/>
  </r>
  <r>
    <x v="506"/>
    <n v="7"/>
    <x v="7"/>
    <x v="0"/>
    <s v="Autoreports"/>
    <m/>
    <s v="Borchard"/>
    <m/>
    <e v="#N/A"/>
    <e v="#N/A"/>
    <e v="#N/A"/>
    <e v="#N/A"/>
    <x v="3"/>
  </r>
  <r>
    <x v="507"/>
    <n v="6.5"/>
    <x v="7"/>
    <x v="0"/>
    <s v="Autoreports"/>
    <m/>
    <s v="Borchard"/>
    <m/>
    <e v="#N/A"/>
    <e v="#N/A"/>
    <e v="#N/A"/>
    <e v="#N/A"/>
    <x v="3"/>
  </r>
  <r>
    <x v="507"/>
    <n v="1"/>
    <x v="7"/>
    <x v="0"/>
    <s v="Setuperstellung Mikro-Coach"/>
    <m/>
    <s v="Tuchel"/>
    <m/>
    <e v="#N/A"/>
    <e v="#N/A"/>
    <e v="#N/A"/>
    <e v="#N/A"/>
    <x v="3"/>
  </r>
  <r>
    <x v="508"/>
    <n v="7"/>
    <x v="7"/>
    <x v="0"/>
    <s v="Autoreports: Verteilung"/>
    <m/>
    <s v="Borchard"/>
    <m/>
    <e v="#N/A"/>
    <e v="#N/A"/>
    <e v="#N/A"/>
    <e v="#N/A"/>
    <x v="3"/>
  </r>
  <r>
    <x v="509"/>
    <n v="7.5"/>
    <x v="7"/>
    <x v="0"/>
    <s v="Autoreports: Verteilung"/>
    <m/>
    <s v="Borchard"/>
    <m/>
    <e v="#N/A"/>
    <e v="#N/A"/>
    <e v="#N/A"/>
    <e v="#N/A"/>
    <x v="3"/>
  </r>
  <r>
    <x v="510"/>
    <n v="6.5"/>
    <x v="7"/>
    <x v="0"/>
    <s v="Autoreports: Verteilung"/>
    <m/>
    <s v="Borchard"/>
    <m/>
    <e v="#N/A"/>
    <e v="#N/A"/>
    <e v="#N/A"/>
    <e v="#N/A"/>
    <x v="3"/>
  </r>
  <r>
    <x v="511"/>
    <n v="8.5"/>
    <x v="7"/>
    <x v="0"/>
    <s v="Autoreports: Verteilung"/>
    <m/>
    <s v="Borchard"/>
    <m/>
    <e v="#N/A"/>
    <e v="#N/A"/>
    <e v="#N/A"/>
    <e v="#N/A"/>
    <x v="3"/>
  </r>
  <r>
    <x v="512"/>
    <n v="7.5"/>
    <x v="17"/>
    <x v="0"/>
    <s v="Powercharts: HBT Charts Marke Total "/>
    <m/>
    <s v="Schilly"/>
    <m/>
    <e v="#N/A"/>
    <e v="#N/A"/>
    <e v="#N/A"/>
    <e v="#N/A"/>
    <x v="3"/>
  </r>
  <r>
    <x v="513"/>
    <n v="6.5"/>
    <x v="7"/>
    <x v="0"/>
    <s v="Autoreports: Optimierung Verteilung"/>
    <m/>
    <s v="Borchard"/>
    <m/>
    <e v="#N/A"/>
    <e v="#N/A"/>
    <e v="#N/A"/>
    <e v="#N/A"/>
    <x v="3"/>
  </r>
  <r>
    <x v="514"/>
    <n v="4.5"/>
    <x v="7"/>
    <x v="0"/>
    <s v="Autoreports: Optimierung Verteilung"/>
    <m/>
    <s v="Borchard"/>
    <m/>
    <e v="#N/A"/>
    <e v="#N/A"/>
    <e v="#N/A"/>
    <e v="#N/A"/>
    <x v="3"/>
  </r>
  <r>
    <x v="515"/>
    <n v="8.5"/>
    <x v="17"/>
    <x v="0"/>
    <s v="Powercharts: HBT Charts Veränderungsraten, Setuperstellung"/>
    <m/>
    <s v="Schilly"/>
    <m/>
    <e v="#N/A"/>
    <e v="#N/A"/>
    <e v="#N/A"/>
    <e v="#N/A"/>
    <x v="3"/>
  </r>
  <r>
    <x v="516"/>
    <n v="2"/>
    <x v="17"/>
    <x v="0"/>
    <s v="Powercharts: Version für Herrn Gillmann"/>
    <m/>
    <s v="Tuchel"/>
    <m/>
    <e v="#N/A"/>
    <e v="#N/A"/>
    <e v="#N/A"/>
    <e v="#N/A"/>
    <x v="3"/>
  </r>
  <r>
    <x v="516"/>
    <n v="4.5"/>
    <x v="7"/>
    <x v="0"/>
    <s v="Autoreports: Optimierung Verteilung"/>
    <m/>
    <s v="Borchard"/>
    <m/>
    <e v="#N/A"/>
    <e v="#N/A"/>
    <e v="#N/A"/>
    <e v="#N/A"/>
    <x v="3"/>
  </r>
  <r>
    <x v="517"/>
    <n v="8.5"/>
    <x v="7"/>
    <x v="0"/>
    <s v="Autoreports: Optimierung Verteilung"/>
    <m/>
    <s v="Borchard"/>
    <m/>
    <e v="#N/A"/>
    <e v="#N/A"/>
    <e v="#N/A"/>
    <e v="#N/A"/>
    <x v="3"/>
  </r>
  <r>
    <x v="518"/>
    <n v="8.5"/>
    <x v="7"/>
    <x v="0"/>
    <s v="Autoreports: Performance"/>
    <m/>
    <s v="Borchard"/>
    <m/>
    <e v="#N/A"/>
    <e v="#N/A"/>
    <e v="#N/A"/>
    <e v="#N/A"/>
    <x v="3"/>
  </r>
  <r>
    <x v="519"/>
    <n v="5.5"/>
    <x v="7"/>
    <x v="0"/>
    <s v="Autoreports: Performance"/>
    <m/>
    <s v="Borchard"/>
    <m/>
    <e v="#N/A"/>
    <e v="#N/A"/>
    <e v="#N/A"/>
    <e v="#N/A"/>
    <x v="3"/>
  </r>
  <r>
    <x v="520"/>
    <n v="4"/>
    <x v="7"/>
    <x v="0"/>
    <s v="SAReporter Ablaufbericht"/>
    <m/>
    <s v="Borchard"/>
    <m/>
    <e v="#N/A"/>
    <e v="#N/A"/>
    <e v="#N/A"/>
    <e v="#N/A"/>
    <x v="3"/>
  </r>
  <r>
    <x v="520"/>
    <n v="4"/>
    <x v="17"/>
    <x v="0"/>
    <s v="Besprechung Powercharts Erweiterung für Österreich"/>
    <m/>
    <s v="Tuchel"/>
    <m/>
    <e v="#N/A"/>
    <e v="#N/A"/>
    <e v="#N/A"/>
    <e v="#N/A"/>
    <x v="3"/>
  </r>
  <r>
    <x v="521"/>
    <n v="9"/>
    <x v="7"/>
    <x v="0"/>
    <s v="SAReporter Ablaufbericht"/>
    <m/>
    <s v="Borchard"/>
    <m/>
    <e v="#N/A"/>
    <e v="#N/A"/>
    <e v="#N/A"/>
    <e v="#N/A"/>
    <x v="3"/>
  </r>
  <r>
    <x v="522"/>
    <n v="9.5"/>
    <x v="7"/>
    <x v="0"/>
    <s v="SAReporter Tabellenblätter benennen"/>
    <m/>
    <s v="Borchard"/>
    <m/>
    <e v="#N/A"/>
    <e v="#N/A"/>
    <e v="#N/A"/>
    <e v="#N/A"/>
    <x v="3"/>
  </r>
  <r>
    <x v="523"/>
    <n v="9"/>
    <x v="7"/>
    <x v="0"/>
    <s v="SAReporter Erweiterte Selektion im Slicer"/>
    <m/>
    <s v="Borchard"/>
    <m/>
    <e v="#N/A"/>
    <e v="#N/A"/>
    <e v="#N/A"/>
    <e v="#N/A"/>
    <x v="3"/>
  </r>
  <r>
    <x v="524"/>
    <n v="1"/>
    <x v="17"/>
    <x v="0"/>
    <s v="Besprechung Powercharts Erweiterung"/>
    <m/>
    <s v="Schilly"/>
    <m/>
    <e v="#N/A"/>
    <e v="#N/A"/>
    <e v="#N/A"/>
    <e v="#N/A"/>
    <x v="3"/>
  </r>
  <r>
    <x v="524"/>
    <n v="6"/>
    <x v="7"/>
    <x v="0"/>
    <s v="SAReporter Ablaufbericht"/>
    <m/>
    <s v="Borchard"/>
    <m/>
    <e v="#N/A"/>
    <e v="#N/A"/>
    <e v="#N/A"/>
    <e v="#N/A"/>
    <x v="3"/>
  </r>
  <r>
    <x v="525"/>
    <n v="2"/>
    <x v="17"/>
    <x v="0"/>
    <s v="Aufwandsabschätzung Erweiterung Powercharts"/>
    <m/>
    <s v="Schilly"/>
    <m/>
    <e v="#N/A"/>
    <e v="#N/A"/>
    <e v="#N/A"/>
    <e v="#N/A"/>
    <x v="3"/>
  </r>
  <r>
    <x v="525"/>
    <n v="4.5"/>
    <x v="7"/>
    <x v="0"/>
    <s v="SAReporter überschreibbare Excelmappen + neues Setup"/>
    <m/>
    <s v="Borchard"/>
    <m/>
    <e v="#N/A"/>
    <e v="#N/A"/>
    <e v="#N/A"/>
    <e v="#N/A"/>
    <x v="3"/>
  </r>
  <r>
    <x v="526"/>
    <n v="9"/>
    <x v="17"/>
    <x v="0"/>
    <s v="Powercharts Erweiterung für Österreich"/>
    <m/>
    <s v="Tuchel"/>
    <m/>
    <e v="#N/A"/>
    <e v="#N/A"/>
    <e v="#N/A"/>
    <e v="#N/A"/>
    <x v="3"/>
  </r>
  <r>
    <x v="527"/>
    <n v="8"/>
    <x v="17"/>
    <x v="0"/>
    <s v="Powercharts Erweiterung für Österreich"/>
    <m/>
    <s v="Tuchel"/>
    <m/>
    <e v="#N/A"/>
    <e v="#N/A"/>
    <e v="#N/A"/>
    <e v="#N/A"/>
    <x v="3"/>
  </r>
  <r>
    <x v="528"/>
    <n v="5"/>
    <x v="17"/>
    <x v="0"/>
    <s v="Powercharts Erweiterung für Österreich"/>
    <m/>
    <s v="Tuchel"/>
    <m/>
    <e v="#N/A"/>
    <e v="#N/A"/>
    <e v="#N/A"/>
    <e v="#N/A"/>
    <x v="3"/>
  </r>
  <r>
    <x v="529"/>
    <n v="6"/>
    <x v="17"/>
    <x v="0"/>
    <s v="Powercharts Erweiterung für Österreich"/>
    <m/>
    <s v="Tuchel"/>
    <m/>
    <e v="#N/A"/>
    <e v="#N/A"/>
    <e v="#N/A"/>
    <e v="#N/A"/>
    <x v="3"/>
  </r>
  <r>
    <x v="530"/>
    <n v="5.5"/>
    <x v="7"/>
    <x v="0"/>
    <s v="SAReporter"/>
    <m/>
    <s v="Borchard"/>
    <m/>
    <e v="#N/A"/>
    <e v="#N/A"/>
    <e v="#N/A"/>
    <e v="#N/A"/>
    <x v="3"/>
  </r>
  <r>
    <x v="531"/>
    <n v="5"/>
    <x v="7"/>
    <x v="0"/>
    <s v="SAReporter Arbeitsmappe + Arbeitsblatt Option"/>
    <m/>
    <s v="Borchard"/>
    <m/>
    <e v="#N/A"/>
    <e v="#N/A"/>
    <e v="#N/A"/>
    <e v="#N/A"/>
    <x v="3"/>
  </r>
  <r>
    <x v="532"/>
    <n v="6"/>
    <x v="7"/>
    <x v="0"/>
    <s v="SAReporter Arbeitsmappe + Arbeitsblatt Option"/>
    <m/>
    <s v="Borchard"/>
    <m/>
    <e v="#N/A"/>
    <e v="#N/A"/>
    <e v="#N/A"/>
    <e v="#N/A"/>
    <x v="3"/>
  </r>
  <r>
    <x v="533"/>
    <n v="6.5"/>
    <x v="7"/>
    <x v="0"/>
    <s v="SAReporter Sociodaten"/>
    <m/>
    <s v="Borchard"/>
    <m/>
    <e v="#N/A"/>
    <e v="#N/A"/>
    <e v="#N/A"/>
    <e v="#N/A"/>
    <x v="3"/>
  </r>
  <r>
    <x v="534"/>
    <n v="5"/>
    <x v="17"/>
    <x v="0"/>
    <s v="Powercharts Erweiterung für Österreich Bugfixing"/>
    <m/>
    <s v="Tuchel"/>
    <m/>
    <e v="#N/A"/>
    <e v="#N/A"/>
    <e v="#N/A"/>
    <e v="#N/A"/>
    <x v="3"/>
  </r>
  <r>
    <x v="534"/>
    <n v="2"/>
    <x v="7"/>
    <x v="0"/>
    <s v="SAReporter Sociodaten"/>
    <m/>
    <s v="Borchard"/>
    <m/>
    <e v="#N/A"/>
    <e v="#N/A"/>
    <e v="#N/A"/>
    <e v="#N/A"/>
    <x v="3"/>
  </r>
  <r>
    <x v="535"/>
    <n v="4.5"/>
    <x v="7"/>
    <x v="0"/>
    <s v="SAReporter REL Zeitperioden Support"/>
    <m/>
    <s v="Borchard"/>
    <m/>
    <e v="#N/A"/>
    <e v="#N/A"/>
    <e v="#N/A"/>
    <e v="#N/A"/>
    <x v="3"/>
  </r>
  <r>
    <x v="535"/>
    <n v="2"/>
    <x v="17"/>
    <x v="0"/>
    <s v="Powercharts Troubleshooting"/>
    <m/>
    <s v="Schnabel"/>
    <m/>
    <e v="#N/A"/>
    <e v="#N/A"/>
    <e v="#N/A"/>
    <e v="#N/A"/>
    <x v="3"/>
  </r>
  <r>
    <x v="536"/>
    <n v="7.5"/>
    <x v="7"/>
    <x v="0"/>
    <s v="SAReporter REL Zeitperioden Support"/>
    <m/>
    <s v="Borchard"/>
    <m/>
    <e v="#N/A"/>
    <e v="#N/A"/>
    <e v="#N/A"/>
    <e v="#N/A"/>
    <x v="3"/>
  </r>
  <r>
    <x v="537"/>
    <n v="6"/>
    <x v="7"/>
    <x v="0"/>
    <s v="SAReporter REL Zeitperioden Support + neues Setup"/>
    <m/>
    <s v="Borchard"/>
    <m/>
    <e v="#N/A"/>
    <e v="#N/A"/>
    <e v="#N/A"/>
    <e v="#N/A"/>
    <x v="3"/>
  </r>
  <r>
    <x v="538"/>
    <n v="6"/>
    <x v="7"/>
    <x v="0"/>
    <s v="SAReporter Bugfixing"/>
    <m/>
    <s v="Borchard"/>
    <m/>
    <e v="#N/A"/>
    <e v="#N/A"/>
    <e v="#N/A"/>
    <e v="#N/A"/>
    <x v="3"/>
  </r>
  <r>
    <x v="539"/>
    <n v="8"/>
    <x v="7"/>
    <x v="0"/>
    <s v="SAReporter Bugfixing"/>
    <m/>
    <s v="Borchard"/>
    <m/>
    <e v="#N/A"/>
    <e v="#N/A"/>
    <e v="#N/A"/>
    <e v="#N/A"/>
    <x v="3"/>
  </r>
  <r>
    <x v="540"/>
    <n v="7"/>
    <x v="7"/>
    <x v="0"/>
    <s v="XL Format Funktionen Optimierung Formatierung"/>
    <m/>
    <s v="Borchard"/>
    <m/>
    <e v="#N/A"/>
    <e v="#N/A"/>
    <e v="#N/A"/>
    <e v="#N/A"/>
    <x v="3"/>
  </r>
  <r>
    <x v="541"/>
    <n v="4.5"/>
    <x v="7"/>
    <x v="0"/>
    <s v="XL Format Funktionen Optimierung Formatierung"/>
    <m/>
    <s v="Borchard"/>
    <m/>
    <e v="#N/A"/>
    <e v="#N/A"/>
    <e v="#N/A"/>
    <e v="#N/A"/>
    <x v="3"/>
  </r>
  <r>
    <x v="542"/>
    <n v="6.5"/>
    <x v="7"/>
    <x v="0"/>
    <s v="XL Format Funktionen Excel Dialog &quot;Seite einrichten&quot; eingebaut"/>
    <m/>
    <s v="Borchard"/>
    <m/>
    <e v="#N/A"/>
    <e v="#N/A"/>
    <e v="#N/A"/>
    <e v="#N/A"/>
    <x v="3"/>
  </r>
  <r>
    <x v="543"/>
    <n v="6"/>
    <x v="7"/>
    <x v="0"/>
    <s v="XL Format Funktionen Excel Dialog &quot;Seite einrichten&quot; eingebaut"/>
    <m/>
    <s v="Borchard"/>
    <m/>
    <e v="#N/A"/>
    <e v="#N/A"/>
    <e v="#N/A"/>
    <e v="#N/A"/>
    <x v="3"/>
  </r>
  <r>
    <x v="544"/>
    <n v="7"/>
    <x v="7"/>
    <x v="0"/>
    <s v="XL Format Funktionen Excel Dialog &quot;Seite einrichten&quot; eingebaut"/>
    <m/>
    <s v="Borchard"/>
    <m/>
    <e v="#N/A"/>
    <e v="#N/A"/>
    <e v="#N/A"/>
    <e v="#N/A"/>
    <x v="3"/>
  </r>
  <r>
    <x v="545"/>
    <n v="6"/>
    <x v="7"/>
    <x v="0"/>
    <s v="XL Format Funktionen Zeilen und Spalten begrenzen"/>
    <m/>
    <s v="Borchard"/>
    <m/>
    <e v="#N/A"/>
    <e v="#N/A"/>
    <e v="#N/A"/>
    <e v="#N/A"/>
    <x v="3"/>
  </r>
  <r>
    <x v="546"/>
    <n v="6.5"/>
    <x v="7"/>
    <x v="0"/>
    <s v="XL Format Funktionen Zeilen und Spalten begrenzen"/>
    <m/>
    <s v="Borchard"/>
    <m/>
    <e v="#N/A"/>
    <e v="#N/A"/>
    <e v="#N/A"/>
    <e v="#N/A"/>
    <x v="3"/>
  </r>
  <r>
    <x v="547"/>
    <n v="7"/>
    <x v="7"/>
    <x v="0"/>
    <s v="XL Format Funktionen Zeilen und Spalten begrenzen"/>
    <m/>
    <s v="Borchard"/>
    <m/>
    <e v="#N/A"/>
    <e v="#N/A"/>
    <e v="#N/A"/>
    <e v="#N/A"/>
    <x v="3"/>
  </r>
  <r>
    <x v="548"/>
    <n v="6"/>
    <x v="7"/>
    <x v="0"/>
    <s v="FactorMerge"/>
    <m/>
    <s v="Borchard"/>
    <m/>
    <e v="#N/A"/>
    <e v="#N/A"/>
    <e v="#N/A"/>
    <e v="#N/A"/>
    <x v="3"/>
  </r>
  <r>
    <x v="549"/>
    <n v="7"/>
    <x v="35"/>
    <x v="0"/>
    <s v="SAReporter Bugfixing + neues Setup"/>
    <m/>
    <s v="Borchard"/>
    <m/>
    <e v="#N/A"/>
    <e v="#N/A"/>
    <e v="#N/A"/>
    <e v="#N/A"/>
    <x v="3"/>
  </r>
  <r>
    <x v="549"/>
    <n v="1"/>
    <x v="35"/>
    <x v="0"/>
    <s v="Besprechung"/>
    <m/>
    <s v="Runkel"/>
    <m/>
    <e v="#N/A"/>
    <e v="#N/A"/>
    <e v="#N/A"/>
    <e v="#N/A"/>
    <x v="3"/>
  </r>
  <r>
    <x v="550"/>
    <n v="4"/>
    <x v="17"/>
    <x v="0"/>
    <s v="Powercharts Österreich Support "/>
    <m/>
    <s v="Tuchel"/>
    <m/>
    <e v="#N/A"/>
    <e v="#N/A"/>
    <e v="#N/A"/>
    <e v="#N/A"/>
    <x v="3"/>
  </r>
  <r>
    <x v="550"/>
    <n v="5.5"/>
    <x v="35"/>
    <x v="0"/>
    <s v="SAReporter: Drillout für Sapping Datenbanken hinzugefügt"/>
    <m/>
    <s v="Borchard"/>
    <m/>
    <e v="#N/A"/>
    <e v="#N/A"/>
    <e v="#N/A"/>
    <e v="#N/A"/>
    <x v="3"/>
  </r>
  <r>
    <x v="551"/>
    <n v="9"/>
    <x v="35"/>
    <x v="0"/>
    <s v="SAReporter: Formatierung Base Measures Sapping"/>
    <m/>
    <s v="Borchard"/>
    <m/>
    <e v="#N/A"/>
    <e v="#N/A"/>
    <e v="#N/A"/>
    <e v="#N/A"/>
    <x v="3"/>
  </r>
  <r>
    <x v="552"/>
    <n v="3"/>
    <x v="17"/>
    <x v="0"/>
    <s v="Besprechung Powercharts Erweiterung"/>
    <m/>
    <s v="Schilly"/>
    <m/>
    <e v="#N/A"/>
    <e v="#N/A"/>
    <e v="#N/A"/>
    <e v="#N/A"/>
    <x v="3"/>
  </r>
  <r>
    <x v="552"/>
    <n v="5"/>
    <x v="17"/>
    <x v="0"/>
    <s v="Powercharts Österreich Bugfixing"/>
    <m/>
    <s v="Tuchel"/>
    <m/>
    <e v="#N/A"/>
    <e v="#N/A"/>
    <e v="#N/A"/>
    <e v="#N/A"/>
    <x v="3"/>
  </r>
  <r>
    <x v="553"/>
    <n v="1"/>
    <x v="17"/>
    <x v="0"/>
    <s v="Powercharts Österreich Bugfixing"/>
    <m/>
    <s v="Tuchel"/>
    <m/>
    <e v="#N/A"/>
    <e v="#N/A"/>
    <e v="#N/A"/>
    <e v="#N/A"/>
    <x v="3"/>
  </r>
  <r>
    <x v="553"/>
    <n v="3"/>
    <x v="32"/>
    <x v="0"/>
    <s v="XLFormat Anpassungen"/>
    <m/>
    <s v="Runkel"/>
    <m/>
    <e v="#N/A"/>
    <e v="#N/A"/>
    <e v="#N/A"/>
    <e v="#N/A"/>
    <x v="3"/>
  </r>
  <r>
    <x v="553"/>
    <n v="4.5"/>
    <x v="35"/>
    <x v="0"/>
    <s v="SAReporter Verknüpfung, neue Option Verzeichnis +  Arbeitsblatt"/>
    <m/>
    <s v="Borchard"/>
    <m/>
    <e v="#N/A"/>
    <e v="#N/A"/>
    <e v="#N/A"/>
    <e v="#N/A"/>
    <x v="3"/>
  </r>
  <r>
    <x v="554"/>
    <n v="3"/>
    <x v="7"/>
    <x v="0"/>
    <s v="FactorMerge"/>
    <m/>
    <s v="Borchard"/>
    <m/>
    <e v="#N/A"/>
    <e v="#N/A"/>
    <e v="#N/A"/>
    <e v="#N/A"/>
    <x v="3"/>
  </r>
  <r>
    <x v="554"/>
    <n v="6.5"/>
    <x v="35"/>
    <x v="0"/>
    <s v="SAReporter Verknüpfung, neue Option Verzeichnis +  Arbeitsblatt"/>
    <m/>
    <s v="Borchard"/>
    <m/>
    <e v="#N/A"/>
    <e v="#N/A"/>
    <e v="#N/A"/>
    <e v="#N/A"/>
    <x v="3"/>
  </r>
  <r>
    <x v="555"/>
    <n v="2"/>
    <x v="35"/>
    <x v="0"/>
    <s v="SAReporter neues Setup"/>
    <m/>
    <s v="Borchard"/>
    <m/>
    <e v="#N/A"/>
    <e v="#N/A"/>
    <e v="#N/A"/>
    <e v="#N/A"/>
    <x v="3"/>
  </r>
  <r>
    <x v="555"/>
    <n v="7.5"/>
    <x v="17"/>
    <x v="0"/>
    <s v="pch-Description Konvertierungstool"/>
    <m/>
    <s v="Schilly"/>
    <m/>
    <e v="#N/A"/>
    <e v="#N/A"/>
    <e v="#N/A"/>
    <e v="#N/A"/>
    <x v="3"/>
  </r>
  <r>
    <x v="556"/>
    <n v="2.5"/>
    <x v="17"/>
    <x v="0"/>
    <s v="pch-Description Konvertierungstool"/>
    <m/>
    <s v="Schilly"/>
    <m/>
    <e v="#N/A"/>
    <e v="#N/A"/>
    <e v="#N/A"/>
    <e v="#N/A"/>
    <x v="3"/>
  </r>
  <r>
    <x v="556"/>
    <n v="7"/>
    <x v="17"/>
    <x v="0"/>
    <s v="Powercharts Erweiterung für Österreich Bugfixing und Anpassung"/>
    <m/>
    <s v="Tuchel"/>
    <m/>
    <e v="#N/A"/>
    <e v="#N/A"/>
    <e v="#N/A"/>
    <e v="#N/A"/>
    <x v="3"/>
  </r>
  <r>
    <x v="557"/>
    <n v="4"/>
    <x v="17"/>
    <x v="0"/>
    <s v="pch-Description Konvertierungstool Setup und Test"/>
    <m/>
    <s v="Schilly"/>
    <m/>
    <e v="#N/A"/>
    <e v="#N/A"/>
    <e v="#N/A"/>
    <e v="#N/A"/>
    <x v="3"/>
  </r>
  <r>
    <x v="557"/>
    <n v="5.5"/>
    <x v="35"/>
    <x v="0"/>
    <s v="SAReporter Autofilter"/>
    <m/>
    <s v="Borchard"/>
    <m/>
    <e v="#N/A"/>
    <e v="#N/A"/>
    <e v="#N/A"/>
    <e v="#N/A"/>
    <x v="3"/>
  </r>
  <r>
    <x v="558"/>
    <n v="7"/>
    <x v="35"/>
    <x v="0"/>
    <s v="SAReporter"/>
    <m/>
    <s v="Borchard"/>
    <m/>
    <e v="#N/A"/>
    <e v="#N/A"/>
    <e v="#N/A"/>
    <e v="#N/A"/>
    <x v="3"/>
  </r>
  <r>
    <x v="559"/>
    <n v="10.5"/>
    <x v="17"/>
    <x v="0"/>
    <s v="Powercharts 2.0"/>
    <m/>
    <s v="Schilly"/>
    <m/>
    <e v="#N/A"/>
    <e v="#N/A"/>
    <e v="#N/A"/>
    <e v="#N/A"/>
    <x v="3"/>
  </r>
  <r>
    <x v="560"/>
    <n v="6.5"/>
    <x v="17"/>
    <x v="0"/>
    <s v="Powercharts 2.0"/>
    <m/>
    <s v="Schilly"/>
    <m/>
    <e v="#N/A"/>
    <e v="#N/A"/>
    <e v="#N/A"/>
    <e v="#N/A"/>
    <x v="3"/>
  </r>
  <r>
    <x v="561"/>
    <n v="10.5"/>
    <x v="35"/>
    <x v="0"/>
    <s v="SAReporter"/>
    <m/>
    <s v="Borchard"/>
    <m/>
    <e v="#N/A"/>
    <e v="#N/A"/>
    <e v="#N/A"/>
    <e v="#N/A"/>
    <x v="3"/>
  </r>
  <r>
    <x v="562"/>
    <n v="1"/>
    <x v="35"/>
    <x v="0"/>
    <s v="Besprechung SMTP SAReporter"/>
    <m/>
    <s v="Runkel"/>
    <m/>
    <e v="#N/A"/>
    <e v="#N/A"/>
    <e v="#N/A"/>
    <e v="#N/A"/>
    <x v="3"/>
  </r>
  <r>
    <x v="562"/>
    <n v="2"/>
    <x v="35"/>
    <x v="0"/>
    <s v="Mail Prototyp für Exchange, Notus steht noch aus"/>
    <m/>
    <s v="Runkel"/>
    <m/>
    <e v="#N/A"/>
    <e v="#N/A"/>
    <e v="#N/A"/>
    <e v="#N/A"/>
    <x v="3"/>
  </r>
  <r>
    <x v="562"/>
    <n v="6.5"/>
    <x v="17"/>
    <x v="0"/>
    <s v="Powercharts 2.0"/>
    <m/>
    <s v="Schilly"/>
    <m/>
    <e v="#N/A"/>
    <e v="#N/A"/>
    <e v="#N/A"/>
    <e v="#N/A"/>
    <x v="3"/>
  </r>
  <r>
    <x v="563"/>
    <n v="9.5"/>
    <x v="17"/>
    <x v="0"/>
    <s v="Powercharts 2.0"/>
    <m/>
    <s v="Schilly"/>
    <m/>
    <e v="#N/A"/>
    <e v="#N/A"/>
    <e v="#N/A"/>
    <e v="#N/A"/>
    <x v="3"/>
  </r>
  <r>
    <x v="564"/>
    <n v="9.5"/>
    <x v="17"/>
    <x v="0"/>
    <s v="Powercharts 2.0"/>
    <m/>
    <s v="Schilly"/>
    <m/>
    <e v="#N/A"/>
    <e v="#N/A"/>
    <e v="#N/A"/>
    <e v="#N/A"/>
    <x v="3"/>
  </r>
  <r>
    <x v="565"/>
    <n v="9.5"/>
    <x v="17"/>
    <x v="0"/>
    <s v="Powercharts 2.0"/>
    <m/>
    <s v="Schilly"/>
    <m/>
    <e v="#N/A"/>
    <e v="#N/A"/>
    <e v="#N/A"/>
    <e v="#N/A"/>
    <x v="3"/>
  </r>
  <r>
    <x v="566"/>
    <n v="10.5"/>
    <x v="35"/>
    <x v="0"/>
    <s v="SAReporter Facharztgruppe slicen"/>
    <m/>
    <s v="Borchard"/>
    <m/>
    <e v="#N/A"/>
    <e v="#N/A"/>
    <e v="#N/A"/>
    <e v="#N/A"/>
    <x v="3"/>
  </r>
  <r>
    <x v="567"/>
    <n v="8.5"/>
    <x v="17"/>
    <x v="0"/>
    <s v="Powercharts 2.0"/>
    <m/>
    <s v="Schilly"/>
    <m/>
    <e v="#N/A"/>
    <e v="#N/A"/>
    <e v="#N/A"/>
    <e v="#N/A"/>
    <x v="3"/>
  </r>
  <r>
    <x v="568"/>
    <n v="7.5"/>
    <x v="17"/>
    <x v="0"/>
    <s v="Powercharts 2.0"/>
    <m/>
    <s v="Schilly"/>
    <m/>
    <e v="#N/A"/>
    <e v="#N/A"/>
    <e v="#N/A"/>
    <e v="#N/A"/>
    <x v="3"/>
  </r>
  <r>
    <x v="569"/>
    <n v="9.5"/>
    <x v="17"/>
    <x v="0"/>
    <s v="Powercharts 2.0"/>
    <m/>
    <s v="Schilly"/>
    <m/>
    <e v="#N/A"/>
    <e v="#N/A"/>
    <e v="#N/A"/>
    <e v="#N/A"/>
    <x v="3"/>
  </r>
  <r>
    <x v="570"/>
    <n v="9.5"/>
    <x v="17"/>
    <x v="0"/>
    <s v="Powercharts 2.0"/>
    <m/>
    <s v="Schilly"/>
    <m/>
    <e v="#N/A"/>
    <e v="#N/A"/>
    <e v="#N/A"/>
    <e v="#N/A"/>
    <x v="3"/>
  </r>
  <r>
    <x v="571"/>
    <n v="4"/>
    <x v="17"/>
    <x v="0"/>
    <s v="Powercharts 2.0"/>
    <m/>
    <s v="Schilly"/>
    <m/>
    <e v="#N/A"/>
    <e v="#N/A"/>
    <e v="#N/A"/>
    <e v="#N/A"/>
    <x v="3"/>
  </r>
  <r>
    <x v="572"/>
    <n v="9"/>
    <x v="17"/>
    <x v="0"/>
    <s v="Powercharts 2.0"/>
    <m/>
    <s v="Schilly"/>
    <m/>
    <e v="#N/A"/>
    <e v="#N/A"/>
    <e v="#N/A"/>
    <e v="#N/A"/>
    <x v="3"/>
  </r>
  <r>
    <x v="573"/>
    <n v="6"/>
    <x v="17"/>
    <x v="0"/>
    <s v="Powercharts 2.0"/>
    <m/>
    <s v="Schilly"/>
    <m/>
    <e v="#N/A"/>
    <e v="#N/A"/>
    <e v="#N/A"/>
    <e v="#N/A"/>
    <x v="3"/>
  </r>
  <r>
    <x v="574"/>
    <n v="8"/>
    <x v="17"/>
    <x v="0"/>
    <s v="Powercharts 2.0"/>
    <m/>
    <s v="Schilly"/>
    <m/>
    <e v="#N/A"/>
    <e v="#N/A"/>
    <e v="#N/A"/>
    <e v="#N/A"/>
    <x v="3"/>
  </r>
  <r>
    <x v="575"/>
    <n v="5"/>
    <x v="17"/>
    <x v="0"/>
    <s v="Powercharts 2.0"/>
    <m/>
    <s v="Schilly"/>
    <m/>
    <e v="#N/A"/>
    <e v="#N/A"/>
    <e v="#N/A"/>
    <e v="#N/A"/>
    <x v="3"/>
  </r>
  <r>
    <x v="576"/>
    <n v="7"/>
    <x v="17"/>
    <x v="0"/>
    <s v="Powercharts 2.0"/>
    <m/>
    <s v="Schilly"/>
    <m/>
    <e v="#N/A"/>
    <e v="#N/A"/>
    <e v="#N/A"/>
    <e v="#N/A"/>
    <x v="3"/>
  </r>
  <r>
    <x v="577"/>
    <n v="6"/>
    <x v="17"/>
    <x v="0"/>
    <s v="Powercharts 2.0"/>
    <m/>
    <s v="Schilly"/>
    <m/>
    <e v="#N/A"/>
    <e v="#N/A"/>
    <e v="#N/A"/>
    <e v="#N/A"/>
    <x v="3"/>
  </r>
  <r>
    <x v="578"/>
    <n v="6"/>
    <x v="17"/>
    <x v="0"/>
    <s v="Powercharts 2.0 compressPP"/>
    <m/>
    <s v="Schilly"/>
    <m/>
    <e v="#N/A"/>
    <e v="#N/A"/>
    <e v="#N/A"/>
    <e v="#N/A"/>
    <x v="3"/>
  </r>
  <r>
    <x v="579"/>
    <n v="5"/>
    <x v="17"/>
    <x v="0"/>
    <s v="Heimarbeit Powercharts"/>
    <m/>
    <s v="Schilly"/>
    <m/>
    <e v="#N/A"/>
    <e v="#N/A"/>
    <e v="#N/A"/>
    <e v="#N/A"/>
    <x v="3"/>
  </r>
  <r>
    <x v="580"/>
    <n v="6"/>
    <x v="17"/>
    <x v="0"/>
    <s v="Powercharts 2.0"/>
    <m/>
    <s v="Schilly"/>
    <m/>
    <e v="#N/A"/>
    <e v="#N/A"/>
    <e v="#N/A"/>
    <e v="#N/A"/>
    <x v="3"/>
  </r>
  <r>
    <x v="581"/>
    <n v="6"/>
    <x v="35"/>
    <x v="0"/>
    <s v="SAReporter Mailversand"/>
    <m/>
    <s v="Borchard"/>
    <m/>
    <e v="#N/A"/>
    <e v="#N/A"/>
    <e v="#N/A"/>
    <e v="#N/A"/>
    <x v="3"/>
  </r>
  <r>
    <x v="582"/>
    <n v="8"/>
    <x v="35"/>
    <x v="0"/>
    <s v="SAReporter Mailversand Heimarbeit"/>
    <m/>
    <s v="Borchard"/>
    <m/>
    <e v="#N/A"/>
    <e v="#N/A"/>
    <e v="#N/A"/>
    <e v="#N/A"/>
    <x v="3"/>
  </r>
  <r>
    <x v="583"/>
    <n v="8"/>
    <x v="35"/>
    <x v="0"/>
    <s v="SAReporter Mailversand Heimarbeit"/>
    <m/>
    <s v="Borchard"/>
    <m/>
    <e v="#N/A"/>
    <e v="#N/A"/>
    <e v="#N/A"/>
    <e v="#N/A"/>
    <x v="3"/>
  </r>
  <r>
    <x v="584"/>
    <n v="4"/>
    <x v="35"/>
    <x v="0"/>
    <s v="SAReporter Mailversand Heimarbeit"/>
    <m/>
    <s v="Borchard"/>
    <m/>
    <e v="#N/A"/>
    <e v="#N/A"/>
    <e v="#N/A"/>
    <e v="#N/A"/>
    <x v="3"/>
  </r>
  <r>
    <x v="585"/>
    <n v="3"/>
    <x v="35"/>
    <x v="0"/>
    <s v="SAReporter Mailversand"/>
    <m/>
    <s v="Borchard"/>
    <m/>
    <e v="#N/A"/>
    <e v="#N/A"/>
    <e v="#N/A"/>
    <e v="#N/A"/>
    <x v="3"/>
  </r>
  <r>
    <x v="585"/>
    <n v="3"/>
    <x v="17"/>
    <x v="0"/>
    <s v="Powercharts 2.0"/>
    <m/>
    <s v="Schilly"/>
    <m/>
    <e v="#N/A"/>
    <e v="#N/A"/>
    <e v="#N/A"/>
    <e v="#N/A"/>
    <x v="3"/>
  </r>
  <r>
    <x v="586"/>
    <n v="7"/>
    <x v="35"/>
    <x v="0"/>
    <s v="SAReporter Integration"/>
    <m/>
    <s v="Borchard"/>
    <m/>
    <e v="#N/A"/>
    <e v="#N/A"/>
    <e v="#N/A"/>
    <e v="#N/A"/>
    <x v="3"/>
  </r>
  <r>
    <x v="587"/>
    <n v="6.5"/>
    <x v="35"/>
    <x v="0"/>
    <s v="SAReporter Integration"/>
    <m/>
    <s v="Borchard"/>
    <m/>
    <e v="#N/A"/>
    <e v="#N/A"/>
    <e v="#N/A"/>
    <e v="#N/A"/>
    <x v="3"/>
  </r>
  <r>
    <x v="588"/>
    <n v="2.5"/>
    <x v="35"/>
    <x v="0"/>
    <s v="SAReporter Integration"/>
    <m/>
    <s v="Borchard"/>
    <m/>
    <e v="#N/A"/>
    <e v="#N/A"/>
    <e v="#N/A"/>
    <e v="#N/A"/>
    <x v="3"/>
  </r>
  <r>
    <x v="588"/>
    <n v="5"/>
    <x v="35"/>
    <x v="0"/>
    <s v="Bericht zu OTC-Manager "/>
    <m/>
    <s v="Borchard"/>
    <m/>
    <e v="#N/A"/>
    <e v="#N/A"/>
    <e v="#N/A"/>
    <e v="#N/A"/>
    <x v="3"/>
  </r>
  <r>
    <x v="589"/>
    <n v="4"/>
    <x v="35"/>
    <x v="0"/>
    <s v="SAReporter Batchbetrieb"/>
    <m/>
    <s v="Borchard"/>
    <m/>
    <e v="#N/A"/>
    <e v="#N/A"/>
    <e v="#N/A"/>
    <e v="#N/A"/>
    <x v="3"/>
  </r>
  <r>
    <x v="590"/>
    <n v="6.5"/>
    <x v="6"/>
    <x v="0"/>
    <s v="McNeil Woelm Reporting, Erweiterung für INI basierte Datenbankerweiterung"/>
    <m/>
    <s v="Grottker"/>
    <m/>
    <e v="#N/A"/>
    <e v="#N/A"/>
    <e v="#N/A"/>
    <e v="#N/A"/>
    <x v="4"/>
  </r>
  <r>
    <x v="591"/>
    <n v="6"/>
    <x v="6"/>
    <x v="0"/>
    <s v="Heimarbeit: 'McNeil Woelm Reporting, Erweiterung für INI basierte Datenbankerweiterung"/>
    <m/>
    <s v="Grottker"/>
    <m/>
    <e v="#N/A"/>
    <e v="#N/A"/>
    <e v="#N/A"/>
    <e v="#N/A"/>
    <x v="4"/>
  </r>
  <r>
    <x v="592"/>
    <n v="5"/>
    <x v="6"/>
    <x v="0"/>
    <s v="Heimarbeit: 'McNeil Woelm Reporting, Erweiterung für INI basierte Datenbankerweiterung"/>
    <m/>
    <s v="Grottker"/>
    <m/>
    <e v="#N/A"/>
    <e v="#N/A"/>
    <e v="#N/A"/>
    <e v="#N/A"/>
    <x v="4"/>
  </r>
  <r>
    <x v="593"/>
    <n v="8.5"/>
    <x v="6"/>
    <x v="0"/>
    <s v="McNeil Woelm Reporting, Erweiterung für INI basierte Datenbankerweiterung"/>
    <m/>
    <s v="Grottker"/>
    <m/>
    <e v="#N/A"/>
    <e v="#N/A"/>
    <e v="#N/A"/>
    <e v="#N/A"/>
    <x v="4"/>
  </r>
  <r>
    <x v="594"/>
    <n v="7.5"/>
    <x v="35"/>
    <x v="0"/>
    <s v="SAReporter Batchbetrieb"/>
    <m/>
    <s v="Borchard"/>
    <m/>
    <e v="#N/A"/>
    <e v="#N/A"/>
    <e v="#N/A"/>
    <e v="#N/A"/>
    <x v="4"/>
  </r>
  <r>
    <x v="595"/>
    <n v="5"/>
    <x v="35"/>
    <x v="0"/>
    <s v="Heimarbeit: SAReporter Batchbetrieb"/>
    <m/>
    <s v="Borchard"/>
    <m/>
    <e v="#N/A"/>
    <e v="#N/A"/>
    <e v="#N/A"/>
    <e v="#N/A"/>
    <x v="4"/>
  </r>
  <r>
    <x v="596"/>
    <n v="3"/>
    <x v="35"/>
    <x v="0"/>
    <s v="Heimarbeit: Integrierte Daten"/>
    <m/>
    <s v="Borchard"/>
    <m/>
    <e v="#N/A"/>
    <e v="#N/A"/>
    <e v="#N/A"/>
    <e v="#N/A"/>
    <x v="4"/>
  </r>
  <r>
    <x v="597"/>
    <n v="5.5"/>
    <x v="35"/>
    <x v="0"/>
    <s v="SAReporter Batchbetrieb"/>
    <m/>
    <s v="Borchard"/>
    <m/>
    <e v="#N/A"/>
    <e v="#N/A"/>
    <e v="#N/A"/>
    <e v="#N/A"/>
    <x v="4"/>
  </r>
  <r>
    <x v="598"/>
    <n v="5"/>
    <x v="35"/>
    <x v="0"/>
    <s v="Heimarbeit: Integrierte Daten Udo"/>
    <m/>
    <s v="Borchard"/>
    <m/>
    <e v="#N/A"/>
    <e v="#N/A"/>
    <e v="#N/A"/>
    <e v="#N/A"/>
    <x v="4"/>
  </r>
  <r>
    <x v="599"/>
    <n v="1"/>
    <x v="35"/>
    <x v="0"/>
    <s v="Integrierte Daten Udo"/>
    <m/>
    <s v="Borchard"/>
    <m/>
    <e v="#N/A"/>
    <e v="#N/A"/>
    <e v="#N/A"/>
    <e v="#N/A"/>
    <x v="4"/>
  </r>
  <r>
    <x v="599"/>
    <n v="3"/>
    <x v="30"/>
    <x v="0"/>
    <s v="HBTExport "/>
    <m/>
    <s v="Tuchel"/>
    <m/>
    <e v="#N/A"/>
    <e v="#N/A"/>
    <e v="#N/A"/>
    <e v="#N/A"/>
    <x v="4"/>
  </r>
  <r>
    <x v="600"/>
    <n v="2"/>
    <x v="30"/>
    <x v="0"/>
    <s v="HBTExport "/>
    <m/>
    <s v="Tuchel"/>
    <m/>
    <e v="#N/A"/>
    <e v="#N/A"/>
    <e v="#N/A"/>
    <e v="#N/A"/>
    <x v="4"/>
  </r>
  <r>
    <x v="600"/>
    <n v="4.5"/>
    <x v="7"/>
    <x v="0"/>
    <s v="PDA Umfrage Prototyp"/>
    <m/>
    <s v="Runkel"/>
    <m/>
    <e v="#N/A"/>
    <e v="#N/A"/>
    <e v="#N/A"/>
    <e v="#N/A"/>
    <x v="4"/>
  </r>
  <r>
    <x v="601"/>
    <n v="7.5"/>
    <x v="30"/>
    <x v="0"/>
    <s v="HBTExport Inkrementeller Export"/>
    <m/>
    <s v="Tuchel"/>
    <m/>
    <e v="#N/A"/>
    <e v="#N/A"/>
    <e v="#N/A"/>
    <e v="#N/A"/>
    <x v="4"/>
  </r>
  <r>
    <x v="601"/>
    <n v="1"/>
    <x v="30"/>
    <x v="0"/>
    <s v="Besprechung Powercharts"/>
    <m/>
    <s v="Schilly"/>
    <m/>
    <e v="#N/A"/>
    <e v="#N/A"/>
    <e v="#N/A"/>
    <e v="#N/A"/>
    <x v="4"/>
  </r>
  <r>
    <x v="602"/>
    <n v="2"/>
    <x v="35"/>
    <x v="0"/>
    <s v="Heimarbeit: Integrierte Daten Udo"/>
    <m/>
    <s v="Runkel"/>
    <m/>
    <e v="#N/A"/>
    <e v="#N/A"/>
    <e v="#N/A"/>
    <e v="#N/A"/>
    <x v="4"/>
  </r>
  <r>
    <x v="602"/>
    <n v="2"/>
    <x v="30"/>
    <x v="0"/>
    <s v="Heimarbeit: Powercharts Fehlersuche Folienverwaltung"/>
    <m/>
    <s v="Schilly"/>
    <m/>
    <e v="#N/A"/>
    <e v="#N/A"/>
    <e v="#N/A"/>
    <e v="#N/A"/>
    <x v="4"/>
  </r>
  <r>
    <x v="603"/>
    <n v="1"/>
    <x v="7"/>
    <x v="0"/>
    <s v="Besprechung SAReporter"/>
    <m/>
    <s v="Runkel"/>
    <m/>
    <e v="#N/A"/>
    <e v="#N/A"/>
    <e v="#N/A"/>
    <e v="#N/A"/>
    <x v="4"/>
  </r>
  <r>
    <x v="603"/>
    <n v="5.5"/>
    <x v="30"/>
    <x v="0"/>
    <s v="Verschieben Folien über Fenster hinaus"/>
    <m/>
    <s v="Schilly"/>
    <m/>
    <e v="#N/A"/>
    <e v="#N/A"/>
    <e v="#N/A"/>
    <e v="#N/A"/>
    <x v="4"/>
  </r>
  <r>
    <x v="604"/>
    <n v="2"/>
    <x v="35"/>
    <x v="0"/>
    <s v="Heimarbeit: Batchproblem"/>
    <m/>
    <s v="Runkel"/>
    <m/>
    <e v="#N/A"/>
    <e v="#N/A"/>
    <e v="#N/A"/>
    <e v="#N/A"/>
    <x v="4"/>
  </r>
  <r>
    <x v="605"/>
    <n v="1"/>
    <x v="30"/>
    <x v="0"/>
    <s v="Heimarbeit: convertPresentation2003"/>
    <m/>
    <s v="Schilly"/>
    <m/>
    <e v="#N/A"/>
    <e v="#N/A"/>
    <e v="#N/A"/>
    <e v="#N/A"/>
    <x v="4"/>
  </r>
  <r>
    <x v="606"/>
    <n v="2"/>
    <x v="30"/>
    <x v="0"/>
    <s v="convertPresentation2003"/>
    <m/>
    <s v="Schilly"/>
    <m/>
    <e v="#N/A"/>
    <e v="#N/A"/>
    <e v="#N/A"/>
    <e v="#N/A"/>
    <x v="4"/>
  </r>
  <r>
    <x v="606"/>
    <n v="1"/>
    <x v="2"/>
    <x v="0"/>
    <s v="SAExport Besprechung"/>
    <m/>
    <s v="Holzmeier"/>
    <m/>
    <e v="#N/A"/>
    <e v="#N/A"/>
    <e v="#N/A"/>
    <e v="#N/A"/>
    <x v="4"/>
  </r>
  <r>
    <x v="606"/>
    <n v="1"/>
    <x v="30"/>
    <x v="0"/>
    <s v="Powercharts: Datei überschreiben Problem"/>
    <m/>
    <s v="Heibl"/>
    <m/>
    <e v="#N/A"/>
    <e v="#N/A"/>
    <e v="#N/A"/>
    <e v="#N/A"/>
    <x v="4"/>
  </r>
  <r>
    <x v="607"/>
    <n v="4.5"/>
    <x v="7"/>
    <x v="0"/>
    <s v="PDA Umfrage Prototyp"/>
    <m/>
    <s v="Runkel"/>
    <m/>
    <e v="#N/A"/>
    <e v="#N/A"/>
    <e v="#N/A"/>
    <e v="#N/A"/>
    <x v="4"/>
  </r>
  <r>
    <x v="608"/>
    <n v="7.5"/>
    <x v="7"/>
    <x v="0"/>
    <s v=" PDA Umfrage Prototyp"/>
    <m/>
    <s v="Runkel"/>
    <m/>
    <e v="#N/A"/>
    <e v="#N/A"/>
    <e v="#N/A"/>
    <e v="#N/A"/>
    <x v="4"/>
  </r>
  <r>
    <x v="609"/>
    <n v="2"/>
    <x v="30"/>
    <x v="0"/>
    <s v="Heimarbeit: ACN HBT Keyfacts Chart Bug"/>
    <m/>
    <s v="Kretschmer"/>
    <m/>
    <e v="#N/A"/>
    <e v="#N/A"/>
    <e v="#N/A"/>
    <e v="#N/A"/>
    <x v="4"/>
  </r>
  <r>
    <x v="610"/>
    <n v="1"/>
    <x v="30"/>
    <x v="0"/>
    <s v="Heimarbeit: Powercharts englisches Office Support"/>
    <m/>
    <s v="Wang"/>
    <m/>
    <e v="#N/A"/>
    <e v="#N/A"/>
    <e v="#N/A"/>
    <e v="#N/A"/>
    <x v="4"/>
  </r>
  <r>
    <x v="611"/>
    <n v="2"/>
    <x v="30"/>
    <x v="0"/>
    <s v="Heimarbeit: englische Charts"/>
    <m/>
    <s v="Wang"/>
    <m/>
    <e v="#N/A"/>
    <e v="#N/A"/>
    <e v="#N/A"/>
    <e v="#N/A"/>
    <x v="4"/>
  </r>
  <r>
    <x v="612"/>
    <n v="2.5"/>
    <x v="30"/>
    <x v="0"/>
    <s v="Powercharts Support neues Setup"/>
    <m/>
    <s v="Wang/Schilly"/>
    <m/>
    <e v="#N/A"/>
    <e v="#N/A"/>
    <e v="#N/A"/>
    <e v="#N/A"/>
    <x v="4"/>
  </r>
  <r>
    <x v="612"/>
    <n v="5"/>
    <x v="35"/>
    <x v="0"/>
    <s v="SAReporterGruppierung relativer Periodeelemente"/>
    <m/>
    <s v="Runkel"/>
    <m/>
    <e v="#N/A"/>
    <e v="#N/A"/>
    <e v="#N/A"/>
    <e v="#N/A"/>
    <x v="4"/>
  </r>
  <r>
    <x v="613"/>
    <n v="5"/>
    <x v="30"/>
    <x v="0"/>
    <s v="Heimarbeit: Landscape"/>
    <m/>
    <s v="Schilly"/>
    <m/>
    <e v="#N/A"/>
    <e v="#N/A"/>
    <e v="#N/A"/>
    <e v="#N/A"/>
    <x v="4"/>
  </r>
  <r>
    <x v="614"/>
    <m/>
    <x v="36"/>
    <x v="0"/>
    <m/>
    <m/>
    <m/>
    <m/>
    <e v="#N/A"/>
    <e v="#N/A"/>
    <e v="#N/A"/>
    <e v="#N/A"/>
    <x v="5"/>
  </r>
  <r>
    <x v="615"/>
    <n v="7"/>
    <x v="30"/>
    <x v="0"/>
    <s v="pchConvert"/>
    <m/>
    <s v="Schilly"/>
    <m/>
    <e v="#N/A"/>
    <e v="#N/A"/>
    <e v="#N/A"/>
    <e v="#N/A"/>
    <x v="4"/>
  </r>
  <r>
    <x v="616"/>
    <n v="6"/>
    <x v="30"/>
    <x v="0"/>
    <s v="pchConvert"/>
    <m/>
    <s v="Schilly"/>
    <m/>
    <e v="#N/A"/>
    <e v="#N/A"/>
    <e v="#N/A"/>
    <e v="#N/A"/>
    <x v="4"/>
  </r>
  <r>
    <x v="617"/>
    <n v="7.5"/>
    <x v="30"/>
    <x v="0"/>
    <s v="pchConvert"/>
    <m/>
    <s v="Schilly"/>
    <m/>
    <e v="#N/A"/>
    <e v="#N/A"/>
    <e v="#N/A"/>
    <e v="#N/A"/>
    <x v="4"/>
  </r>
  <r>
    <x v="618"/>
    <n v="4"/>
    <x v="7"/>
    <x v="0"/>
    <s v="Heim: SanExport"/>
    <m/>
    <s v="Holzmeier"/>
    <m/>
    <e v="#N/A"/>
    <e v="#N/A"/>
    <e v="#N/A"/>
    <e v="#N/A"/>
    <x v="4"/>
  </r>
  <r>
    <x v="619"/>
    <n v="2"/>
    <x v="7"/>
    <x v="0"/>
    <s v="Heim: SanExport"/>
    <m/>
    <s v="Holzmeier"/>
    <m/>
    <e v="#N/A"/>
    <e v="#N/A"/>
    <e v="#N/A"/>
    <e v="#N/A"/>
    <x v="4"/>
  </r>
  <r>
    <x v="620"/>
    <n v="3"/>
    <x v="35"/>
    <x v="0"/>
    <s v="Heim: SAReporter Octopharma Integrierte Daten XMMSOCIO"/>
    <m/>
    <s v="Runkel"/>
    <m/>
    <e v="#N/A"/>
    <e v="#N/A"/>
    <e v="#N/A"/>
    <e v="#N/A"/>
    <x v="4"/>
  </r>
  <r>
    <x v="621"/>
    <n v="6"/>
    <x v="35"/>
    <x v="0"/>
    <s v="SAExport Specialty_Desc"/>
    <m/>
    <s v="Runkel"/>
    <m/>
    <e v="#N/A"/>
    <e v="#N/A"/>
    <e v="#N/A"/>
    <e v="#N/A"/>
    <x v="4"/>
  </r>
  <r>
    <x v="622"/>
    <n v="4"/>
    <x v="7"/>
    <x v="0"/>
    <s v="Heim: SanExport"/>
    <m/>
    <s v="Holzmeier"/>
    <m/>
    <e v="#N/A"/>
    <e v="#N/A"/>
    <e v="#N/A"/>
    <e v="#N/A"/>
    <x v="4"/>
  </r>
  <r>
    <x v="623"/>
    <n v="3"/>
    <x v="7"/>
    <x v="0"/>
    <s v="Heim: SanExport"/>
    <m/>
    <s v="Holzmeier"/>
    <m/>
    <e v="#N/A"/>
    <e v="#N/A"/>
    <e v="#N/A"/>
    <e v="#N/A"/>
    <x v="4"/>
  </r>
  <r>
    <x v="623"/>
    <n v="2"/>
    <x v="35"/>
    <x v="0"/>
    <s v="SAExporter Mailprotokoll"/>
    <m/>
    <s v="Runkel"/>
    <m/>
    <e v="#N/A"/>
    <e v="#N/A"/>
    <e v="#N/A"/>
    <e v="#N/A"/>
    <x v="4"/>
  </r>
  <r>
    <x v="624"/>
    <n v="3"/>
    <x v="35"/>
    <x v="0"/>
    <s v="Heim: SAReporter Maildialog"/>
    <m/>
    <s v="Runkel"/>
    <m/>
    <e v="#N/A"/>
    <e v="#N/A"/>
    <e v="#N/A"/>
    <e v="#N/A"/>
    <x v="4"/>
  </r>
  <r>
    <x v="625"/>
    <n v="4"/>
    <x v="35"/>
    <x v="0"/>
    <s v="Heim: SAReporter Maildialog"/>
    <m/>
    <s v="Runkel"/>
    <m/>
    <e v="#N/A"/>
    <e v="#N/A"/>
    <e v="#N/A"/>
    <e v="#N/A"/>
    <x v="4"/>
  </r>
  <r>
    <x v="614"/>
    <m/>
    <x v="36"/>
    <x v="0"/>
    <m/>
    <m/>
    <m/>
    <m/>
    <e v="#N/A"/>
    <e v="#N/A"/>
    <e v="#N/A"/>
    <e v="#N/A"/>
    <x v="5"/>
  </r>
  <r>
    <x v="626"/>
    <n v="1"/>
    <x v="35"/>
    <x v="0"/>
    <s v="Besprechung"/>
    <m/>
    <s v="Runkel"/>
    <m/>
    <e v="#N/A"/>
    <e v="#N/A"/>
    <e v="#N/A"/>
    <e v="#N/A"/>
    <x v="4"/>
  </r>
  <r>
    <x v="626"/>
    <n v="4"/>
    <x v="7"/>
    <x v="0"/>
    <s v="Anpassung Sanofi Pasteur"/>
    <m/>
    <s v="Holzmeier"/>
    <m/>
    <e v="#N/A"/>
    <e v="#N/A"/>
    <e v="#N/A"/>
    <e v="#N/A"/>
    <x v="4"/>
  </r>
  <r>
    <x v="627"/>
    <n v="5"/>
    <x v="35"/>
    <x v="0"/>
    <s v="SAReporter"/>
    <m/>
    <s v="Runkel"/>
    <m/>
    <e v="#N/A"/>
    <e v="#N/A"/>
    <e v="#N/A"/>
    <e v="#N/A"/>
    <x v="4"/>
  </r>
  <r>
    <x v="628"/>
    <n v="3"/>
    <x v="7"/>
    <x v="0"/>
    <s v=" Astellas Prämiensystem - Pivotalnr. 69571-0 Besprechung"/>
    <m/>
    <s v="Thee"/>
    <m/>
    <e v="#N/A"/>
    <e v="#N/A"/>
    <e v="#N/A"/>
    <e v="#N/A"/>
    <x v="4"/>
  </r>
  <r>
    <x v="628"/>
    <n v="1"/>
    <x v="6"/>
    <x v="0"/>
    <s v="Bayer Kurzinfo"/>
    <m/>
    <s v="Tuchel"/>
    <m/>
    <e v="#N/A"/>
    <e v="#N/A"/>
    <e v="#N/A"/>
    <e v="#N/A"/>
    <x v="4"/>
  </r>
  <r>
    <x v="629"/>
    <n v="3"/>
    <x v="35"/>
    <x v="0"/>
    <s v="SAReporter"/>
    <m/>
    <s v="Runkel"/>
    <m/>
    <e v="#N/A"/>
    <e v="#N/A"/>
    <e v="#N/A"/>
    <e v="#N/A"/>
    <x v="4"/>
  </r>
  <r>
    <x v="630"/>
    <n v="2"/>
    <x v="35"/>
    <x v="0"/>
    <s v="SAReporter"/>
    <m/>
    <s v="Runkel"/>
    <m/>
    <e v="#N/A"/>
    <e v="#N/A"/>
    <e v="#N/A"/>
    <e v="#N/A"/>
    <x v="4"/>
  </r>
  <r>
    <x v="631"/>
    <n v="5"/>
    <x v="6"/>
    <x v="0"/>
    <s v="Kurzinfo"/>
    <m/>
    <s v="Tuchel"/>
    <m/>
    <e v="#N/A"/>
    <e v="#N/A"/>
    <e v="#N/A"/>
    <e v="#N/A"/>
    <x v="4"/>
  </r>
  <r>
    <x v="632"/>
    <n v="5.5"/>
    <x v="6"/>
    <x v="0"/>
    <s v="Bayer Kurzinfo"/>
    <m/>
    <s v="Tuchel"/>
    <m/>
    <e v="#N/A"/>
    <e v="#N/A"/>
    <e v="#N/A"/>
    <e v="#N/A"/>
    <x v="4"/>
  </r>
  <r>
    <x v="633"/>
    <n v="3"/>
    <x v="35"/>
    <x v="0"/>
    <s v="SAReporter: erweiterte Gruppenselektion"/>
    <m/>
    <s v="Runkel"/>
    <m/>
    <e v="#N/A"/>
    <e v="#N/A"/>
    <e v="#N/A"/>
    <e v="#N/A"/>
    <x v="4"/>
  </r>
  <r>
    <x v="634"/>
    <n v="6"/>
    <x v="35"/>
    <x v="0"/>
    <s v="SAReporter: erweiterte Gruppenselektion"/>
    <m/>
    <s v="Runkel"/>
    <m/>
    <e v="#N/A"/>
    <e v="#N/A"/>
    <e v="#N/A"/>
    <e v="#N/A"/>
    <x v="4"/>
  </r>
  <r>
    <x v="635"/>
    <n v="2"/>
    <x v="35"/>
    <x v="0"/>
    <s v="SAReporter: Ausblenden leerer Seiten"/>
    <m/>
    <s v="Runkel"/>
    <m/>
    <e v="#N/A"/>
    <e v="#N/A"/>
    <e v="#N/A"/>
    <e v="#N/A"/>
    <x v="4"/>
  </r>
  <r>
    <x v="636"/>
    <n v="4"/>
    <x v="6"/>
    <x v="0"/>
    <s v="McNeil Integration Pfizer"/>
    <m/>
    <s v="Charafeddine"/>
    <m/>
    <e v="#N/A"/>
    <e v="#N/A"/>
    <e v="#N/A"/>
    <e v="#N/A"/>
    <x v="4"/>
  </r>
  <r>
    <x v="636"/>
    <n v="4"/>
    <x v="35"/>
    <x v="0"/>
    <s v=" SAReporter erweiterte Gruppenselektion"/>
    <m/>
    <s v="Runkel"/>
    <m/>
    <e v="#N/A"/>
    <e v="#N/A"/>
    <e v="#N/A"/>
    <e v="#N/A"/>
    <x v="4"/>
  </r>
  <r>
    <x v="636"/>
    <n v="1"/>
    <x v="7"/>
    <x v="0"/>
    <s v=" Astellas Prämiensystem - Pivotalnr. 69571-0 Besprechung"/>
    <m/>
    <s v="Thee"/>
    <m/>
    <e v="#N/A"/>
    <e v="#N/A"/>
    <e v="#N/A"/>
    <e v="#N/A"/>
    <x v="4"/>
  </r>
  <r>
    <x v="637"/>
    <n v="5"/>
    <x v="35"/>
    <x v="0"/>
    <s v="SAReporter: erweiterte Gruppenselektion"/>
    <m/>
    <s v="Runkel"/>
    <m/>
    <e v="#N/A"/>
    <e v="#N/A"/>
    <e v="#N/A"/>
    <e v="#N/A"/>
    <x v="4"/>
  </r>
  <r>
    <x v="638"/>
    <n v="3"/>
    <x v="35"/>
    <x v="0"/>
    <s v="SAReporter: Ausblenden leerer Seiten"/>
    <m/>
    <s v="Runkel"/>
    <m/>
    <e v="#N/A"/>
    <e v="#N/A"/>
    <e v="#N/A"/>
    <e v="#N/A"/>
    <x v="4"/>
  </r>
  <r>
    <x v="639"/>
    <n v="6"/>
    <x v="7"/>
    <x v="0"/>
    <s v=" Heim: Astellas Prämiensystem - Pivotalnr. 69571-0 Makro"/>
    <m/>
    <s v="Thee"/>
    <m/>
    <e v="#N/A"/>
    <e v="#N/A"/>
    <e v="#N/A"/>
    <e v="#N/A"/>
    <x v="4"/>
  </r>
  <r>
    <x v="640"/>
    <n v="4"/>
    <x v="7"/>
    <x v="0"/>
    <s v=" Heim: Astellas Prämiensystem - Pivotalnr. 69571-0 Makro"/>
    <m/>
    <s v="Thee"/>
    <m/>
    <e v="#N/A"/>
    <e v="#N/A"/>
    <e v="#N/A"/>
    <e v="#N/A"/>
    <x v="4"/>
  </r>
  <r>
    <x v="641"/>
    <n v="5"/>
    <x v="7"/>
    <x v="0"/>
    <s v=" Heim: Astellas Prämiensystem - Pivotalnr. 69571-0 Makro"/>
    <m/>
    <s v="Thee"/>
    <m/>
    <e v="#N/A"/>
    <e v="#N/A"/>
    <e v="#N/A"/>
    <e v="#N/A"/>
    <x v="4"/>
  </r>
  <r>
    <x v="642"/>
    <n v="3"/>
    <x v="7"/>
    <x v="0"/>
    <s v=" Heim: Astellas Prämiensystem - Pivotalnr. 69571-0 Makro"/>
    <m/>
    <s v="Thee"/>
    <m/>
    <e v="#N/A"/>
    <e v="#N/A"/>
    <e v="#N/A"/>
    <e v="#N/A"/>
    <x v="4"/>
  </r>
  <r>
    <x v="643"/>
    <n v="3"/>
    <x v="7"/>
    <x v="0"/>
    <s v=" Heim: Astellas Prämiensystem - Pivotalnr. 69571-0 Makro"/>
    <m/>
    <s v="Thee"/>
    <m/>
    <e v="#N/A"/>
    <e v="#N/A"/>
    <e v="#N/A"/>
    <e v="#N/A"/>
    <x v="4"/>
  </r>
  <r>
    <x v="644"/>
    <n v="3"/>
    <x v="35"/>
    <x v="0"/>
    <s v="SAReporter: Erweiterte Gruppenselektion Bugfixing"/>
    <m/>
    <s v="Runkel"/>
    <m/>
    <e v="#N/A"/>
    <e v="#N/A"/>
    <e v="#N/A"/>
    <e v="#N/A"/>
    <x v="4"/>
  </r>
  <r>
    <x v="644"/>
    <n v="4.5"/>
    <x v="7"/>
    <x v="0"/>
    <s v="Astellas Prämiensystem - Pivotalnr. 69571-0 Formatierung"/>
    <m/>
    <s v="Thee"/>
    <m/>
    <e v="#N/A"/>
    <e v="#N/A"/>
    <e v="#N/A"/>
    <e v="#N/A"/>
    <x v="4"/>
  </r>
  <r>
    <x v="645"/>
    <n v="5"/>
    <x v="6"/>
    <x v="0"/>
    <s v="Heim: Woelm Reporting Pfizer Integration"/>
    <m/>
    <s v="Charafeddine"/>
    <m/>
    <e v="#N/A"/>
    <e v="#N/A"/>
    <e v="#N/A"/>
    <e v="#N/A"/>
    <x v="4"/>
  </r>
  <r>
    <x v="646"/>
    <n v="6"/>
    <x v="7"/>
    <x v="0"/>
    <s v="Heim: Astellas Prämiensystem - Pivotalnr. 69571-0  Formatierungen bearbeitet"/>
    <m/>
    <s v="Thee"/>
    <m/>
    <e v="#N/A"/>
    <e v="#N/A"/>
    <e v="#N/A"/>
    <e v="#N/A"/>
    <x v="4"/>
  </r>
  <r>
    <x v="647"/>
    <n v="2"/>
    <x v="7"/>
    <x v="0"/>
    <s v="Heim: Astellas Prämiensystem - Pivotalnr. 69571-0  Auswertung_Prämie"/>
    <m/>
    <s v="Thee"/>
    <m/>
    <e v="#N/A"/>
    <e v="#N/A"/>
    <e v="#N/A"/>
    <e v="#N/A"/>
    <x v="4"/>
  </r>
  <r>
    <x v="647"/>
    <n v="3"/>
    <x v="6"/>
    <x v="0"/>
    <s v="Woelm Reporting: Umstellung Microdatenbanken, Fehlersuche"/>
    <m/>
    <s v="Charafeddine"/>
    <m/>
    <e v="#N/A"/>
    <e v="#N/A"/>
    <e v="#N/A"/>
    <e v="#N/A"/>
    <x v="4"/>
  </r>
  <r>
    <x v="647"/>
    <n v="3"/>
    <x v="7"/>
    <x v="0"/>
    <s v="Astellas Prämiensystem - Pivotalnr. 69571-0 Blatt Auswertung Prämie"/>
    <m/>
    <s v="Thee"/>
    <m/>
    <e v="#N/A"/>
    <e v="#N/A"/>
    <e v="#N/A"/>
    <e v="#N/A"/>
    <x v="4"/>
  </r>
  <r>
    <x v="648"/>
    <n v="3"/>
    <x v="7"/>
    <x v="0"/>
    <s v="Heim: Astellas Prämiensystem - Pivotalnr. 69571-0 Auswertung_Prämie"/>
    <m/>
    <s v="Thee"/>
    <m/>
    <e v="#N/A"/>
    <e v="#N/A"/>
    <e v="#N/A"/>
    <e v="#N/A"/>
    <x v="4"/>
  </r>
  <r>
    <x v="649"/>
    <n v="2"/>
    <x v="7"/>
    <x v="0"/>
    <s v="Heim: Astellas Prämiensystem - Pivotalnr. 69571-0 Linie DP"/>
    <m/>
    <s v="Thee"/>
    <m/>
    <e v="#N/A"/>
    <e v="#N/A"/>
    <e v="#N/A"/>
    <e v="#N/A"/>
    <x v="4"/>
  </r>
  <r>
    <x v="650"/>
    <n v="4.5"/>
    <x v="7"/>
    <x v="0"/>
    <s v=" Astellas Prämiensystem - Pivotalnr. 69571-0 Blatt Auswertung Prämie"/>
    <m/>
    <s v="Thee"/>
    <m/>
    <e v="#N/A"/>
    <e v="#N/A"/>
    <e v="#N/A"/>
    <e v="#N/A"/>
    <x v="4"/>
  </r>
  <r>
    <x v="651"/>
    <n v="4"/>
    <x v="7"/>
    <x v="0"/>
    <s v="Heim: Astellas Prämiensystem - Pivotalnr. 69571-0 45% Regel Gebietsleiter"/>
    <m/>
    <s v="Thee"/>
    <m/>
    <e v="#N/A"/>
    <e v="#N/A"/>
    <e v="#N/A"/>
    <e v="#N/A"/>
    <x v="4"/>
  </r>
  <r>
    <x v="652"/>
    <n v="4"/>
    <x v="7"/>
    <x v="0"/>
    <s v="Heim: Astellas Prämiensystem - Pivotalnr. 69571-0 45% Regel Gebietsleiter"/>
    <m/>
    <s v="Thee"/>
    <m/>
    <e v="#N/A"/>
    <e v="#N/A"/>
    <e v="#N/A"/>
    <e v="#N/A"/>
    <x v="4"/>
  </r>
  <r>
    <x v="614"/>
    <m/>
    <x v="36"/>
    <x v="0"/>
    <m/>
    <m/>
    <m/>
    <m/>
    <e v="#N/A"/>
    <e v="#N/A"/>
    <e v="#N/A"/>
    <e v="#N/A"/>
    <x v="5"/>
  </r>
  <r>
    <x v="653"/>
    <n v="5"/>
    <x v="7"/>
    <x v="0"/>
    <s v="Astellas Prämiensystem - Pivotalnr. 69571-0 Astellas Makro Anpassung für GP"/>
    <m/>
    <s v="Thee"/>
    <m/>
    <e v="#N/A"/>
    <e v="#N/A"/>
    <e v="#N/A"/>
    <e v="#N/A"/>
    <x v="4"/>
  </r>
  <r>
    <x v="654"/>
    <n v="6"/>
    <x v="7"/>
    <x v="0"/>
    <s v="Astellas Prämiensystem - Pivotalnr. 69571-0 Astellas Problem Q1 2007"/>
    <m/>
    <s v="Thee"/>
    <m/>
    <e v="#N/A"/>
    <e v="#N/A"/>
    <e v="#N/A"/>
    <e v="#N/A"/>
    <x v="4"/>
  </r>
  <r>
    <x v="654"/>
    <n v="4"/>
    <x v="7"/>
    <x v="0"/>
    <s v="Heim: Astellas Prämiensystem - Pivotalnr. 69571-0 Astellas Q-Rückberechnung"/>
    <m/>
    <s v="Thee"/>
    <m/>
    <e v="#N/A"/>
    <e v="#N/A"/>
    <e v="#N/A"/>
    <e v="#N/A"/>
    <x v="4"/>
  </r>
  <r>
    <x v="655"/>
    <n v="3"/>
    <x v="7"/>
    <x v="0"/>
    <s v="Heim: Astellas Prämiensystem - Pivotalnr. 69571-0 Astellas Q-Rückberechnung"/>
    <m/>
    <s v="Thee"/>
    <m/>
    <e v="#N/A"/>
    <e v="#N/A"/>
    <e v="#N/A"/>
    <e v="#N/A"/>
    <x v="4"/>
  </r>
  <r>
    <x v="656"/>
    <n v="6"/>
    <x v="7"/>
    <x v="0"/>
    <s v="Heim: Astellas Prämiensystem - Pivotalnr. 69571-0 Astellas Daten produzieren und Test"/>
    <m/>
    <s v="Thee"/>
    <m/>
    <e v="#N/A"/>
    <e v="#N/A"/>
    <e v="#N/A"/>
    <e v="#N/A"/>
    <x v="4"/>
  </r>
  <r>
    <x v="657"/>
    <n v="2"/>
    <x v="7"/>
    <x v="0"/>
    <s v="Heim: Astellas Prämiensystem - Pivotalnr. 69571-0 Astellas Bug Wiesner rückwirkende Q-Berechnung"/>
    <m/>
    <s v="Thee"/>
    <m/>
    <e v="#N/A"/>
    <e v="#N/A"/>
    <e v="#N/A"/>
    <e v="#N/A"/>
    <x v="4"/>
  </r>
  <r>
    <x v="658"/>
    <n v="2"/>
    <x v="35"/>
    <x v="0"/>
    <s v="Heim: SAReporter: Selektion Subterritory Analyse"/>
    <m/>
    <s v="Runkel"/>
    <m/>
    <e v="#N/A"/>
    <e v="#N/A"/>
    <e v="#N/A"/>
    <e v="#N/A"/>
    <x v="4"/>
  </r>
  <r>
    <x v="659"/>
    <n v="7"/>
    <x v="17"/>
    <x v="0"/>
    <s v="Powercharts 2.0"/>
    <m/>
    <s v="Robert"/>
    <m/>
    <e v="#N/A"/>
    <e v="#N/A"/>
    <e v="#N/A"/>
    <e v="#N/A"/>
    <x v="4"/>
  </r>
  <r>
    <x v="660"/>
    <n v="7"/>
    <x v="7"/>
    <x v="0"/>
    <s v="Heim: Astellas Prämiensystem - Pivotalnr. 69571-0 Astellas Formatierung, Auswertung Prämie"/>
    <m/>
    <s v="Thee"/>
    <m/>
    <e v="#N/A"/>
    <e v="#N/A"/>
    <e v="#N/A"/>
    <e v="#N/A"/>
    <x v="4"/>
  </r>
  <r>
    <x v="661"/>
    <n v="5"/>
    <x v="7"/>
    <x v="0"/>
    <s v="Heim: Astellas Prämiensystem - Pivotalnr. 69571-0 Astellas 45% Regel RVL"/>
    <m/>
    <s v="Thee"/>
    <m/>
    <e v="#N/A"/>
    <e v="#N/A"/>
    <e v="#N/A"/>
    <e v="#N/A"/>
    <x v="4"/>
  </r>
  <r>
    <x v="662"/>
    <n v="6"/>
    <x v="7"/>
    <x v="0"/>
    <s v="Heim: Astellas Prämiensystem - Pivotalnr. 69571-0 Astellas 45% Regel RVL"/>
    <m/>
    <s v="Thee"/>
    <m/>
    <e v="#N/A"/>
    <e v="#N/A"/>
    <e v="#N/A"/>
    <e v="#N/A"/>
    <x v="4"/>
  </r>
  <r>
    <x v="663"/>
    <n v="3"/>
    <x v="7"/>
    <x v="0"/>
    <s v="Heim: Astellas Prämiensystem - Pivotalnr. 69571-0 Anpassung Makro Neuberechnung"/>
    <m/>
    <s v="Thee"/>
    <m/>
    <e v="#N/A"/>
    <e v="#N/A"/>
    <e v="#N/A"/>
    <e v="#N/A"/>
    <x v="4"/>
  </r>
  <r>
    <x v="664"/>
    <n v="6"/>
    <x v="35"/>
    <x v="0"/>
    <s v="Octapharma"/>
    <m/>
    <s v="Runkel"/>
    <m/>
    <e v="#N/A"/>
    <e v="#N/A"/>
    <e v="#N/A"/>
    <e v="#N/A"/>
    <x v="4"/>
  </r>
  <r>
    <x v="665"/>
    <n v="4"/>
    <x v="35"/>
    <x v="0"/>
    <s v="Heim:SAReporter Periodenfehler"/>
    <m/>
    <s v="Runkel"/>
    <m/>
    <e v="#N/A"/>
    <e v="#N/A"/>
    <e v="#N/A"/>
    <e v="#N/A"/>
    <x v="4"/>
  </r>
  <r>
    <x v="666"/>
    <n v="2"/>
    <x v="35"/>
    <x v="0"/>
    <s v="Heim:SAReporter Periodenfehler"/>
    <m/>
    <s v="Runkel"/>
    <m/>
    <e v="#N/A"/>
    <e v="#N/A"/>
    <e v="#N/A"/>
    <e v="#N/A"/>
    <x v="4"/>
  </r>
  <r>
    <x v="667"/>
    <n v="4"/>
    <x v="7"/>
    <x v="0"/>
    <s v="Heim: Astellas Prämiensystem - Pivotalnr. 69571-0 Anpassung Kalenderquartale"/>
    <m/>
    <s v="Thee"/>
    <m/>
    <e v="#N/A"/>
    <e v="#N/A"/>
    <e v="#N/A"/>
    <e v="#N/A"/>
    <x v="4"/>
  </r>
  <r>
    <x v="668"/>
    <n v="2"/>
    <x v="7"/>
    <x v="0"/>
    <s v="Heim: Astellas Prämiensystem - Pivotalnr. 69571-0 Anpassung Budecort + Berechnungsfehler Q1"/>
    <m/>
    <s v="Thee"/>
    <m/>
    <e v="#N/A"/>
    <e v="#N/A"/>
    <e v="#N/A"/>
    <e v="#N/A"/>
    <x v="4"/>
  </r>
  <r>
    <x v="669"/>
    <n v="2"/>
    <x v="7"/>
    <x v="0"/>
    <s v="Heim: Astellas Prämiensystem - Pivotalnr. 69571-0 Anpassung Formatierung"/>
    <m/>
    <s v="Thee"/>
    <m/>
    <e v="#N/A"/>
    <e v="#N/A"/>
    <e v="#N/A"/>
    <e v="#N/A"/>
    <x v="4"/>
  </r>
  <r>
    <x v="670"/>
    <n v="2"/>
    <x v="7"/>
    <x v="0"/>
    <s v="Heim: Astellas Prämiensystem - Pivotalnr. 69571-0 Formatierung"/>
    <m/>
    <s v="Thee"/>
    <m/>
    <e v="#N/A"/>
    <e v="#N/A"/>
    <e v="#N/A"/>
    <e v="#N/A"/>
    <x v="4"/>
  </r>
  <r>
    <x v="671"/>
    <n v="2"/>
    <x v="7"/>
    <x v="0"/>
    <s v="Heim: Astellas Prämiensystem - Pivotalnr. 69571-0 Übertragung auf alle Linien"/>
    <m/>
    <s v="Thee"/>
    <m/>
    <e v="#N/A"/>
    <e v="#N/A"/>
    <e v="#N/A"/>
    <e v="#N/A"/>
    <x v="4"/>
  </r>
  <r>
    <x v="672"/>
    <n v="2"/>
    <x v="7"/>
    <x v="0"/>
    <s v="Heim: Astellas Prämiensystem - Pivotalnr. 69571-0 Prüung"/>
    <m/>
    <s v="Thee"/>
    <m/>
    <e v="#N/A"/>
    <e v="#N/A"/>
    <e v="#N/A"/>
    <e v="#N/A"/>
    <x v="4"/>
  </r>
  <r>
    <x v="673"/>
    <n v="4"/>
    <x v="17"/>
    <x v="0"/>
    <s v="Heim: Powercharts 2.1 beta"/>
    <m/>
    <s v="Robert"/>
    <m/>
    <e v="#N/A"/>
    <e v="#N/A"/>
    <e v="#N/A"/>
    <e v="#N/A"/>
    <x v="4"/>
  </r>
  <r>
    <x v="674"/>
    <n v="6"/>
    <x v="17"/>
    <x v="0"/>
    <s v="Heim: Powercharts 2.1 beta"/>
    <m/>
    <s v="Robert"/>
    <m/>
    <e v="#N/A"/>
    <e v="#N/A"/>
    <e v="#N/A"/>
    <e v="#N/A"/>
    <x v="4"/>
  </r>
  <r>
    <x v="675"/>
    <n v="4"/>
    <x v="17"/>
    <x v="0"/>
    <s v="Heim: Powercharts 2.1 beta Präsentationsanalyse"/>
    <m/>
    <s v="Robert"/>
    <m/>
    <e v="#N/A"/>
    <e v="#N/A"/>
    <e v="#N/A"/>
    <e v="#N/A"/>
    <x v="4"/>
  </r>
  <r>
    <x v="676"/>
    <n v="2"/>
    <x v="17"/>
    <x v="0"/>
    <s v="Heim: Powercharts 2.1 beta Präsentationsanalyse"/>
    <m/>
    <s v="Robert"/>
    <m/>
    <e v="#N/A"/>
    <e v="#N/A"/>
    <e v="#N/A"/>
    <e v="#N/A"/>
    <x v="4"/>
  </r>
  <r>
    <x v="677"/>
    <n v="3"/>
    <x v="17"/>
    <x v="0"/>
    <s v="Heim: Powercharts 2.1 beta Chart 4 freie Regionen"/>
    <m/>
    <s v="Schilly"/>
    <m/>
    <e v="#N/A"/>
    <e v="#N/A"/>
    <e v="#N/A"/>
    <e v="#N/A"/>
    <x v="4"/>
  </r>
  <r>
    <x v="678"/>
    <n v="3"/>
    <x v="17"/>
    <x v="0"/>
    <s v="Heim: Powercharts 2.1 beta Präsentationsanalyse"/>
    <m/>
    <s v="Schilly"/>
    <m/>
    <e v="#N/A"/>
    <e v="#N/A"/>
    <e v="#N/A"/>
    <e v="#N/A"/>
    <x v="4"/>
  </r>
  <r>
    <x v="679"/>
    <n v="2"/>
    <x v="35"/>
    <x v="0"/>
    <s v="SAReporter Versionsproblem Mundi"/>
    <m/>
    <s v="Montermann"/>
    <m/>
    <e v="#N/A"/>
    <e v="#N/A"/>
    <e v="#N/A"/>
    <e v="#N/A"/>
    <x v="4"/>
  </r>
  <r>
    <x v="679"/>
    <n v="2"/>
    <x v="17"/>
    <x v="0"/>
    <s v="Powercharts 2.1 beta Anpassung Vorlagen"/>
    <m/>
    <s v="Schilly"/>
    <m/>
    <e v="#N/A"/>
    <e v="#N/A"/>
    <e v="#N/A"/>
    <e v="#N/A"/>
    <x v="4"/>
  </r>
  <r>
    <x v="679"/>
    <n v="2"/>
    <x v="7"/>
    <x v="0"/>
    <s v="Heim: Astellas Prämiensystem - Pivotalnr. 69571-0 Zusammenfassung"/>
    <m/>
    <s v="Thee"/>
    <m/>
    <e v="#N/A"/>
    <e v="#N/A"/>
    <e v="#N/A"/>
    <e v="#N/A"/>
    <x v="4"/>
  </r>
  <r>
    <x v="680"/>
    <n v="2"/>
    <x v="17"/>
    <x v="0"/>
    <s v="Heim: Powercharts 2.1 beta Filter Gruppierungen"/>
    <m/>
    <s v="Schilly"/>
    <m/>
    <e v="#N/A"/>
    <e v="#N/A"/>
    <e v="#N/A"/>
    <e v="#N/A"/>
    <x v="4"/>
  </r>
  <r>
    <x v="681"/>
    <n v="3.5"/>
    <x v="7"/>
    <x v="0"/>
    <s v="Heim: Astellas Prämiensystem - Pivotalnr. 69571-0 Zusammenfassung"/>
    <m/>
    <s v="Thee"/>
    <m/>
    <e v="#N/A"/>
    <e v="#N/A"/>
    <e v="#N/A"/>
    <e v="#N/A"/>
    <x v="4"/>
  </r>
  <r>
    <x v="682"/>
    <n v="3"/>
    <x v="7"/>
    <x v="0"/>
    <s v="Heim: Astellas Prämiensystem - Pivotalnr. 69571-0 Zusammenfassung von zeilenweise auf spaltenweise umgestellt und getestet"/>
    <m/>
    <s v="Thee"/>
    <m/>
    <e v="#N/A"/>
    <e v="#N/A"/>
    <e v="#N/A"/>
    <e v="#N/A"/>
    <x v="4"/>
  </r>
  <r>
    <x v="683"/>
    <n v="2"/>
    <x v="7"/>
    <x v="0"/>
    <s v="Heim: Astellas Prämiensystem - Pivotalnr. 69571-0 Zusammenfassung von zeilenweise auf spaltenweise umgestellt und getestet"/>
    <m/>
    <s v="Thee"/>
    <m/>
    <e v="#N/A"/>
    <e v="#N/A"/>
    <e v="#N/A"/>
    <e v="#N/A"/>
    <x v="4"/>
  </r>
  <r>
    <x v="684"/>
    <n v="1"/>
    <x v="17"/>
    <x v="0"/>
    <s v="Heim: Powercharts 2.1 beta Filter Präsentationsanalyse"/>
    <m/>
    <s v="Schilly"/>
    <m/>
    <e v="#N/A"/>
    <e v="#N/A"/>
    <e v="#N/A"/>
    <e v="#N/A"/>
    <x v="4"/>
  </r>
  <r>
    <x v="684"/>
    <n v="3"/>
    <x v="35"/>
    <x v="0"/>
    <s v="Heim: SAReporter Charting"/>
    <m/>
    <s v="Burger"/>
    <m/>
    <e v="#N/A"/>
    <e v="#N/A"/>
    <e v="#N/A"/>
    <e v="#N/A"/>
    <x v="4"/>
  </r>
  <r>
    <x v="685"/>
    <n v="7"/>
    <x v="35"/>
    <x v="0"/>
    <s v="SAReporter Charting"/>
    <m/>
    <s v="Burger"/>
    <m/>
    <e v="#N/A"/>
    <e v="#N/A"/>
    <e v="#N/A"/>
    <e v="#N/A"/>
    <x v="4"/>
  </r>
  <r>
    <x v="686"/>
    <n v="2"/>
    <x v="7"/>
    <x v="0"/>
    <s v="Prodcheck"/>
    <m/>
    <s v="Hornbruch"/>
    <m/>
    <e v="#N/A"/>
    <e v="#N/A"/>
    <e v="#N/A"/>
    <e v="#N/A"/>
    <x v="4"/>
  </r>
  <r>
    <x v="686"/>
    <n v="1.5"/>
    <x v="7"/>
    <x v="0"/>
    <s v="Durschnittsberechnung MDX"/>
    <m/>
    <s v="Montermann"/>
    <m/>
    <e v="#N/A"/>
    <e v="#N/A"/>
    <e v="#N/A"/>
    <e v="#N/A"/>
    <x v="4"/>
  </r>
  <r>
    <x v="686"/>
    <n v="1.5"/>
    <x v="35"/>
    <x v="0"/>
    <s v="Besprechung SAReporter Batchverarbeitung Erweiterung"/>
    <m/>
    <s v="Burger"/>
    <m/>
    <e v="#N/A"/>
    <e v="#N/A"/>
    <e v="#N/A"/>
    <e v="#N/A"/>
    <x v="4"/>
  </r>
  <r>
    <x v="686"/>
    <n v="2"/>
    <x v="35"/>
    <x v="0"/>
    <s v="SAReporter Grafiken"/>
    <m/>
    <s v="Burger"/>
    <m/>
    <e v="#N/A"/>
    <e v="#N/A"/>
    <e v="#N/A"/>
    <e v="#N/A"/>
    <x v="4"/>
  </r>
  <r>
    <x v="686"/>
    <n v="1"/>
    <x v="7"/>
    <x v="0"/>
    <s v="Astellas Prämiensystem - Pivotalnr. 69571-0 Besprechung Wichtung Sollüberschreitung "/>
    <m/>
    <s v="Thee"/>
    <m/>
    <e v="#N/A"/>
    <e v="#N/A"/>
    <e v="#N/A"/>
    <e v="#N/A"/>
    <x v="4"/>
  </r>
  <r>
    <x v="687"/>
    <n v="2"/>
    <x v="7"/>
    <x v="0"/>
    <s v="Astellas Prämiensystem - Pivotalnr. 69571-0  Wichtung Sollüberschreitung "/>
    <m/>
    <s v="Thee"/>
    <m/>
    <e v="#N/A"/>
    <e v="#N/A"/>
    <e v="#N/A"/>
    <e v="#N/A"/>
    <x v="4"/>
  </r>
  <r>
    <x v="688"/>
    <n v="6"/>
    <x v="7"/>
    <x v="0"/>
    <s v="Astellas Prämiensystem - Pivotalnr. 69571-0  Wichtung Sollüberschreitung "/>
    <m/>
    <s v="Thee"/>
    <m/>
    <e v="#N/A"/>
    <e v="#N/A"/>
    <e v="#N/A"/>
    <e v="#N/A"/>
    <x v="4"/>
  </r>
  <r>
    <x v="689"/>
    <n v="3"/>
    <x v="17"/>
    <x v="0"/>
    <s v="Heim: finale Version Powercharts 2.1 Hierarchische Gruppenauswahl"/>
    <m/>
    <s v="Schilly"/>
    <m/>
    <e v="#N/A"/>
    <e v="#N/A"/>
    <e v="#N/A"/>
    <e v="#N/A"/>
    <x v="4"/>
  </r>
  <r>
    <x v="690"/>
    <n v="3"/>
    <x v="17"/>
    <x v="0"/>
    <s v="Heim: finale Version Powercharts 2.1 Restmarkt"/>
    <m/>
    <s v="Schilly"/>
    <m/>
    <e v="#N/A"/>
    <e v="#N/A"/>
    <e v="#N/A"/>
    <e v="#N/A"/>
    <x v="4"/>
  </r>
  <r>
    <x v="691"/>
    <n v="5.5"/>
    <x v="17"/>
    <x v="0"/>
    <s v="finale Version Powercharts 2.1 Restmarkt + Setup"/>
    <m/>
    <s v="Schilly"/>
    <m/>
    <e v="#N/A"/>
    <e v="#N/A"/>
    <e v="#N/A"/>
    <e v="#N/A"/>
    <x v="4"/>
  </r>
  <r>
    <x v="691"/>
    <n v="1"/>
    <x v="35"/>
    <x v="0"/>
    <s v="SAReporter Besprechung"/>
    <m/>
    <s v="Runkel"/>
    <m/>
    <e v="#N/A"/>
    <e v="#N/A"/>
    <e v="#N/A"/>
    <e v="#N/A"/>
    <x v="4"/>
  </r>
  <r>
    <x v="691"/>
    <n v="0.5"/>
    <x v="17"/>
    <x v="0"/>
    <s v="MixReporter Besprechung"/>
    <m/>
    <s v="Schnabel"/>
    <m/>
    <e v="#N/A"/>
    <e v="#N/A"/>
    <e v="#N/A"/>
    <e v="#N/A"/>
    <x v="4"/>
  </r>
  <r>
    <x v="692"/>
    <n v="3"/>
    <x v="35"/>
    <x v="0"/>
    <s v="Heim: SAReporter Speicherndialog"/>
    <m/>
    <s v="Runkel"/>
    <m/>
    <e v="#N/A"/>
    <e v="#N/A"/>
    <e v="#N/A"/>
    <e v="#N/A"/>
    <x v="4"/>
  </r>
  <r>
    <x v="693"/>
    <n v="4.5"/>
    <x v="35"/>
    <x v="0"/>
    <s v="Heim: SAReporter rpt Name als Blattname"/>
    <m/>
    <s v="Burger"/>
    <m/>
    <e v="#N/A"/>
    <e v="#N/A"/>
    <e v="#N/A"/>
    <e v="#N/A"/>
    <x v="4"/>
  </r>
  <r>
    <x v="694"/>
    <n v="5"/>
    <x v="35"/>
    <x v="0"/>
    <s v="Heim: SAReporter rpt Name als Blattname"/>
    <m/>
    <s v="Burger"/>
    <m/>
    <e v="#N/A"/>
    <e v="#N/A"/>
    <e v="#N/A"/>
    <e v="#N/A"/>
    <x v="4"/>
  </r>
  <r>
    <x v="695"/>
    <n v="3.5"/>
    <x v="35"/>
    <x v="0"/>
    <s v="Heim: SAReporter Beschriftungsfeld"/>
    <m/>
    <s v="Runkel"/>
    <m/>
    <e v="#N/A"/>
    <e v="#N/A"/>
    <e v="#N/A"/>
    <e v="#N/A"/>
    <x v="4"/>
  </r>
  <r>
    <x v="696"/>
    <n v="3"/>
    <x v="35"/>
    <x v="0"/>
    <s v="SAReporter Mailversand Last"/>
    <m/>
    <s v="Runkel"/>
    <m/>
    <e v="#N/A"/>
    <e v="#N/A"/>
    <e v="#N/A"/>
    <e v="#N/A"/>
    <x v="4"/>
  </r>
  <r>
    <x v="696"/>
    <n v="2.5"/>
    <x v="6"/>
    <x v="0"/>
    <s v="Angebotserstellung Mixreporter"/>
    <m/>
    <s v="Schnabel"/>
    <m/>
    <e v="#N/A"/>
    <e v="#N/A"/>
    <e v="#N/A"/>
    <e v="#N/A"/>
    <x v="4"/>
  </r>
  <r>
    <x v="697"/>
    <n v="3"/>
    <x v="35"/>
    <x v="0"/>
    <s v="Heim: SAReporter Speicherndialog nur bei Änderung von RPT"/>
    <m/>
    <s v="Runkel"/>
    <m/>
    <e v="#N/A"/>
    <e v="#N/A"/>
    <e v="#N/A"/>
    <e v="#N/A"/>
    <x v="4"/>
  </r>
  <r>
    <x v="698"/>
    <n v="3"/>
    <x v="35"/>
    <x v="0"/>
    <s v="Heim: SAReporter Fehlerbehebung Abbruch Berichterstellung"/>
    <m/>
    <s v="Runkel"/>
    <m/>
    <e v="#N/A"/>
    <e v="#N/A"/>
    <e v="#N/A"/>
    <e v="#N/A"/>
    <x v="4"/>
  </r>
  <r>
    <x v="699"/>
    <n v="2"/>
    <x v="35"/>
    <x v="0"/>
    <s v="Heim: SAReporter Änderungen Mail Log Format"/>
    <m/>
    <s v="Runkel"/>
    <m/>
    <e v="#N/A"/>
    <e v="#N/A"/>
    <e v="#N/A"/>
    <e v="#N/A"/>
    <x v="4"/>
  </r>
  <r>
    <x v="700"/>
    <n v="1"/>
    <x v="35"/>
    <x v="0"/>
    <s v="Heim: SAReporter Formatierung Seiteneinstellungen (Wolffberichte)"/>
    <m/>
    <s v="Runkel"/>
    <m/>
    <e v="#N/A"/>
    <e v="#N/A"/>
    <e v="#N/A"/>
    <e v="#N/A"/>
    <x v="4"/>
  </r>
  <r>
    <x v="701"/>
    <n v="3"/>
    <x v="35"/>
    <x v="0"/>
    <s v="Heim: Package Prototyp Ministerium"/>
    <m/>
    <s v="Montermann"/>
    <m/>
    <e v="#N/A"/>
    <e v="#N/A"/>
    <e v="#N/A"/>
    <e v="#N/A"/>
    <x v="4"/>
  </r>
  <r>
    <x v="702"/>
    <n v="2"/>
    <x v="35"/>
    <x v="0"/>
    <s v="Heim: SAReporter Charting Evaluierung"/>
    <m/>
    <s v="Runkel"/>
    <m/>
    <e v="#N/A"/>
    <e v="#N/A"/>
    <e v="#N/A"/>
    <e v="#N/A"/>
    <x v="4"/>
  </r>
  <r>
    <x v="703"/>
    <n v="5.5"/>
    <x v="35"/>
    <x v="0"/>
    <s v="Package Prototyp Ministerium"/>
    <m/>
    <s v="Montermann"/>
    <m/>
    <e v="#N/A"/>
    <e v="#N/A"/>
    <e v="#N/A"/>
    <e v="#N/A"/>
    <x v="4"/>
  </r>
  <r>
    <x v="704"/>
    <n v="3"/>
    <x v="35"/>
    <x v="0"/>
    <s v="Heim: SAReporter: Speicherndialog nur bei Änderung des rpt Files"/>
    <m/>
    <s v="Runkel"/>
    <m/>
    <e v="#N/A"/>
    <e v="#N/A"/>
    <e v="#N/A"/>
    <e v="#N/A"/>
    <x v="4"/>
  </r>
  <r>
    <x v="705"/>
    <n v="1"/>
    <x v="35"/>
    <x v="0"/>
    <s v="Heim: SAReporter Formatierung Seiteneinstellungen (Wolffberichte)"/>
    <m/>
    <s v="Holzmeier"/>
    <m/>
    <e v="#N/A"/>
    <e v="#N/A"/>
    <e v="#N/A"/>
    <e v="#N/A"/>
    <x v="4"/>
  </r>
  <r>
    <x v="706"/>
    <n v="1"/>
    <x v="35"/>
    <x v="0"/>
    <s v="Package Prototyp Ministerium, Anpassungen Lookup Error Description"/>
    <m/>
    <s v="Montermann"/>
    <m/>
    <e v="#N/A"/>
    <e v="#N/A"/>
    <e v="#N/A"/>
    <e v="#N/A"/>
    <x v="4"/>
  </r>
  <r>
    <x v="707"/>
    <n v="1"/>
    <x v="35"/>
    <x v="0"/>
    <s v="Heim: SAReporter rpt Name als Blattname Fehlersuche"/>
    <m/>
    <s v="Burger"/>
    <m/>
    <e v="#N/A"/>
    <e v="#N/A"/>
    <e v="#N/A"/>
    <e v="#N/A"/>
    <x v="4"/>
  </r>
  <r>
    <x v="708"/>
    <n v="7"/>
    <x v="35"/>
    <x v="0"/>
    <s v="Heim: SAReporter rpb Dateien Speichern und Laden als Batchdatei"/>
    <m/>
    <s v="Burger"/>
    <m/>
    <e v="#N/A"/>
    <e v="#N/A"/>
    <e v="#N/A"/>
    <e v="#N/A"/>
    <x v="4"/>
  </r>
  <r>
    <x v="709"/>
    <n v="4"/>
    <x v="35"/>
    <x v="0"/>
    <s v="Heim: SAReporter Charting"/>
    <m/>
    <s v="Runkel"/>
    <m/>
    <e v="#N/A"/>
    <e v="#N/A"/>
    <e v="#N/A"/>
    <e v="#N/A"/>
    <x v="4"/>
  </r>
  <r>
    <x v="710"/>
    <n v="5"/>
    <x v="35"/>
    <x v="0"/>
    <s v="Heim: SAReporter Charting"/>
    <m/>
    <s v="Runkel"/>
    <m/>
    <e v="#N/A"/>
    <e v="#N/A"/>
    <e v="#N/A"/>
    <e v="#N/A"/>
    <x v="4"/>
  </r>
  <r>
    <x v="711"/>
    <n v="2"/>
    <x v="17"/>
    <x v="0"/>
    <s v="Heim: Gehe zu Gruppe Funnktion in Suchdialog"/>
    <m/>
    <s v="Schilly"/>
    <m/>
    <e v="#N/A"/>
    <e v="#N/A"/>
    <e v="#N/A"/>
    <e v="#N/A"/>
    <x v="4"/>
  </r>
  <r>
    <x v="711"/>
    <n v="4"/>
    <x v="35"/>
    <x v="0"/>
    <s v="Heim: SAReporter Charting"/>
    <m/>
    <s v="Runkel"/>
    <m/>
    <e v="#N/A"/>
    <e v="#N/A"/>
    <e v="#N/A"/>
    <e v="#N/A"/>
    <x v="4"/>
  </r>
  <r>
    <x v="712"/>
    <n v="3"/>
    <x v="35"/>
    <x v="0"/>
    <s v="SAReporter Charting"/>
    <m/>
    <s v="Runkel"/>
    <m/>
    <e v="#N/A"/>
    <e v="#N/A"/>
    <e v="#N/A"/>
    <e v="#N/A"/>
    <x v="4"/>
  </r>
  <r>
    <x v="712"/>
    <n v="5"/>
    <x v="17"/>
    <x v="0"/>
    <s v="Gehe zu Gruppe Funnktion in Suchdialog"/>
    <m/>
    <s v="Schilly"/>
    <m/>
    <e v="#N/A"/>
    <e v="#N/A"/>
    <e v="#N/A"/>
    <e v="#N/A"/>
    <x v="4"/>
  </r>
  <r>
    <x v="713"/>
    <n v="5"/>
    <x v="17"/>
    <x v="0"/>
    <s v="Heim: Restmarkt über verschiedene Hierarchien"/>
    <m/>
    <s v="Schilly"/>
    <m/>
    <e v="#N/A"/>
    <e v="#N/A"/>
    <e v="#N/A"/>
    <e v="#N/A"/>
    <x v="4"/>
  </r>
  <r>
    <x v="714"/>
    <n v="4"/>
    <x v="17"/>
    <x v="0"/>
    <s v="Heim: Prüfbericht groupings.xml"/>
    <m/>
    <s v="Schilly"/>
    <m/>
    <e v="#N/A"/>
    <e v="#N/A"/>
    <e v="#N/A"/>
    <e v="#N/A"/>
    <x v="4"/>
  </r>
  <r>
    <x v="715"/>
    <n v="4"/>
    <x v="17"/>
    <x v="0"/>
    <s v="Heim: Folien verschieben"/>
    <m/>
    <s v="Schilly"/>
    <m/>
    <e v="#N/A"/>
    <e v="#N/A"/>
    <e v="#N/A"/>
    <e v="#N/A"/>
    <x v="4"/>
  </r>
  <r>
    <x v="716"/>
    <n v="1"/>
    <x v="17"/>
    <x v="0"/>
    <s v="Besprechung Powercharts"/>
    <m/>
    <s v="Schilly"/>
    <m/>
    <e v="#N/A"/>
    <e v="#N/A"/>
    <e v="#N/A"/>
    <e v="#N/A"/>
    <x v="4"/>
  </r>
  <r>
    <x v="716"/>
    <n v="1"/>
    <x v="35"/>
    <x v="0"/>
    <s v="Besprechungen"/>
    <m/>
    <s v="Borchard, Runkel,Tuchel"/>
    <m/>
    <e v="#N/A"/>
    <e v="#N/A"/>
    <e v="#N/A"/>
    <e v="#N/A"/>
    <x v="4"/>
  </r>
  <r>
    <x v="716"/>
    <n v="3"/>
    <x v="17"/>
    <x v="0"/>
    <s v="Powercharts: Folien verschieben, neues Setup"/>
    <m/>
    <s v="Schilly"/>
    <m/>
    <e v="#N/A"/>
    <e v="#N/A"/>
    <e v="#N/A"/>
    <e v="#N/A"/>
    <x v="4"/>
  </r>
  <r>
    <x v="717"/>
    <n v="5"/>
    <x v="35"/>
    <x v="0"/>
    <s v="Heim: Seitenumbrüche nach Absolutzeilen und -spalten"/>
    <m/>
    <s v="Runkel, Holzmeier"/>
    <m/>
    <e v="#N/A"/>
    <e v="#N/A"/>
    <e v="#N/A"/>
    <e v="#N/A"/>
    <x v="4"/>
  </r>
  <r>
    <x v="718"/>
    <n v="4"/>
    <x v="35"/>
    <x v="0"/>
    <s v="Heim: Ursprung für Gruppen berücksichtigen für SAReporter basierende Gruppen"/>
    <m/>
    <s v="Runkel"/>
    <m/>
    <e v="#N/A"/>
    <e v="#N/A"/>
    <e v="#N/A"/>
    <e v="#N/A"/>
    <x v="4"/>
  </r>
  <r>
    <x v="719"/>
    <n v="4"/>
    <x v="35"/>
    <x v="0"/>
    <s v="Heim: Ursprung für Gruppen berücksichtigen für SAReporter basierende Gruppen"/>
    <m/>
    <s v="Runkel"/>
    <m/>
    <e v="#N/A"/>
    <e v="#N/A"/>
    <e v="#N/A"/>
    <e v="#N/A"/>
    <x v="4"/>
  </r>
  <r>
    <x v="720"/>
    <n v="5.5"/>
    <x v="35"/>
    <x v="0"/>
    <s v="Spalten fixieren, Ursprung Gruppen, Neues Setup"/>
    <m/>
    <s v="Runkel"/>
    <m/>
    <e v="#N/A"/>
    <e v="#N/A"/>
    <e v="#N/A"/>
    <e v="#N/A"/>
    <x v="4"/>
  </r>
  <r>
    <x v="721"/>
    <n v="4"/>
    <x v="17"/>
    <x v="0"/>
    <s v="Heim: Optimierung Prüfbericht Formular"/>
    <m/>
    <s v="Schilly"/>
    <m/>
    <e v="#N/A"/>
    <e v="#N/A"/>
    <e v="#N/A"/>
    <e v="#N/A"/>
    <x v="4"/>
  </r>
  <r>
    <x v="722"/>
    <n v="4"/>
    <x v="17"/>
    <x v="0"/>
    <s v="Heim: Berücksichtigung von Berechnungen im Prüfbericht"/>
    <m/>
    <s v="Schilly"/>
    <m/>
    <e v="#N/A"/>
    <e v="#N/A"/>
    <e v="#N/A"/>
    <e v="#N/A"/>
    <x v="4"/>
  </r>
  <r>
    <x v="723"/>
    <n v="4"/>
    <x v="17"/>
    <x v="0"/>
    <s v="Heim: Groupinjgs Prüfbericht, Sortierung + Gruppenelemente mit anzeigen"/>
    <m/>
    <s v="Schilly"/>
    <m/>
    <e v="#N/A"/>
    <e v="#N/A"/>
    <e v="#N/A"/>
    <e v="#N/A"/>
    <x v="4"/>
  </r>
  <r>
    <x v="724"/>
    <n v="2.5"/>
    <x v="17"/>
    <x v="0"/>
    <s v="4 Facts (Perioden frei wählbar) Anzeige eines alleinigen Produkts"/>
    <m/>
    <s v="Schilly"/>
    <m/>
    <e v="#N/A"/>
    <e v="#N/A"/>
    <e v="#N/A"/>
    <e v="#N/A"/>
    <x v="4"/>
  </r>
  <r>
    <x v="724"/>
    <n v="1"/>
    <x v="35"/>
    <x v="0"/>
    <s v="Integration Services Madaus + Ministerium Besprechung"/>
    <m/>
    <s v="Montermann"/>
    <m/>
    <e v="#N/A"/>
    <e v="#N/A"/>
    <e v="#N/A"/>
    <e v="#N/A"/>
    <x v="4"/>
  </r>
  <r>
    <x v="724"/>
    <n v="1"/>
    <x v="17"/>
    <x v="0"/>
    <s v="Neues Setup + Test"/>
    <m/>
    <s v="Schilly"/>
    <m/>
    <e v="#N/A"/>
    <e v="#N/A"/>
    <e v="#N/A"/>
    <e v="#N/A"/>
    <x v="4"/>
  </r>
  <r>
    <x v="724"/>
    <n v="3"/>
    <x v="35"/>
    <x v="0"/>
    <s v="Datei Größe 0kByte Fehler gefixed,  wieder öffnen nach Verschieben gefixed"/>
    <m/>
    <s v="Holzmeier"/>
    <m/>
    <e v="#N/A"/>
    <e v="#N/A"/>
    <e v="#N/A"/>
    <e v="#N/A"/>
    <x v="4"/>
  </r>
  <r>
    <x v="725"/>
    <n v="2"/>
    <x v="17"/>
    <x v="0"/>
    <s v="Heim: Gehe zu Gruppe Bugfix"/>
    <m/>
    <s v="Schilly"/>
    <m/>
    <e v="#N/A"/>
    <e v="#N/A"/>
    <e v="#N/A"/>
    <e v="#N/A"/>
    <x v="4"/>
  </r>
  <r>
    <x v="726"/>
    <n v="2"/>
    <x v="17"/>
    <x v="0"/>
    <s v="Heim: Druckdialog pch Datei drucken (Alpha Version)"/>
    <m/>
    <s v="Schilly"/>
    <m/>
    <e v="#N/A"/>
    <e v="#N/A"/>
    <e v="#N/A"/>
    <e v="#N/A"/>
    <x v="4"/>
  </r>
  <r>
    <x v="726"/>
    <n v="0.5"/>
    <x v="35"/>
    <x v="0"/>
    <s v="Heim: Berechnungen ohne Root werden nicht angezeigt (werden sie aber!!)"/>
    <m/>
    <s v="Burger"/>
    <m/>
    <e v="#N/A"/>
    <e v="#N/A"/>
    <e v="#N/A"/>
    <e v="#N/A"/>
    <x v="4"/>
  </r>
  <r>
    <x v="727"/>
    <n v="2"/>
    <x v="35"/>
    <x v="0"/>
    <s v="Heim: TEVA Formatierung optimiert"/>
    <m/>
    <s v="Holzmeier"/>
    <m/>
    <e v="#N/A"/>
    <e v="#N/A"/>
    <e v="#N/A"/>
    <e v="#N/A"/>
    <x v="4"/>
  </r>
  <r>
    <x v="727"/>
    <n v="0.5"/>
    <x v="17"/>
    <x v="0"/>
    <s v="Heim: neues Setup"/>
    <m/>
    <s v="Schilly"/>
    <m/>
    <e v="#N/A"/>
    <e v="#N/A"/>
    <e v="#N/A"/>
    <e v="#N/A"/>
    <x v="4"/>
  </r>
  <r>
    <x v="728"/>
    <n v="1"/>
    <x v="35"/>
    <x v="0"/>
    <s v="Heim: Bug Leeres Blatt unterdrücken geht nicht mehr"/>
    <m/>
    <s v="Runkel"/>
    <m/>
    <e v="#N/A"/>
    <e v="#N/A"/>
    <e v="#N/A"/>
    <e v="#N/A"/>
    <x v="4"/>
  </r>
  <r>
    <x v="729"/>
    <n v="1"/>
    <x v="35"/>
    <x v="0"/>
    <s v="SAReporter Mailversand Problem mit Herberts Rechner"/>
    <m/>
    <s v="Holzmeier"/>
    <m/>
    <e v="#N/A"/>
    <e v="#N/A"/>
    <e v="#N/A"/>
    <e v="#N/A"/>
    <x v="4"/>
  </r>
  <r>
    <x v="729"/>
    <n v="3"/>
    <x v="7"/>
    <x v="0"/>
    <s v="Integration Services Madaus Coaching"/>
    <m/>
    <s v="Montermann"/>
    <m/>
    <e v="#N/A"/>
    <e v="#N/A"/>
    <e v="#N/A"/>
    <e v="#N/A"/>
    <x v="4"/>
  </r>
  <r>
    <x v="729"/>
    <n v="2"/>
    <x v="7"/>
    <x v="0"/>
    <s v="Subversion Installation"/>
    <m/>
    <s v="Borchard"/>
    <m/>
    <e v="#N/A"/>
    <e v="#N/A"/>
    <e v="#N/A"/>
    <e v="#N/A"/>
    <x v="4"/>
  </r>
  <r>
    <x v="730"/>
    <n v="4"/>
    <x v="7"/>
    <x v="0"/>
    <s v="Heim: Spaltenkopf: mehrzeilige Formatierung"/>
    <m/>
    <s v="Holzmeier"/>
    <m/>
    <e v="#N/A"/>
    <e v="#N/A"/>
    <e v="#N/A"/>
    <e v="#N/A"/>
    <x v="4"/>
  </r>
  <r>
    <x v="731"/>
    <n v="1.5"/>
    <x v="7"/>
    <x v="0"/>
    <s v="Heim: Online Doku einbinden + Setup"/>
    <m/>
    <s v="Runkel"/>
    <m/>
    <e v="#N/A"/>
    <e v="#N/A"/>
    <e v="#N/A"/>
    <e v="#N/A"/>
    <x v="4"/>
  </r>
  <r>
    <x v="732"/>
    <n v="0.5"/>
    <x v="7"/>
    <x v="0"/>
    <s v="Heim: Troubleshooting Online Doku"/>
    <m/>
    <s v="Runkel"/>
    <m/>
    <e v="#N/A"/>
    <e v="#N/A"/>
    <e v="#N/A"/>
    <e v="#N/A"/>
    <x v="4"/>
  </r>
  <r>
    <x v="733"/>
    <n v="2.5"/>
    <x v="17"/>
    <x v="0"/>
    <s v="Compress Problem, Schriftart, Font, Linien, Archivierung"/>
    <m/>
    <s v="Kleinfeldt"/>
    <m/>
    <e v="#N/A"/>
    <e v="#N/A"/>
    <e v="#N/A"/>
    <e v="#N/A"/>
    <x v="4"/>
  </r>
  <r>
    <x v="733"/>
    <n v="2"/>
    <x v="7"/>
    <x v="0"/>
    <s v="automatische Vesionsverwaltung für SAReporter"/>
    <m/>
    <s v="Borchard"/>
    <m/>
    <e v="#N/A"/>
    <e v="#N/A"/>
    <e v="#N/A"/>
    <e v="#N/A"/>
    <x v="4"/>
  </r>
  <r>
    <x v="733"/>
    <n v="2"/>
    <x v="6"/>
    <x v="0"/>
    <s v="automatische Vesionsverwaltung für Powercharts"/>
    <m/>
    <s v="Schilly"/>
    <m/>
    <e v="#N/A"/>
    <e v="#N/A"/>
    <e v="#N/A"/>
    <e v="#N/A"/>
    <x v="4"/>
  </r>
  <r>
    <x v="734"/>
    <n v="1"/>
    <x v="35"/>
    <x v="0"/>
    <s v="Heim: Einbinden SAReporter Samples + Setup"/>
    <m/>
    <s v="Runkel"/>
    <m/>
    <e v="#N/A"/>
    <e v="#N/A"/>
    <e v="#N/A"/>
    <e v="#N/A"/>
    <x v="4"/>
  </r>
  <r>
    <x v="735"/>
    <n v="6.5"/>
    <x v="35"/>
    <x v="0"/>
    <s v="Versionierung von rpt-Dateien + SAReporter"/>
    <m/>
    <s v="Runkel"/>
    <m/>
    <e v="#N/A"/>
    <e v="#N/A"/>
    <e v="#N/A"/>
    <e v="#N/A"/>
    <x v="4"/>
  </r>
  <r>
    <x v="735"/>
    <n v="1.5"/>
    <x v="35"/>
    <x v="0"/>
    <s v="SAReporter: Relativ Perioden Bug"/>
    <m/>
    <s v="Holzmeier"/>
    <m/>
    <e v="#N/A"/>
    <e v="#N/A"/>
    <e v="#N/A"/>
    <e v="#N/A"/>
    <x v="4"/>
  </r>
  <r>
    <x v="736"/>
    <n v="8"/>
    <x v="17"/>
    <x v="0"/>
    <s v="Heim: Neues Chart Marktvolumen"/>
    <m/>
    <s v="Schilly"/>
    <m/>
    <e v="#N/A"/>
    <e v="#N/A"/>
    <e v="#N/A"/>
    <e v="#N/A"/>
    <x v="4"/>
  </r>
  <r>
    <x v="737"/>
    <n v="1"/>
    <x v="35"/>
    <x v="0"/>
    <s v="Heim: SAReporter:Bug Spalte fixieren und leere Blätter ausblenden: Einstellung wird nicht beibehalten nach Neustart"/>
    <m/>
    <s v="Runkel"/>
    <m/>
    <e v="#N/A"/>
    <e v="#N/A"/>
    <e v="#N/A"/>
    <e v="#N/A"/>
    <x v="4"/>
  </r>
  <r>
    <x v="738"/>
    <n v="2"/>
    <x v="17"/>
    <x v="0"/>
    <s v="Heim: Chart Micro Potentiale: Titel angepasst, Preview hinzugefügt + neues Setup"/>
    <m/>
    <s v="Schilly"/>
    <m/>
    <e v="#N/A"/>
    <e v="#N/A"/>
    <e v="#N/A"/>
    <e v="#N/A"/>
    <x v="4"/>
  </r>
  <r>
    <x v="739"/>
    <n v="4"/>
    <x v="35"/>
    <x v="0"/>
    <s v="Heim: SAReporter:Elementauswahl: Einfügen an vorselektierter Position"/>
    <m/>
    <s v="Runkel"/>
    <m/>
    <e v="#N/A"/>
    <e v="#N/A"/>
    <e v="#N/A"/>
    <e v="#N/A"/>
    <x v="4"/>
  </r>
  <r>
    <x v="740"/>
    <n v="2"/>
    <x v="35"/>
    <x v="0"/>
    <s v="SAReporter: Analyse Relativer Pfad Excel File + Anzeige gruppiertes Element deaktivieren"/>
    <m/>
    <s v="Runkel"/>
    <m/>
    <e v="#N/A"/>
    <e v="#N/A"/>
    <e v="#N/A"/>
    <e v="#N/A"/>
    <x v="4"/>
  </r>
  <r>
    <x v="741"/>
    <n v="3"/>
    <x v="27"/>
    <x v="0"/>
    <s v="Prodcopy"/>
    <m/>
    <s v="Hornbruch"/>
    <m/>
    <e v="#N/A"/>
    <e v="#N/A"/>
    <e v="#N/A"/>
    <e v="#N/A"/>
    <x v="6"/>
  </r>
  <r>
    <x v="741"/>
    <n v="1"/>
    <x v="35"/>
    <x v="0"/>
    <s v="SMTP"/>
    <m/>
    <s v="Holzmeier"/>
    <m/>
    <e v="#N/A"/>
    <e v="#N/A"/>
    <e v="#N/A"/>
    <e v="#N/A"/>
    <x v="6"/>
  </r>
  <r>
    <x v="741"/>
    <n v="3.5"/>
    <x v="17"/>
    <x v="0"/>
    <s v="Powercharts: 4 Facts(Perioden frei wählbar)"/>
    <m/>
    <s v="Schilly"/>
    <m/>
    <e v="#N/A"/>
    <e v="#N/A"/>
    <e v="#N/A"/>
    <e v="#N/A"/>
    <x v="6"/>
  </r>
  <r>
    <x v="741"/>
    <n v="1"/>
    <x v="35"/>
    <x v="0"/>
    <s v="Office 2007 Abhängigkeiten"/>
    <m/>
    <s v="Borchard"/>
    <m/>
    <e v="#N/A"/>
    <e v="#N/A"/>
    <e v="#N/A"/>
    <e v="#N/A"/>
    <x v="6"/>
  </r>
  <r>
    <x v="742"/>
    <n v="2"/>
    <x v="27"/>
    <x v="0"/>
    <s v="Heim: Prodcopy"/>
    <m/>
    <s v="Hornbruch"/>
    <m/>
    <e v="#N/A"/>
    <e v="#N/A"/>
    <e v="#N/A"/>
    <e v="#N/A"/>
    <x v="6"/>
  </r>
  <r>
    <x v="742"/>
    <n v="2"/>
    <x v="17"/>
    <x v="0"/>
    <s v="Heim: Compress Presentation"/>
    <m/>
    <s v="Schilly"/>
    <m/>
    <e v="#N/A"/>
    <e v="#N/A"/>
    <e v="#N/A"/>
    <e v="#N/A"/>
    <x v="6"/>
  </r>
  <r>
    <x v="743"/>
    <n v="2"/>
    <x v="35"/>
    <x v="0"/>
    <s v="Heim: SAReporter Fix: Leere Anzeige ersetzt durch &quot;Element: nicht in DB gefunden&quot; für relative Perioden"/>
    <m/>
    <s v="Runkel"/>
    <m/>
    <e v="#N/A"/>
    <e v="#N/A"/>
    <e v="#N/A"/>
    <e v="#N/A"/>
    <x v="6"/>
  </r>
  <r>
    <x v="743"/>
    <n v="3"/>
    <x v="35"/>
    <x v="0"/>
    <s v="Heim: SAReporter Anzeige Gruppenauswahl für alle Kombis entfernt"/>
    <m/>
    <s v="Runkel"/>
    <m/>
    <e v="#N/A"/>
    <e v="#N/A"/>
    <e v="#N/A"/>
    <e v="#N/A"/>
    <x v="6"/>
  </r>
  <r>
    <x v="744"/>
    <n v="3"/>
    <x v="35"/>
    <x v="0"/>
    <s v="Heim: SAReporter Anzeige Gruppenauswahl für alle Kombis entfernt"/>
    <m/>
    <s v="Runkel"/>
    <m/>
    <e v="#N/A"/>
    <e v="#N/A"/>
    <e v="#N/A"/>
    <e v="#N/A"/>
    <x v="6"/>
  </r>
  <r>
    <x v="745"/>
    <n v="2"/>
    <x v="35"/>
    <x v="0"/>
    <s v="Heim: SAReporter: GraphicIcons erstellen"/>
    <m/>
    <s v="Runkel"/>
    <m/>
    <e v="#N/A"/>
    <e v="#N/A"/>
    <e v="#N/A"/>
    <e v="#N/A"/>
    <x v="6"/>
  </r>
  <r>
    <x v="746"/>
    <n v="2"/>
    <x v="35"/>
    <x v="0"/>
    <s v="Heim: SAReporter: Visualisierung des Grafiktyps"/>
    <m/>
    <s v="Runkel"/>
    <m/>
    <e v="#N/A"/>
    <e v="#N/A"/>
    <e v="#N/A"/>
    <e v="#N/A"/>
    <x v="6"/>
  </r>
  <r>
    <x v="746"/>
    <n v="0.5"/>
    <x v="35"/>
    <x v="0"/>
    <s v="Heim: SAReporter Fix Letzte Seite stehen bleiben"/>
    <m/>
    <s v="Runkel"/>
    <m/>
    <e v="#N/A"/>
    <e v="#N/A"/>
    <e v="#N/A"/>
    <e v="#N/A"/>
    <x v="6"/>
  </r>
  <r>
    <x v="747"/>
    <n v="7"/>
    <x v="35"/>
    <x v="0"/>
    <s v="Bugfixing: SMTP Problem auf einigen Rechner + Tracing"/>
    <m/>
    <s v="Runkel"/>
    <m/>
    <e v="#N/A"/>
    <e v="#N/A"/>
    <e v="#N/A"/>
    <e v="#N/A"/>
    <x v="6"/>
  </r>
  <r>
    <x v="748"/>
    <n v="6"/>
    <x v="35"/>
    <x v="0"/>
    <s v="Heim: Bugfixing: SMTP-Auth"/>
    <m/>
    <s v="Runkel"/>
    <m/>
    <e v="#N/A"/>
    <e v="#N/A"/>
    <e v="#N/A"/>
    <e v="#N/A"/>
    <x v="6"/>
  </r>
  <r>
    <x v="749"/>
    <n v="6"/>
    <x v="35"/>
    <x v="0"/>
    <s v="Bugfixing: BAstellas Prämiensystem - Pivotalnr. 69571-0 45% Regel Gebietsleiter"/>
    <m/>
    <s v="Holzmeier"/>
    <m/>
    <e v="#N/A"/>
    <e v="#N/A"/>
    <e v="#N/A"/>
    <e v="#N/A"/>
    <x v="6"/>
  </r>
  <r>
    <x v="750"/>
    <n v="2"/>
    <x v="35"/>
    <x v="0"/>
    <s v="Heim Bugfixing Mail Timeout -&gt; Version 1.1.15"/>
    <m/>
    <s v="Runkel"/>
    <m/>
    <e v="#N/A"/>
    <e v="#N/A"/>
    <e v="#N/A"/>
    <e v="#N/A"/>
    <x v="6"/>
  </r>
  <r>
    <x v="751"/>
    <n v="6"/>
    <x v="35"/>
    <x v="0"/>
    <s v="Bugfixing: BAstellas Prämiensystem - Pivotalnr. 69571-0 45% Regel Gebietsleiter"/>
    <m/>
    <s v="Holzmeier"/>
    <m/>
    <e v="#N/A"/>
    <e v="#N/A"/>
    <e v="#N/A"/>
    <e v="#N/A"/>
    <x v="6"/>
  </r>
  <r>
    <x v="751"/>
    <n v="1"/>
    <x v="17"/>
    <x v="0"/>
    <s v="Besprechung Powercharts Umstellung"/>
    <m/>
    <s v="Schilly"/>
    <m/>
    <e v="#N/A"/>
    <e v="#N/A"/>
    <e v="#N/A"/>
    <e v="#N/A"/>
    <x v="6"/>
  </r>
  <r>
    <x v="752"/>
    <n v="1"/>
    <x v="35"/>
    <x v="0"/>
    <s v="Heim: SAReporter Mertens Bugfixing"/>
    <m/>
    <s v="Runkel"/>
    <m/>
    <e v="#N/A"/>
    <e v="#N/A"/>
    <e v="#N/A"/>
    <e v="#N/A"/>
    <x v="6"/>
  </r>
  <r>
    <x v="753"/>
    <n v="2.5"/>
    <x v="35"/>
    <x v="0"/>
    <s v="Heim: Bugfixing: BAstellas Prämiensystem - Pivotalnr. 69571-0 Anzeige nur ein Gebietsleiter (eine Spalte)"/>
    <m/>
    <s v="Holzmeier"/>
    <m/>
    <e v="#N/A"/>
    <e v="#N/A"/>
    <e v="#N/A"/>
    <e v="#N/A"/>
    <x v="6"/>
  </r>
  <r>
    <x v="754"/>
    <n v="0.5"/>
    <x v="35"/>
    <x v="0"/>
    <s v="Heim: SAReporter Mertens Bugfixing"/>
    <m/>
    <s v="Runkel"/>
    <m/>
    <e v="#N/A"/>
    <e v="#N/A"/>
    <e v="#N/A"/>
    <e v="#N/A"/>
    <x v="6"/>
  </r>
  <r>
    <x v="755"/>
    <n v="3"/>
    <x v="17"/>
    <x v="0"/>
    <s v="Heim: Powercharts Bug SM/VO Entwicklung YTD, YTDs entfernt + neues Setup"/>
    <m/>
    <s v="Schilly"/>
    <m/>
    <e v="#N/A"/>
    <e v="#N/A"/>
    <e v="#N/A"/>
    <e v="#N/A"/>
    <x v="6"/>
  </r>
  <r>
    <x v="756"/>
    <n v="4"/>
    <x v="17"/>
    <x v="0"/>
    <s v="Powercharts Bug Presentation Check"/>
    <m/>
    <s v="Schilly"/>
    <m/>
    <e v="#N/A"/>
    <e v="#N/A"/>
    <e v="#N/A"/>
    <e v="#N/A"/>
    <x v="6"/>
  </r>
  <r>
    <x v="756"/>
    <n v="3"/>
    <x v="35"/>
    <x v="0"/>
    <s v="SAReporter Evaluation Upgrade SQL 2005"/>
    <m/>
    <s v="Borchard"/>
    <m/>
    <e v="#N/A"/>
    <e v="#N/A"/>
    <e v="#N/A"/>
    <e v="#N/A"/>
    <x v="6"/>
  </r>
  <r>
    <x v="757"/>
    <n v="2"/>
    <x v="17"/>
    <x v="0"/>
    <s v="Heim: Powercharts Bug Presentation Check"/>
    <m/>
    <s v="Schilly"/>
    <m/>
    <e v="#N/A"/>
    <e v="#N/A"/>
    <e v="#N/A"/>
    <e v="#N/A"/>
    <x v="6"/>
  </r>
  <r>
    <x v="757"/>
    <n v="2"/>
    <x v="17"/>
    <x v="0"/>
    <s v="Heim: Powercharts Bug Mikro Potentiale"/>
    <m/>
    <s v="Schilly"/>
    <m/>
    <e v="#N/A"/>
    <e v="#N/A"/>
    <e v="#N/A"/>
    <e v="#N/A"/>
    <x v="6"/>
  </r>
  <r>
    <x v="758"/>
    <n v="0.5"/>
    <x v="35"/>
    <x v="0"/>
    <s v="SAReporter Besprechung"/>
    <m/>
    <s v="Runkel"/>
    <m/>
    <e v="#N/A"/>
    <e v="#N/A"/>
    <e v="#N/A"/>
    <e v="#N/A"/>
    <x v="6"/>
  </r>
  <r>
    <x v="758"/>
    <n v="0.5"/>
    <x v="17"/>
    <x v="0"/>
    <s v="Powercharts Besprechung"/>
    <m/>
    <s v="Schilly"/>
    <m/>
    <e v="#N/A"/>
    <e v="#N/A"/>
    <e v="#N/A"/>
    <e v="#N/A"/>
    <x v="6"/>
  </r>
  <r>
    <x v="758"/>
    <n v="3"/>
    <x v="17"/>
    <x v="0"/>
    <s v="Powercharts Mikropotentiale + neues Setup"/>
    <m/>
    <s v="Schilly"/>
    <m/>
    <e v="#N/A"/>
    <e v="#N/A"/>
    <e v="#N/A"/>
    <e v="#N/A"/>
    <x v="6"/>
  </r>
  <r>
    <x v="758"/>
    <n v="1.5"/>
    <x v="35"/>
    <x v="0"/>
    <s v="SAReporter: Test Office 2007"/>
    <m/>
    <s v="Runkel"/>
    <m/>
    <e v="#N/A"/>
    <e v="#N/A"/>
    <e v="#N/A"/>
    <e v="#N/A"/>
    <x v="6"/>
  </r>
  <r>
    <x v="758"/>
    <n v="1.5"/>
    <x v="17"/>
    <x v="0"/>
    <s v="Powercharts: Test Office 2007"/>
    <m/>
    <s v="Schilly"/>
    <m/>
    <e v="#N/A"/>
    <e v="#N/A"/>
    <e v="#N/A"/>
    <e v="#N/A"/>
    <x v="6"/>
  </r>
  <r>
    <x v="759"/>
    <n v="2"/>
    <x v="17"/>
    <x v="0"/>
    <s v="Powercharts: SM/VO-Entwicklung MAT 2 frei wählbare Measures"/>
    <m/>
    <s v="Schilly"/>
    <m/>
    <e v="#N/A"/>
    <e v="#N/A"/>
    <e v="#N/A"/>
    <e v="#N/A"/>
    <x v="6"/>
  </r>
  <r>
    <x v="759"/>
    <n v="2"/>
    <x v="17"/>
    <x v="0"/>
    <s v="Powercharts: MA Charts Sonstige Absolutwerte"/>
    <m/>
    <s v="Schilly"/>
    <m/>
    <e v="#N/A"/>
    <e v="#N/A"/>
    <e v="#N/A"/>
    <e v="#N/A"/>
    <x v="6"/>
  </r>
  <r>
    <x v="759"/>
    <n v="1"/>
    <x v="17"/>
    <x v="0"/>
    <s v="Powercharts: globaler Fehlerdialog bei feherhaften Zustand des Programmes"/>
    <m/>
    <s v="Schilly"/>
    <m/>
    <e v="#N/A"/>
    <e v="#N/A"/>
    <e v="#N/A"/>
    <e v="#N/A"/>
    <x v="6"/>
  </r>
  <r>
    <x v="759"/>
    <n v="2"/>
    <x v="17"/>
    <x v="0"/>
    <s v="Powercharts: 3 Facts nebeneinander"/>
    <m/>
    <s v="Schilly"/>
    <m/>
    <e v="#N/A"/>
    <e v="#N/A"/>
    <e v="#N/A"/>
    <e v="#N/A"/>
    <x v="6"/>
  </r>
  <r>
    <x v="760"/>
    <n v="2"/>
    <x v="17"/>
    <x v="0"/>
    <s v="Powercharts: globaler Fehlerdialog bei feherhaften Zustand des Programmes"/>
    <m/>
    <s v="Schilly"/>
    <m/>
    <e v="#N/A"/>
    <e v="#N/A"/>
    <e v="#N/A"/>
    <e v="#N/A"/>
    <x v="6"/>
  </r>
  <r>
    <x v="761"/>
    <n v="2"/>
    <x v="35"/>
    <x v="0"/>
    <s v="SAReporter 2005 Einrichtung Arbietsumgebung"/>
    <m/>
    <s v="Borchard"/>
    <m/>
    <e v="#N/A"/>
    <e v="#N/A"/>
    <e v="#N/A"/>
    <e v="#N/A"/>
    <x v="6"/>
  </r>
  <r>
    <x v="762"/>
    <n v="2"/>
    <x v="35"/>
    <x v="0"/>
    <s v="SAReporter 2005 Tests"/>
    <m/>
    <s v="Borchard"/>
    <m/>
    <e v="#N/A"/>
    <e v="#N/A"/>
    <e v="#N/A"/>
    <e v="#N/A"/>
    <x v="6"/>
  </r>
  <r>
    <x v="763"/>
    <n v="2"/>
    <x v="17"/>
    <x v="0"/>
    <s v="Powercharts: Support Indien"/>
    <m/>
    <s v="Schilly"/>
    <m/>
    <e v="#N/A"/>
    <e v="#N/A"/>
    <e v="#N/A"/>
    <e v="#N/A"/>
    <x v="6"/>
  </r>
  <r>
    <x v="764"/>
    <n v="2"/>
    <x v="35"/>
    <x v="0"/>
    <s v="SAReporter Upgrade ADOMD.NET for SQL 2005"/>
    <m/>
    <s v="Borchard"/>
    <m/>
    <e v="#N/A"/>
    <e v="#N/A"/>
    <e v="#N/A"/>
    <e v="#N/A"/>
    <x v="6"/>
  </r>
  <r>
    <x v="764"/>
    <n v="1"/>
    <x v="17"/>
    <x v="0"/>
    <s v="Powercharts: Support Indien"/>
    <m/>
    <s v="Schilly"/>
    <m/>
    <e v="#N/A"/>
    <e v="#N/A"/>
    <e v="#N/A"/>
    <e v="#N/A"/>
    <x v="6"/>
  </r>
  <r>
    <x v="764"/>
    <n v="1"/>
    <x v="17"/>
    <x v="0"/>
    <s v="Powercharts: pch Erkältung Laufzeitfehler"/>
    <m/>
    <s v="Robert"/>
    <m/>
    <e v="#N/A"/>
    <e v="#N/A"/>
    <e v="#N/A"/>
    <e v="#N/A"/>
    <x v="6"/>
  </r>
  <r>
    <x v="764"/>
    <n v="1"/>
    <x v="35"/>
    <x v="0"/>
    <s v="SAReporter Lotus Notes 800 Kbyte Problem"/>
    <m/>
    <s v="Borchard"/>
    <m/>
    <e v="#N/A"/>
    <e v="#N/A"/>
    <e v="#N/A"/>
    <e v="#N/A"/>
    <x v="6"/>
  </r>
  <r>
    <x v="765"/>
    <n v="5"/>
    <x v="35"/>
    <x v="0"/>
    <s v="SAReporter Upgrade ADOMD.NET for SQL 2005"/>
    <m/>
    <s v="Borchard"/>
    <m/>
    <e v="#N/A"/>
    <e v="#N/A"/>
    <e v="#N/A"/>
    <e v="#N/A"/>
    <x v="6"/>
  </r>
  <r>
    <x v="766"/>
    <n v="4"/>
    <x v="35"/>
    <x v="0"/>
    <s v="HO: SAReporter Upgrade ADOMD.NET for SQL 2005"/>
    <m/>
    <s v="Borchard"/>
    <m/>
    <e v="#N/A"/>
    <e v="#N/A"/>
    <e v="#N/A"/>
    <e v="#N/A"/>
    <x v="6"/>
  </r>
  <r>
    <x v="767"/>
    <n v="1.5"/>
    <x v="17"/>
    <x v="0"/>
    <s v="HO: Powercharts Lfd. Jahr, Vorjahr …"/>
    <m/>
    <s v="Schilly"/>
    <m/>
    <e v="#N/A"/>
    <e v="#N/A"/>
    <e v="#N/A"/>
    <e v="#N/A"/>
    <x v="6"/>
  </r>
  <r>
    <x v="768"/>
    <n v="2"/>
    <x v="17"/>
    <x v="0"/>
    <s v="Support Indien"/>
    <m/>
    <s v="Robert"/>
    <m/>
    <e v="#N/A"/>
    <e v="#N/A"/>
    <e v="#N/A"/>
    <e v="#N/A"/>
    <x v="6"/>
  </r>
  <r>
    <x v="768"/>
    <n v="3.5"/>
    <x v="35"/>
    <x v="0"/>
    <s v="SAReporter Upgrade ADOMD.NET for SQL 2005"/>
    <m/>
    <s v="Borchard"/>
    <m/>
    <e v="#N/A"/>
    <e v="#N/A"/>
    <e v="#N/A"/>
    <e v="#N/A"/>
    <x v="6"/>
  </r>
  <r>
    <x v="769"/>
    <n v="3"/>
    <x v="17"/>
    <x v="0"/>
    <s v="HO: Update für missing element Vorjahr und Vorvorjahr not found"/>
    <m/>
    <s v="Schilly"/>
    <m/>
    <e v="#N/A"/>
    <e v="#N/A"/>
    <e v="#N/A"/>
    <e v="#N/A"/>
    <x v="6"/>
  </r>
  <r>
    <x v="770"/>
    <n v="1.5"/>
    <x v="35"/>
    <x v="0"/>
    <s v="HO: SAReporter Upgrade ADOMD.NET for SQL 2005"/>
    <m/>
    <s v="Borchard"/>
    <m/>
    <e v="#N/A"/>
    <e v="#N/A"/>
    <e v="#N/A"/>
    <e v="#N/A"/>
    <x v="6"/>
  </r>
  <r>
    <x v="771"/>
    <n v="2.5"/>
    <x v="35"/>
    <x v="0"/>
    <s v="HO: SAReporter Upgrade ADOMD.NET for SQL 2005"/>
    <m/>
    <s v="Borchard"/>
    <m/>
    <e v="#N/A"/>
    <e v="#N/A"/>
    <e v="#N/A"/>
    <e v="#N/A"/>
    <x v="6"/>
  </r>
  <r>
    <x v="772"/>
    <n v="3"/>
    <x v="35"/>
    <x v="0"/>
    <s v="HO: SAReporter Upgrade ADOMD.NET for SQL 2005"/>
    <m/>
    <s v="Borchard"/>
    <m/>
    <e v="#N/A"/>
    <e v="#N/A"/>
    <e v="#N/A"/>
    <e v="#N/A"/>
    <x v="6"/>
  </r>
  <r>
    <x v="773"/>
    <n v="1"/>
    <x v="35"/>
    <x v="0"/>
    <s v="HO: SAReporter Upgrade ADOMD.NET for SQL 2005"/>
    <m/>
    <s v="Borchard"/>
    <m/>
    <e v="#N/A"/>
    <e v="#N/A"/>
    <e v="#N/A"/>
    <e v="#N/A"/>
    <x v="6"/>
  </r>
  <r>
    <x v="774"/>
    <n v="4"/>
    <x v="35"/>
    <x v="0"/>
    <s v="HO: SAReporter Upgrade ADOMD.NET for SQL 2005"/>
    <m/>
    <s v="Borchard"/>
    <m/>
    <e v="#N/A"/>
    <e v="#N/A"/>
    <e v="#N/A"/>
    <e v="#N/A"/>
    <x v="6"/>
  </r>
  <r>
    <x v="775"/>
    <n v="3"/>
    <x v="35"/>
    <x v="0"/>
    <s v="HO: SAReporter Upgrade ADOMD.NET for SQL 2005"/>
    <m/>
    <s v="Borchard"/>
    <m/>
    <e v="#N/A"/>
    <e v="#N/A"/>
    <e v="#N/A"/>
    <e v="#N/A"/>
    <x v="6"/>
  </r>
  <r>
    <x v="776"/>
    <n v="7"/>
    <x v="35"/>
    <x v="0"/>
    <s v="SAReporter Upgrade Performance Optimierung"/>
    <m/>
    <s v="Borchard"/>
    <m/>
    <e v="#N/A"/>
    <e v="#N/A"/>
    <e v="#N/A"/>
    <e v="#N/A"/>
    <x v="6"/>
  </r>
  <r>
    <x v="777"/>
    <n v="2"/>
    <x v="35"/>
    <x v="0"/>
    <s v="HO: SAReporter Upgrade ADOMD.NET for SQL 2005"/>
    <m/>
    <s v="Borchard"/>
    <m/>
    <e v="#N/A"/>
    <e v="#N/A"/>
    <e v="#N/A"/>
    <e v="#N/A"/>
    <x v="6"/>
  </r>
  <r>
    <x v="778"/>
    <n v="3"/>
    <x v="35"/>
    <x v="0"/>
    <s v="HO: SAReporter Upgrade ADOMD.NET for SQL 2005"/>
    <m/>
    <s v="Borchard"/>
    <m/>
    <e v="#N/A"/>
    <e v="#N/A"/>
    <e v="#N/A"/>
    <e v="#N/A"/>
    <x v="6"/>
  </r>
  <r>
    <x v="779"/>
    <n v="7"/>
    <x v="35"/>
    <x v="0"/>
    <s v="SAReporter Upgrade ADOMD.NET for SQL 2005"/>
    <m/>
    <s v="Borchard"/>
    <m/>
    <e v="#N/A"/>
    <e v="#N/A"/>
    <e v="#N/A"/>
    <e v="#N/A"/>
    <x v="6"/>
  </r>
  <r>
    <x v="780"/>
    <n v="5"/>
    <x v="35"/>
    <x v="0"/>
    <s v="HO: SAReporter Upgrade 2000 + 2005 Kompabilität"/>
    <m/>
    <s v="Borchard"/>
    <m/>
    <e v="#N/A"/>
    <e v="#N/A"/>
    <e v="#N/A"/>
    <e v="#N/A"/>
    <x v="6"/>
  </r>
  <r>
    <x v="781"/>
    <n v="7"/>
    <x v="35"/>
    <x v="0"/>
    <s v="SAReporter Upgrade 2000 + 2005 Kompabilität"/>
    <m/>
    <s v="Borchard"/>
    <m/>
    <e v="#N/A"/>
    <e v="#N/A"/>
    <e v="#N/A"/>
    <e v="#N/A"/>
    <x v="6"/>
  </r>
  <r>
    <x v="781"/>
    <n v="1"/>
    <x v="17"/>
    <x v="0"/>
    <s v="Powercharts MA Veränderung"/>
    <m/>
    <s v="Schilly"/>
    <m/>
    <e v="#N/A"/>
    <e v="#N/A"/>
    <e v="#N/A"/>
    <e v="#N/A"/>
    <x v="6"/>
  </r>
  <r>
    <x v="782"/>
    <n v="6"/>
    <x v="17"/>
    <x v="0"/>
    <s v="HO: Powercharts MA Veränderung"/>
    <m/>
    <s v="Schilly"/>
    <m/>
    <e v="#N/A"/>
    <e v="#N/A"/>
    <e v="#N/A"/>
    <e v="#N/A"/>
    <x v="6"/>
  </r>
  <r>
    <x v="783"/>
    <n v="8"/>
    <x v="17"/>
    <x v="0"/>
    <s v="HO: Powercharts MA Veränderung"/>
    <m/>
    <s v="Schilly"/>
    <m/>
    <e v="#N/A"/>
    <e v="#N/A"/>
    <e v="#N/A"/>
    <e v="#N/A"/>
    <x v="6"/>
  </r>
  <r>
    <x v="784"/>
    <n v="5"/>
    <x v="17"/>
    <x v="0"/>
    <s v="HO: Powercharts MA Veränderung"/>
    <m/>
    <s v="Schilly"/>
    <m/>
    <e v="#N/A"/>
    <e v="#N/A"/>
    <e v="#N/A"/>
    <e v="#N/A"/>
    <x v="6"/>
  </r>
  <r>
    <x v="785"/>
    <n v="3"/>
    <x v="35"/>
    <x v="0"/>
    <s v="SAReporter Upgrade 2000 + 2005 Kompabilität"/>
    <m/>
    <s v="Borchard"/>
    <m/>
    <e v="#N/A"/>
    <e v="#N/A"/>
    <e v="#N/A"/>
    <e v="#N/A"/>
    <x v="6"/>
  </r>
  <r>
    <x v="785"/>
    <n v="2"/>
    <x v="35"/>
    <x v="0"/>
    <s v="SAReporter: Elementprüfung"/>
    <m/>
    <s v="Borchard"/>
    <m/>
    <e v="#N/A"/>
    <e v="#N/A"/>
    <e v="#N/A"/>
    <e v="#N/A"/>
    <x v="6"/>
  </r>
  <r>
    <x v="786"/>
    <n v="2"/>
    <x v="17"/>
    <x v="0"/>
    <s v="Home: Merck Reporting"/>
    <m/>
    <s v="Meyer"/>
    <m/>
    <e v="#N/A"/>
    <e v="#N/A"/>
    <e v="#N/A"/>
    <e v="#N/A"/>
    <x v="6"/>
  </r>
  <r>
    <x v="787"/>
    <n v="4"/>
    <x v="35"/>
    <x v="0"/>
    <s v="HO: SAReporter: Elementprüfung"/>
    <m/>
    <s v="Borchard"/>
    <m/>
    <e v="#N/A"/>
    <e v="#N/A"/>
    <e v="#N/A"/>
    <e v="#N/A"/>
    <x v="6"/>
  </r>
  <r>
    <x v="788"/>
    <n v="6"/>
    <x v="35"/>
    <x v="0"/>
    <s v="HO: SAReporter: Elementprüfung"/>
    <m/>
    <s v="Borchard"/>
    <m/>
    <e v="#N/A"/>
    <e v="#N/A"/>
    <e v="#N/A"/>
    <e v="#N/A"/>
    <x v="6"/>
  </r>
  <r>
    <x v="789"/>
    <n v="6"/>
    <x v="17"/>
    <x v="0"/>
    <s v=" Merck Reporting"/>
    <m/>
    <s v="Meyer"/>
    <m/>
    <e v="#N/A"/>
    <e v="#N/A"/>
    <e v="#N/A"/>
    <e v="#N/A"/>
    <x v="6"/>
  </r>
  <r>
    <x v="789"/>
    <n v="2"/>
    <x v="35"/>
    <x v="0"/>
    <s v="Umstellung auf .Net Framework 3.0"/>
    <m/>
    <s v="Borchard"/>
    <m/>
    <e v="#N/A"/>
    <e v="#N/A"/>
    <e v="#N/A"/>
    <e v="#N/A"/>
    <x v="6"/>
  </r>
  <r>
    <x v="790"/>
    <n v="4"/>
    <x v="35"/>
    <x v="0"/>
    <s v="HO: Umstellung auf .Net Framework 3.0"/>
    <m/>
    <s v="Borchard"/>
    <m/>
    <e v="#N/A"/>
    <e v="#N/A"/>
    <e v="#N/A"/>
    <e v="#N/A"/>
    <x v="6"/>
  </r>
  <r>
    <x v="791"/>
    <n v="8"/>
    <x v="17"/>
    <x v="0"/>
    <s v="HO:  Merck Reporting Eindeutigkeit über Produkte (Blattbenennung)"/>
    <m/>
    <s v="Meyer"/>
    <m/>
    <e v="#N/A"/>
    <e v="#N/A"/>
    <e v="#N/A"/>
    <e v="#N/A"/>
    <x v="6"/>
  </r>
  <r>
    <x v="792"/>
    <n v="6.5"/>
    <x v="35"/>
    <x v="0"/>
    <s v="Umstellung auf .Net Framework 3.0"/>
    <m/>
    <s v="Borchard"/>
    <m/>
    <e v="#N/A"/>
    <e v="#N/A"/>
    <e v="#N/A"/>
    <e v="#N/A"/>
    <x v="6"/>
  </r>
  <r>
    <x v="793"/>
    <n v="2"/>
    <x v="35"/>
    <x v="0"/>
    <s v="Umstellung auf Vstudio 2008 + neues Setup"/>
    <m/>
    <s v="Borchard"/>
    <m/>
    <e v="#N/A"/>
    <e v="#N/A"/>
    <e v="#N/A"/>
    <e v="#N/A"/>
    <x v="6"/>
  </r>
  <r>
    <x v="793"/>
    <n v="6"/>
    <x v="17"/>
    <x v="0"/>
    <s v="HO: Powercharts Umstellung auf .Net Framework 3.0"/>
    <m/>
    <s v="Schilly"/>
    <m/>
    <e v="#N/A"/>
    <e v="#N/A"/>
    <e v="#N/A"/>
    <e v="#N/A"/>
    <x v="6"/>
  </r>
  <r>
    <x v="794"/>
    <n v="8"/>
    <x v="17"/>
    <x v="0"/>
    <s v="HO: Support Powercharts Indien"/>
    <m/>
    <s v="Storm"/>
    <m/>
    <e v="#N/A"/>
    <e v="#N/A"/>
    <e v="#N/A"/>
    <e v="#N/A"/>
    <x v="6"/>
  </r>
  <r>
    <x v="795"/>
    <n v="8"/>
    <x v="35"/>
    <x v="0"/>
    <s v="Umstellung auf Vista + Office 2007"/>
    <m/>
    <s v="Borchard"/>
    <m/>
    <e v="#N/A"/>
    <e v="#N/A"/>
    <e v="#N/A"/>
    <e v="#N/A"/>
    <x v="6"/>
  </r>
  <r>
    <x v="796"/>
    <n v="6"/>
    <x v="35"/>
    <x v="0"/>
    <s v="HO: Umstellung auf Vista + Office 2007"/>
    <m/>
    <s v="Borchard"/>
    <m/>
    <e v="#N/A"/>
    <e v="#N/A"/>
    <e v="#N/A"/>
    <e v="#N/A"/>
    <x v="6"/>
  </r>
  <r>
    <x v="797"/>
    <n v="3"/>
    <x v="35"/>
    <x v="0"/>
    <s v="HO: Umstellung auf Vista + Office 2007"/>
    <m/>
    <s v="Borchard"/>
    <m/>
    <e v="#N/A"/>
    <e v="#N/A"/>
    <e v="#N/A"/>
    <e v="#N/A"/>
    <x v="6"/>
  </r>
  <r>
    <x v="798"/>
    <n v="6"/>
    <x v="35"/>
    <x v="0"/>
    <s v="HO: Umstellung auf Vista + Office 2007"/>
    <m/>
    <s v="Borchard"/>
    <m/>
    <e v="#N/A"/>
    <e v="#N/A"/>
    <e v="#N/A"/>
    <e v="#N/A"/>
    <x v="6"/>
  </r>
  <r>
    <x v="799"/>
    <n v="4"/>
    <x v="35"/>
    <x v="0"/>
    <s v="HO: Umstellung auf Vista + Office 2007"/>
    <m/>
    <s v="Borchard"/>
    <m/>
    <e v="#N/A"/>
    <e v="#N/A"/>
    <e v="#N/A"/>
    <e v="#N/A"/>
    <x v="6"/>
  </r>
  <r>
    <x v="800"/>
    <n v="6"/>
    <x v="35"/>
    <x v="0"/>
    <s v="HO: Umstellung auf Vista + Office 2007"/>
    <m/>
    <s v="Borchard"/>
    <m/>
    <e v="#N/A"/>
    <e v="#N/A"/>
    <e v="#N/A"/>
    <e v="#N/A"/>
    <x v="6"/>
  </r>
  <r>
    <x v="801"/>
    <n v="8"/>
    <x v="35"/>
    <x v="0"/>
    <s v="HO: Kapselung von Gruppen im rpt-file"/>
    <m/>
    <s v="Runkel"/>
    <m/>
    <e v="#N/A"/>
    <e v="#N/A"/>
    <e v="#N/A"/>
    <e v="#N/A"/>
    <x v="6"/>
  </r>
  <r>
    <x v="802"/>
    <n v="3"/>
    <x v="35"/>
    <x v="0"/>
    <s v="HO: Chugai Subterritories"/>
    <m/>
    <s v="Runkel"/>
    <m/>
    <e v="#N/A"/>
    <e v="#N/A"/>
    <e v="#N/A"/>
    <e v="#N/A"/>
    <x v="6"/>
  </r>
  <r>
    <x v="802"/>
    <n v="5"/>
    <x v="35"/>
    <x v="0"/>
    <s v="HO: Kapselung von Gruppen im rpt-file"/>
    <m/>
    <s v="Runkel"/>
    <m/>
    <e v="#N/A"/>
    <e v="#N/A"/>
    <e v="#N/A"/>
    <e v="#N/A"/>
    <x v="6"/>
  </r>
  <r>
    <x v="803"/>
    <n v="2"/>
    <x v="35"/>
    <x v="0"/>
    <s v="HO: Support SAReporter auf NSMSDE20"/>
    <m/>
    <s v="Runkel"/>
    <m/>
    <e v="#N/A"/>
    <e v="#N/A"/>
    <e v="#N/A"/>
    <e v="#N/A"/>
    <x v="6"/>
  </r>
  <r>
    <x v="803"/>
    <n v="3"/>
    <x v="35"/>
    <x v="0"/>
    <s v="HO: neue Version 3.0.0.3 und 2.0.0.5 "/>
    <m/>
    <s v="Runkel"/>
    <m/>
    <e v="#N/A"/>
    <e v="#N/A"/>
    <e v="#N/A"/>
    <e v="#N/A"/>
    <x v="6"/>
  </r>
  <r>
    <x v="804"/>
    <n v="2"/>
    <x v="35"/>
    <x v="0"/>
    <s v="HO: Einrichten Subversion nach Neuinstallation"/>
    <m/>
    <s v="Borchard"/>
    <m/>
    <e v="#N/A"/>
    <e v="#N/A"/>
    <e v="#N/A"/>
    <e v="#N/A"/>
    <x v="6"/>
  </r>
  <r>
    <x v="805"/>
    <n v="2"/>
    <x v="6"/>
    <x v="0"/>
    <s v="HO: MC-Neil Reporting für Johnson"/>
    <m/>
    <s v="Grottker"/>
    <m/>
    <e v="#N/A"/>
    <e v="#N/A"/>
    <e v="#N/A"/>
    <e v="#N/A"/>
    <x v="6"/>
  </r>
  <r>
    <x v="806"/>
    <n v="1"/>
    <x v="6"/>
    <x v="0"/>
    <s v="HO: MC-Neil Reporting für Johnson"/>
    <m/>
    <s v="Grottker"/>
    <m/>
    <e v="#N/A"/>
    <e v="#N/A"/>
    <e v="#N/A"/>
    <e v="#N/A"/>
    <x v="6"/>
  </r>
  <r>
    <x v="807"/>
    <n v="1"/>
    <x v="35"/>
    <x v="0"/>
    <s v="SAReporter 2007"/>
    <m/>
    <s v="Borchard"/>
    <m/>
    <e v="#N/A"/>
    <e v="#N/A"/>
    <e v="#N/A"/>
    <e v="#N/A"/>
    <x v="6"/>
  </r>
  <r>
    <x v="807"/>
    <n v="6"/>
    <x v="35"/>
    <x v="0"/>
    <s v="SAReporter FAGProperties"/>
    <m/>
    <s v="Borchard"/>
    <m/>
    <e v="#N/A"/>
    <e v="#N/A"/>
    <e v="#N/A"/>
    <e v="#N/A"/>
    <x v="6"/>
  </r>
  <r>
    <x v="808"/>
    <n v="4"/>
    <x v="6"/>
    <x v="0"/>
    <s v="HO: Powercharts Marktaneile Johnson DB"/>
    <m/>
    <s v="Grottker"/>
    <m/>
    <e v="#N/A"/>
    <e v="#N/A"/>
    <e v="#N/A"/>
    <e v="#N/A"/>
    <x v="6"/>
  </r>
  <r>
    <x v="809"/>
    <n v="1"/>
    <x v="6"/>
    <x v="0"/>
    <s v="HO: OTCGMS Indien"/>
    <m/>
    <s v="Grottker"/>
    <m/>
    <e v="#N/A"/>
    <e v="#N/A"/>
    <e v="#N/A"/>
    <e v="#N/A"/>
    <x v="6"/>
  </r>
  <r>
    <x v="810"/>
    <n v="2"/>
    <x v="6"/>
    <x v="0"/>
    <s v="HO: Powercharts Indien"/>
    <m/>
    <s v="Grottker"/>
    <m/>
    <e v="#N/A"/>
    <e v="#N/A"/>
    <e v="#N/A"/>
    <e v="#N/A"/>
    <x v="6"/>
  </r>
  <r>
    <x v="810"/>
    <n v="1"/>
    <x v="6"/>
    <x v="0"/>
    <s v="HO: OTCGMS Indien"/>
    <m/>
    <s v="Grottker"/>
    <m/>
    <e v="#N/A"/>
    <e v="#N/A"/>
    <e v="#N/A"/>
    <e v="#N/A"/>
    <x v="6"/>
  </r>
  <r>
    <x v="811"/>
    <n v="1"/>
    <x v="6"/>
    <x v="0"/>
    <s v="HO: Powercharts Indien"/>
    <m/>
    <s v="Grottker"/>
    <m/>
    <e v="#N/A"/>
    <e v="#N/A"/>
    <e v="#N/A"/>
    <e v="#N/A"/>
    <x v="6"/>
  </r>
  <r>
    <x v="812"/>
    <n v="2"/>
    <x v="6"/>
    <x v="0"/>
    <s v="HO: Powercharts Indien"/>
    <m/>
    <s v="Grottker"/>
    <m/>
    <e v="#N/A"/>
    <e v="#N/A"/>
    <e v="#N/A"/>
    <e v="#N/A"/>
    <x v="6"/>
  </r>
  <r>
    <x v="813"/>
    <n v="1.5"/>
    <x v="6"/>
    <x v="0"/>
    <s v="Powercharts: Besprechung, Aufwandsabschätzung, etc."/>
    <m/>
    <s v="Schilly"/>
    <m/>
    <e v="#N/A"/>
    <e v="#N/A"/>
    <e v="#N/A"/>
    <e v="#N/A"/>
    <x v="6"/>
  </r>
  <r>
    <x v="813"/>
    <n v="5"/>
    <x v="35"/>
    <x v="0"/>
    <s v="SAReporter: Inhaltsverzeichnis"/>
    <m/>
    <s v="Borchard"/>
    <m/>
    <e v="#N/A"/>
    <e v="#N/A"/>
    <e v="#N/A"/>
    <e v="#N/A"/>
    <x v="6"/>
  </r>
  <r>
    <x v="814"/>
    <n v="4"/>
    <x v="35"/>
    <x v="0"/>
    <s v="HO: SAReporter: Inhaltsverzeichnis"/>
    <m/>
    <s v="Borchard"/>
    <m/>
    <e v="#N/A"/>
    <e v="#N/A"/>
    <e v="#N/A"/>
    <e v="#N/A"/>
    <x v="6"/>
  </r>
  <r>
    <x v="815"/>
    <n v="4"/>
    <x v="35"/>
    <x v="0"/>
    <s v="HO: SAReporter: Inhaltsverzeichnis"/>
    <m/>
    <s v="Borchard"/>
    <m/>
    <e v="#N/A"/>
    <e v="#N/A"/>
    <e v="#N/A"/>
    <e v="#N/A"/>
    <x v="6"/>
  </r>
  <r>
    <x v="816"/>
    <n v="8"/>
    <x v="6"/>
    <x v="0"/>
    <s v="HO: OTCGMS Indien"/>
    <m/>
    <s v="Grottker"/>
    <m/>
    <e v="#N/A"/>
    <e v="#N/A"/>
    <e v="#N/A"/>
    <e v="#N/A"/>
    <x v="6"/>
  </r>
  <r>
    <x v="817"/>
    <n v="3"/>
    <x v="37"/>
    <x v="0"/>
    <s v="HO: MDXSplitter"/>
    <m/>
    <s v="Runkel"/>
    <m/>
    <e v="#N/A"/>
    <e v="#N/A"/>
    <e v="#N/A"/>
    <e v="#N/A"/>
    <x v="6"/>
  </r>
  <r>
    <x v="818"/>
    <n v="3"/>
    <x v="35"/>
    <x v="0"/>
    <s v="HO: SAReporter 2007: Inhaltsverzeichnis 2007"/>
    <m/>
    <s v="Borchard"/>
    <m/>
    <e v="#N/A"/>
    <e v="#N/A"/>
    <e v="#N/A"/>
    <e v="#N/A"/>
    <x v="6"/>
  </r>
  <r>
    <x v="818"/>
    <n v="8"/>
    <x v="35"/>
    <x v="0"/>
    <s v="HO: SAReporter 2005: Neue Dimension Krankenkasse"/>
    <m/>
    <s v="Borchard"/>
    <m/>
    <e v="#N/A"/>
    <e v="#N/A"/>
    <e v="#N/A"/>
    <e v="#N/A"/>
    <x v="6"/>
  </r>
  <r>
    <x v="819"/>
    <n v="6"/>
    <x v="35"/>
    <x v="0"/>
    <s v="HO: SAReporter 2007: Neue Dimension Krankenkasse"/>
    <m/>
    <s v="Borchard"/>
    <m/>
    <e v="#N/A"/>
    <e v="#N/A"/>
    <e v="#N/A"/>
    <e v="#N/A"/>
    <x v="6"/>
  </r>
  <r>
    <x v="820"/>
    <n v="1"/>
    <x v="6"/>
    <x v="0"/>
    <s v="HO: Angebot Bayer Kurzinfo"/>
    <m/>
    <s v="Meyer"/>
    <m/>
    <e v="#N/A"/>
    <e v="#N/A"/>
    <e v="#N/A"/>
    <e v="#N/A"/>
    <x v="6"/>
  </r>
  <r>
    <x v="820"/>
    <n v="2"/>
    <x v="35"/>
    <x v="0"/>
    <s v="HO: SAReporter 2007: Neue Dimension Krankenkasse"/>
    <m/>
    <s v="Borchard"/>
    <m/>
    <e v="#N/A"/>
    <e v="#N/A"/>
    <e v="#N/A"/>
    <e v="#N/A"/>
    <x v="6"/>
  </r>
  <r>
    <x v="821"/>
    <n v="2"/>
    <x v="35"/>
    <x v="0"/>
    <s v="HO: SAReporter 2007: Drag &amp; Drop Issues"/>
    <m/>
    <s v="Borchard"/>
    <m/>
    <e v="#N/A"/>
    <e v="#N/A"/>
    <e v="#N/A"/>
    <e v="#N/A"/>
    <x v="6"/>
  </r>
  <r>
    <x v="822"/>
    <n v="8"/>
    <x v="6"/>
    <x v="0"/>
    <s v="HO: Bayer Kurzinfo"/>
    <m/>
    <s v="Meyer"/>
    <m/>
    <e v="#N/A"/>
    <e v="#N/A"/>
    <e v="#N/A"/>
    <e v="#N/A"/>
    <x v="6"/>
  </r>
  <r>
    <x v="823"/>
    <n v="6"/>
    <x v="6"/>
    <x v="0"/>
    <s v="HO: Bayer Kurzinfo"/>
    <m/>
    <s v="Meyer"/>
    <m/>
    <e v="#N/A"/>
    <e v="#N/A"/>
    <e v="#N/A"/>
    <e v="#N/A"/>
    <x v="6"/>
  </r>
  <r>
    <x v="824"/>
    <n v="8"/>
    <x v="6"/>
    <x v="0"/>
    <s v="HO: Bayer Kurzinfo"/>
    <m/>
    <s v="Meyer"/>
    <m/>
    <e v="#N/A"/>
    <e v="#N/A"/>
    <e v="#N/A"/>
    <e v="#N/A"/>
    <x v="6"/>
  </r>
  <r>
    <x v="825"/>
    <n v="5"/>
    <x v="35"/>
    <x v="0"/>
    <s v="SAReporter 2007: Config Dateien"/>
    <m/>
    <s v="Borchard"/>
    <m/>
    <e v="#N/A"/>
    <e v="#N/A"/>
    <e v="#N/A"/>
    <e v="#N/A"/>
    <x v="6"/>
  </r>
  <r>
    <x v="826"/>
    <n v="4"/>
    <x v="6"/>
    <x v="0"/>
    <s v="HO: Bayer Kurzinfo"/>
    <m/>
    <s v="Meyer"/>
    <m/>
    <e v="#N/A"/>
    <e v="#N/A"/>
    <e v="#N/A"/>
    <e v="#N/A"/>
    <x v="6"/>
  </r>
  <r>
    <x v="827"/>
    <n v="2"/>
    <x v="6"/>
    <x v="0"/>
    <s v="HO: Bayer Kurzinfo"/>
    <m/>
    <s v="Meyer"/>
    <m/>
    <e v="#N/A"/>
    <e v="#N/A"/>
    <e v="#N/A"/>
    <e v="#N/A"/>
    <x v="6"/>
  </r>
  <r>
    <x v="828"/>
    <n v="1"/>
    <x v="6"/>
    <x v="0"/>
    <s v="HO: Bayer Kurzinfo GeoData Table Workaround"/>
    <m/>
    <s v="Meyer"/>
    <m/>
    <e v="#N/A"/>
    <e v="#N/A"/>
    <e v="#N/A"/>
    <e v="#N/A"/>
    <x v="7"/>
  </r>
  <r>
    <x v="829"/>
    <n v="2"/>
    <x v="6"/>
    <x v="0"/>
    <s v="HO: Bayer Kurzinfo GeoData Table"/>
    <m/>
    <s v="Meyer"/>
    <m/>
    <e v="#N/A"/>
    <e v="#N/A"/>
    <e v="#N/A"/>
    <e v="#N/A"/>
    <x v="7"/>
  </r>
  <r>
    <x v="830"/>
    <n v="1"/>
    <x v="6"/>
    <x v="0"/>
    <s v="HO: Bayer Kurzinfo Sortierung"/>
    <m/>
    <s v="Meyer"/>
    <m/>
    <e v="#N/A"/>
    <e v="#N/A"/>
    <e v="#N/A"/>
    <e v="#N/A"/>
    <x v="7"/>
  </r>
  <r>
    <x v="831"/>
    <n v="2"/>
    <x v="6"/>
    <x v="0"/>
    <s v="HO: Bayer Kurzinfo Sortierung"/>
    <m/>
    <s v="Meyer"/>
    <m/>
    <e v="#N/A"/>
    <e v="#N/A"/>
    <e v="#N/A"/>
    <e v="#N/A"/>
    <x v="7"/>
  </r>
  <r>
    <x v="832"/>
    <n v="1"/>
    <x v="6"/>
    <x v="0"/>
    <s v="HO: Bayer Kurzinfo Setuperstellung"/>
    <m/>
    <s v="Meyer"/>
    <m/>
    <e v="#N/A"/>
    <e v="#N/A"/>
    <e v="#N/A"/>
    <e v="#N/A"/>
    <x v="7"/>
  </r>
  <r>
    <x v="832"/>
    <n v="1"/>
    <x v="17"/>
    <x v="0"/>
    <s v="HO: Powercharts Support London"/>
    <m/>
    <s v="Schilly"/>
    <m/>
    <e v="#N/A"/>
    <e v="#N/A"/>
    <e v="#N/A"/>
    <e v="#N/A"/>
    <x v="7"/>
  </r>
  <r>
    <x v="833"/>
    <n v="1"/>
    <x v="35"/>
    <x v="0"/>
    <s v="HO: SAReporter 2007 und 2005: Setuperstellung"/>
    <m/>
    <s v="Borchard"/>
    <m/>
    <e v="#N/A"/>
    <e v="#N/A"/>
    <e v="#N/A"/>
    <e v="#N/A"/>
    <x v="7"/>
  </r>
  <r>
    <x v="834"/>
    <n v="2"/>
    <x v="35"/>
    <x v="0"/>
    <s v="HO: SAReporter 2005: Bugfix Batcherstellung"/>
    <m/>
    <s v="Borchard"/>
    <m/>
    <e v="#N/A"/>
    <e v="#N/A"/>
    <e v="#N/A"/>
    <e v="#N/A"/>
    <x v="7"/>
  </r>
  <r>
    <x v="835"/>
    <n v="4"/>
    <x v="35"/>
    <x v="0"/>
    <s v="SAReporter 2007: Bugfix Batcherstellung"/>
    <m/>
    <s v="Borchard"/>
    <m/>
    <e v="#N/A"/>
    <e v="#N/A"/>
    <e v="#N/A"/>
    <e v="#N/A"/>
    <x v="7"/>
  </r>
  <r>
    <x v="835"/>
    <n v="2"/>
    <x v="35"/>
    <x v="0"/>
    <s v="SAReporter 2007 + 2005: Neues Setup"/>
    <m/>
    <s v="Borchard"/>
    <m/>
    <e v="#N/A"/>
    <e v="#N/A"/>
    <e v="#N/A"/>
    <e v="#N/A"/>
    <x v="7"/>
  </r>
  <r>
    <x v="836"/>
    <n v="5"/>
    <x v="35"/>
    <x v="0"/>
    <s v="HO: QualityCheck ExcelInterface"/>
    <m/>
    <s v="Gütig"/>
    <m/>
    <e v="#N/A"/>
    <e v="#N/A"/>
    <e v="#N/A"/>
    <e v="#N/A"/>
    <x v="7"/>
  </r>
  <r>
    <x v="837"/>
    <n v="4"/>
    <x v="35"/>
    <x v="0"/>
    <s v="HO: QualityCheck ExcelInterface"/>
    <m/>
    <s v="Gütig"/>
    <m/>
    <e v="#N/A"/>
    <e v="#N/A"/>
    <e v="#N/A"/>
    <e v="#N/A"/>
    <x v="7"/>
  </r>
  <r>
    <x v="838"/>
    <n v="4"/>
    <x v="35"/>
    <x v="0"/>
    <s v="HO: QualityCheck ExcelInterface"/>
    <m/>
    <s v="Gütig"/>
    <m/>
    <e v="#N/A"/>
    <e v="#N/A"/>
    <e v="#N/A"/>
    <e v="#N/A"/>
    <x v="7"/>
  </r>
  <r>
    <x v="839"/>
    <n v="7"/>
    <x v="35"/>
    <x v="0"/>
    <s v="HO: QualityCheck ExcelInterface"/>
    <m/>
    <s v="Gütig"/>
    <m/>
    <e v="#N/A"/>
    <e v="#N/A"/>
    <e v="#N/A"/>
    <e v="#N/A"/>
    <x v="7"/>
  </r>
  <r>
    <x v="840"/>
    <n v="8"/>
    <x v="35"/>
    <x v="0"/>
    <s v="HO: QualityCheck Applikation"/>
    <m/>
    <s v="Gütig"/>
    <m/>
    <e v="#N/A"/>
    <e v="#N/A"/>
    <e v="#N/A"/>
    <e v="#N/A"/>
    <x v="7"/>
  </r>
  <r>
    <x v="841"/>
    <n v="4"/>
    <x v="35"/>
    <x v="0"/>
    <s v="HO: QualityCheck Applikation"/>
    <m/>
    <s v="Gütig"/>
    <m/>
    <e v="#N/A"/>
    <e v="#N/A"/>
    <e v="#N/A"/>
    <e v="#N/A"/>
    <x v="7"/>
  </r>
  <r>
    <x v="841"/>
    <n v="4"/>
    <x v="35"/>
    <x v="0"/>
    <s v="HO: QualityCheck PHS-PDS"/>
    <m/>
    <s v="Gütig"/>
    <m/>
    <e v="#N/A"/>
    <e v="#N/A"/>
    <e v="#N/A"/>
    <e v="#N/A"/>
    <x v="7"/>
  </r>
  <r>
    <x v="842"/>
    <n v="2"/>
    <x v="35"/>
    <x v="0"/>
    <s v="SAReporter 2007 + 2005: Geos linksbündig"/>
    <m/>
    <s v="Borchard"/>
    <m/>
    <e v="#N/A"/>
    <e v="#N/A"/>
    <e v="#N/A"/>
    <e v="#N/A"/>
    <x v="7"/>
  </r>
  <r>
    <x v="843"/>
    <n v="3"/>
    <x v="35"/>
    <x v="0"/>
    <s v="HO: QualityCheck PHS-PDS"/>
    <m/>
    <s v="Gütig"/>
    <m/>
    <e v="#N/A"/>
    <e v="#N/A"/>
    <e v="#N/A"/>
    <e v="#N/A"/>
    <x v="7"/>
  </r>
  <r>
    <x v="844"/>
    <n v="3"/>
    <x v="35"/>
    <x v="0"/>
    <s v="HO: QualityCheck PHS-PDS"/>
    <m/>
    <s v="Gütig"/>
    <m/>
    <e v="#N/A"/>
    <e v="#N/A"/>
    <e v="#N/A"/>
    <e v="#N/A"/>
    <x v="7"/>
  </r>
  <r>
    <x v="845"/>
    <n v="2"/>
    <x v="35"/>
    <x v="0"/>
    <s v="HO: QualityCheck PHS-PDS"/>
    <m/>
    <s v="Gütig"/>
    <m/>
    <e v="#N/A"/>
    <e v="#N/A"/>
    <e v="#N/A"/>
    <e v="#N/A"/>
    <x v="7"/>
  </r>
  <r>
    <x v="846"/>
    <n v="1"/>
    <x v="35"/>
    <x v="0"/>
    <s v="HO: QualityCheck Bugfixes"/>
    <m/>
    <s v="Gütig"/>
    <m/>
    <e v="#N/A"/>
    <e v="#N/A"/>
    <e v="#N/A"/>
    <e v="#N/A"/>
    <x v="7"/>
  </r>
  <r>
    <x v="847"/>
    <n v="1"/>
    <x v="35"/>
    <x v="0"/>
    <s v="HO: QualityCheck Bugfixes"/>
    <m/>
    <s v="Gütig"/>
    <m/>
    <e v="#N/A"/>
    <e v="#N/A"/>
    <e v="#N/A"/>
    <e v="#N/A"/>
    <x v="7"/>
  </r>
  <r>
    <x v="848"/>
    <n v="8"/>
    <x v="35"/>
    <x v="0"/>
    <s v="HO: QualityCheck Vaccine"/>
    <m/>
    <s v="Gütig"/>
    <m/>
    <e v="#N/A"/>
    <e v="#N/A"/>
    <e v="#N/A"/>
    <e v="#N/A"/>
    <x v="7"/>
  </r>
  <r>
    <x v="849"/>
    <n v="8"/>
    <x v="35"/>
    <x v="0"/>
    <s v="HO: QualityCheck CMR-XPO-PHS"/>
    <m/>
    <s v="Gütig"/>
    <m/>
    <e v="#N/A"/>
    <e v="#N/A"/>
    <e v="#N/A"/>
    <e v="#N/A"/>
    <x v="7"/>
  </r>
  <r>
    <x v="850"/>
    <n v="4"/>
    <x v="35"/>
    <x v="0"/>
    <s v="HO: QualityCheck CMR-XPO-PHS"/>
    <m/>
    <s v="Gütig"/>
    <m/>
    <e v="#N/A"/>
    <e v="#N/A"/>
    <e v="#N/A"/>
    <e v="#N/A"/>
    <x v="7"/>
  </r>
  <r>
    <x v="851"/>
    <n v="2"/>
    <x v="35"/>
    <x v="0"/>
    <s v="HO: QualityCheck CMR-XPO-PHS Zeitreihen"/>
    <m/>
    <s v="Gütig"/>
    <m/>
    <e v="#N/A"/>
    <e v="#N/A"/>
    <e v="#N/A"/>
    <e v="#N/A"/>
    <x v="7"/>
  </r>
  <r>
    <x v="852"/>
    <n v="5"/>
    <x v="35"/>
    <x v="0"/>
    <s v="QualityCheck CMR-XPO-PHS KH Ergänzung"/>
    <m/>
    <s v="Gütig"/>
    <m/>
    <e v="#N/A"/>
    <e v="#N/A"/>
    <e v="#N/A"/>
    <e v="#N/A"/>
    <x v="7"/>
  </r>
  <r>
    <x v="853"/>
    <n v="3"/>
    <x v="35"/>
    <x v="0"/>
    <s v="HO: QualityCheck automatische Filebenennung"/>
    <m/>
    <s v="Gütig"/>
    <m/>
    <e v="#N/A"/>
    <e v="#N/A"/>
    <e v="#N/A"/>
    <e v="#N/A"/>
    <x v="7"/>
  </r>
  <r>
    <x v="853"/>
    <n v="4"/>
    <x v="35"/>
    <x v="0"/>
    <s v="HO: SAReporter 2007 + 2005: IV Slicer Info"/>
    <m/>
    <s v="Borchard"/>
    <m/>
    <e v="#N/A"/>
    <e v="#N/A"/>
    <e v="#N/A"/>
    <e v="#N/A"/>
    <x v="7"/>
  </r>
  <r>
    <x v="853"/>
    <n v="2"/>
    <x v="35"/>
    <x v="0"/>
    <s v="HO: SAReporter 2007 + 2005: IV Slicer Info"/>
    <m/>
    <s v="Borchard"/>
    <m/>
    <e v="#N/A"/>
    <e v="#N/A"/>
    <e v="#N/A"/>
    <e v="#N/A"/>
    <x v="7"/>
  </r>
  <r>
    <x v="854"/>
    <n v="2"/>
    <x v="35"/>
    <x v="0"/>
    <s v="HO: SAReporter 2005: IV Slicer Info und linksbündige Geos"/>
    <m/>
    <s v="Borchard"/>
    <m/>
    <e v="#N/A"/>
    <e v="#N/A"/>
    <e v="#N/A"/>
    <e v="#N/A"/>
    <x v="7"/>
  </r>
  <r>
    <x v="855"/>
    <n v="2"/>
    <x v="35"/>
    <x v="0"/>
    <s v="HO: SAReporter 2005: Versionsumstellung"/>
    <m/>
    <s v="Borchard"/>
    <m/>
    <e v="#N/A"/>
    <e v="#N/A"/>
    <e v="#N/A"/>
    <e v="#N/A"/>
    <x v="7"/>
  </r>
  <r>
    <x v="856"/>
    <n v="2"/>
    <x v="35"/>
    <x v="0"/>
    <s v="HO: SAReporter 2005: Versionsumstellung"/>
    <m/>
    <s v="Borchard"/>
    <m/>
    <e v="#N/A"/>
    <e v="#N/A"/>
    <e v="#N/A"/>
    <e v="#N/A"/>
    <x v="7"/>
  </r>
  <r>
    <x v="857"/>
    <n v="8"/>
    <x v="35"/>
    <x v="0"/>
    <s v="HO: QualityCheck RVM-XPO"/>
    <m/>
    <s v="Gütig"/>
    <m/>
    <e v="#N/A"/>
    <e v="#N/A"/>
    <e v="#N/A"/>
    <e v="#N/A"/>
    <x v="7"/>
  </r>
  <r>
    <x v="858"/>
    <n v="5"/>
    <x v="35"/>
    <x v="0"/>
    <s v="HO: QualityCheck RVM-XPO"/>
    <m/>
    <s v="Gütig"/>
    <m/>
    <e v="#N/A"/>
    <e v="#N/A"/>
    <e v="#N/A"/>
    <e v="#N/A"/>
    <x v="7"/>
  </r>
  <r>
    <x v="859"/>
    <n v="4"/>
    <x v="35"/>
    <x v="0"/>
    <s v="Home: Powercharts Upgrade"/>
    <m/>
    <s v="Schilly"/>
    <m/>
    <e v="#N/A"/>
    <e v="#N/A"/>
    <e v="#N/A"/>
    <e v="#N/A"/>
    <x v="7"/>
  </r>
  <r>
    <x v="860"/>
    <n v="3"/>
    <x v="35"/>
    <x v="0"/>
    <s v="TEVA Spaltenausblender Bug bei Relativperioden, rpts gefixed"/>
    <m/>
    <s v="Runkel"/>
    <m/>
    <e v="#N/A"/>
    <e v="#N/A"/>
    <e v="#N/A"/>
    <e v="#N/A"/>
    <x v="7"/>
  </r>
  <r>
    <x v="860"/>
    <n v="3"/>
    <x v="35"/>
    <x v="0"/>
    <s v="Home: Powercharts Upgrade"/>
    <m/>
    <s v="Schilly"/>
    <m/>
    <e v="#N/A"/>
    <e v="#N/A"/>
    <e v="#N/A"/>
    <e v="#N/A"/>
    <x v="7"/>
  </r>
  <r>
    <x v="861"/>
    <n v="2"/>
    <x v="35"/>
    <x v="0"/>
    <s v="Home: Powercharts Upgrade"/>
    <m/>
    <s v="Schilly"/>
    <m/>
    <e v="#N/A"/>
    <e v="#N/A"/>
    <e v="#N/A"/>
    <e v="#N/A"/>
    <x v="7"/>
  </r>
  <r>
    <x v="862"/>
    <n v="6"/>
    <x v="35"/>
    <x v="0"/>
    <s v="Home: Powercharts Upgrade"/>
    <m/>
    <s v="Schilly"/>
    <m/>
    <e v="#N/A"/>
    <e v="#N/A"/>
    <e v="#N/A"/>
    <e v="#N/A"/>
    <x v="7"/>
  </r>
  <r>
    <x v="863"/>
    <n v="6"/>
    <x v="35"/>
    <x v="0"/>
    <s v="Home: Powercharts Upgrade"/>
    <m/>
    <s v="Schilly"/>
    <m/>
    <e v="#N/A"/>
    <e v="#N/A"/>
    <e v="#N/A"/>
    <e v="#N/A"/>
    <x v="7"/>
  </r>
  <r>
    <x v="864"/>
    <n v="7"/>
    <x v="35"/>
    <x v="0"/>
    <s v="Home: Powercharts Upgrade"/>
    <m/>
    <s v="Schilly"/>
    <m/>
    <e v="#N/A"/>
    <e v="#N/A"/>
    <e v="#N/A"/>
    <e v="#N/A"/>
    <x v="7"/>
  </r>
  <r>
    <x v="865"/>
    <n v="8"/>
    <x v="35"/>
    <x v="0"/>
    <s v="Home: Powercharts Upgrade"/>
    <m/>
    <s v="Schilly"/>
    <m/>
    <e v="#N/A"/>
    <e v="#N/A"/>
    <e v="#N/A"/>
    <e v="#N/A"/>
    <x v="7"/>
  </r>
  <r>
    <x v="866"/>
    <n v="7"/>
    <x v="35"/>
    <x v="0"/>
    <s v="Home: Powercharts Upgrade"/>
    <m/>
    <s v="Schilly"/>
    <m/>
    <e v="#N/A"/>
    <e v="#N/A"/>
    <e v="#N/A"/>
    <e v="#N/A"/>
    <x v="7"/>
  </r>
  <r>
    <x v="867"/>
    <n v="5"/>
    <x v="35"/>
    <x v="0"/>
    <s v="Home: Powercharts Upgrade"/>
    <m/>
    <s v="Schilly"/>
    <m/>
    <e v="#N/A"/>
    <e v="#N/A"/>
    <e v="#N/A"/>
    <e v="#N/A"/>
    <x v="7"/>
  </r>
  <r>
    <x v="868"/>
    <n v="2"/>
    <x v="35"/>
    <x v="0"/>
    <s v="Home: Chugai Subterritories"/>
    <m/>
    <s v="Runkel"/>
    <m/>
    <e v="#N/A"/>
    <e v="#N/A"/>
    <e v="#N/A"/>
    <e v="#N/A"/>
    <x v="7"/>
  </r>
  <r>
    <x v="869"/>
    <n v="6"/>
    <x v="35"/>
    <x v="0"/>
    <s v="Home: Powercharts Upgrade"/>
    <m/>
    <s v="Schilly"/>
    <m/>
    <e v="#N/A"/>
    <e v="#N/A"/>
    <e v="#N/A"/>
    <e v="#N/A"/>
    <x v="7"/>
  </r>
  <r>
    <x v="870"/>
    <n v="2"/>
    <x v="35"/>
    <x v="0"/>
    <s v="Home: Powercharts Upgrade"/>
    <m/>
    <s v="Schilly"/>
    <m/>
    <e v="#N/A"/>
    <e v="#N/A"/>
    <e v="#N/A"/>
    <e v="#N/A"/>
    <x v="7"/>
  </r>
  <r>
    <x v="871"/>
    <n v="4"/>
    <x v="35"/>
    <x v="0"/>
    <s v="Home: Powercharts Upgrade"/>
    <m/>
    <s v="Schilly"/>
    <m/>
    <e v="#N/A"/>
    <e v="#N/A"/>
    <e v="#N/A"/>
    <e v="#N/A"/>
    <x v="7"/>
  </r>
  <r>
    <x v="872"/>
    <n v="3"/>
    <x v="35"/>
    <x v="0"/>
    <s v="HO: QualityCheck DSV-VAC"/>
    <m/>
    <s v="Gütig"/>
    <m/>
    <e v="#N/A"/>
    <e v="#N/A"/>
    <e v="#N/A"/>
    <e v="#N/A"/>
    <x v="7"/>
  </r>
  <r>
    <x v="873"/>
    <n v="4"/>
    <x v="35"/>
    <x v="0"/>
    <s v="Home: Powercharts Upgrade"/>
    <m/>
    <s v="Schilly"/>
    <m/>
    <e v="#N/A"/>
    <e v="#N/A"/>
    <e v="#N/A"/>
    <e v="#N/A"/>
    <x v="7"/>
  </r>
  <r>
    <x v="874"/>
    <n v="3"/>
    <x v="35"/>
    <x v="0"/>
    <s v="OTCPP Support Indien"/>
    <m/>
    <s v="Kleinfeldt"/>
    <m/>
    <e v="#N/A"/>
    <e v="#N/A"/>
    <e v="#N/A"/>
    <e v="#N/A"/>
    <x v="7"/>
  </r>
  <r>
    <x v="875"/>
    <n v="3"/>
    <x v="35"/>
    <x v="0"/>
    <s v="OTCPP Support Indien"/>
    <m/>
    <s v="Kleinfeldt"/>
    <m/>
    <e v="#N/A"/>
    <e v="#N/A"/>
    <e v="#N/A"/>
    <e v="#N/A"/>
    <x v="7"/>
  </r>
  <r>
    <x v="875"/>
    <n v="3"/>
    <x v="35"/>
    <x v="0"/>
    <s v="Home: Powercharts Upgrade"/>
    <m/>
    <s v="Schilly"/>
    <m/>
    <e v="#N/A"/>
    <e v="#N/A"/>
    <e v="#N/A"/>
    <e v="#N/A"/>
    <x v="7"/>
  </r>
  <r>
    <x v="876"/>
    <n v="7"/>
    <x v="35"/>
    <x v="0"/>
    <s v="Home: Powercharts Upgrade"/>
    <m/>
    <s v="Schilly"/>
    <m/>
    <e v="#N/A"/>
    <e v="#N/A"/>
    <e v="#N/A"/>
    <e v="#N/A"/>
    <x v="7"/>
  </r>
  <r>
    <x v="877"/>
    <n v="3"/>
    <x v="35"/>
    <x v="0"/>
    <s v="Home: Powercharts Upgrade"/>
    <m/>
    <s v="Schilly"/>
    <m/>
    <e v="#N/A"/>
    <e v="#N/A"/>
    <e v="#N/A"/>
    <e v="#N/A"/>
    <x v="7"/>
  </r>
  <r>
    <x v="878"/>
    <n v="3"/>
    <x v="35"/>
    <x v="0"/>
    <s v="Home: Powercharts Upgrade"/>
    <m/>
    <s v="Schilly"/>
    <m/>
    <e v="#N/A"/>
    <e v="#N/A"/>
    <e v="#N/A"/>
    <e v="#N/A"/>
    <x v="7"/>
  </r>
  <r>
    <x v="879"/>
    <n v="6"/>
    <x v="35"/>
    <x v="0"/>
    <s v="Home: Powercharts Upgrade"/>
    <m/>
    <s v="Schilly"/>
    <m/>
    <e v="#N/A"/>
    <e v="#N/A"/>
    <e v="#N/A"/>
    <e v="#N/A"/>
    <x v="7"/>
  </r>
  <r>
    <x v="880"/>
    <n v="2"/>
    <x v="35"/>
    <x v="0"/>
    <s v="Home: Powercharts Upgrade"/>
    <m/>
    <s v="Schilly"/>
    <m/>
    <e v="#N/A"/>
    <e v="#N/A"/>
    <e v="#N/A"/>
    <e v="#N/A"/>
    <x v="7"/>
  </r>
  <r>
    <x v="881"/>
    <n v="2"/>
    <x v="35"/>
    <x v="0"/>
    <s v="OTCPP Support"/>
    <m/>
    <s v="Kleinfeldt"/>
    <m/>
    <e v="#N/A"/>
    <e v="#N/A"/>
    <e v="#N/A"/>
    <e v="#N/A"/>
    <x v="7"/>
  </r>
  <r>
    <x v="882"/>
    <n v="5"/>
    <x v="35"/>
    <x v="0"/>
    <s v="Home: Powercharts Upgrade"/>
    <m/>
    <s v="Schilly"/>
    <m/>
    <e v="#N/A"/>
    <e v="#N/A"/>
    <e v="#N/A"/>
    <e v="#N/A"/>
    <x v="7"/>
  </r>
  <r>
    <x v="883"/>
    <n v="7"/>
    <x v="35"/>
    <x v="0"/>
    <s v="HO: QualityCheck PHS-PTR"/>
    <m/>
    <s v="Gütig"/>
    <m/>
    <e v="#N/A"/>
    <e v="#N/A"/>
    <e v="#N/A"/>
    <e v="#N/A"/>
    <x v="7"/>
  </r>
  <r>
    <x v="884"/>
    <n v="3"/>
    <x v="35"/>
    <x v="0"/>
    <s v="HO: QualityCheck PHS-PTR"/>
    <m/>
    <s v="Gütig"/>
    <m/>
    <e v="#N/A"/>
    <e v="#N/A"/>
    <e v="#N/A"/>
    <e v="#N/A"/>
    <x v="7"/>
  </r>
  <r>
    <x v="885"/>
    <n v="4"/>
    <x v="35"/>
    <x v="0"/>
    <s v="Home: Powercharts Korrekturen und Anpassungen"/>
    <m/>
    <s v="Schilly"/>
    <m/>
    <e v="#N/A"/>
    <e v="#N/A"/>
    <e v="#N/A"/>
    <e v="#N/A"/>
    <x v="7"/>
  </r>
  <r>
    <x v="886"/>
    <n v="7"/>
    <x v="35"/>
    <x v="0"/>
    <s v="Home: Powercharts Korrekturen und Anpassungen"/>
    <m/>
    <s v="Schilly"/>
    <m/>
    <e v="#N/A"/>
    <e v="#N/A"/>
    <e v="#N/A"/>
    <e v="#N/A"/>
    <x v="7"/>
  </r>
  <r>
    <x v="887"/>
    <n v="2"/>
    <x v="35"/>
    <x v="0"/>
    <s v="Powercharts Dateien einspielen"/>
    <m/>
    <s v="Kawham Heitham"/>
    <m/>
    <e v="#N/A"/>
    <e v="#N/A"/>
    <e v="#N/A"/>
    <e v="#N/A"/>
    <x v="7"/>
  </r>
  <r>
    <x v="887"/>
    <n v="4"/>
    <x v="35"/>
    <x v="0"/>
    <s v="Home: Powercharts Korrekturen und Anpassungen, Bugfixing"/>
    <m/>
    <s v="Schilly"/>
    <m/>
    <e v="#N/A"/>
    <e v="#N/A"/>
    <e v="#N/A"/>
    <e v="#N/A"/>
    <x v="7"/>
  </r>
  <r>
    <x v="888"/>
    <n v="4"/>
    <x v="35"/>
    <x v="0"/>
    <s v="Home: Powercharts Korrekturen und Anpassungen, Bugfixing"/>
    <m/>
    <s v="Schilly"/>
    <m/>
    <e v="#N/A"/>
    <e v="#N/A"/>
    <e v="#N/A"/>
    <e v="#N/A"/>
    <x v="7"/>
  </r>
  <r>
    <x v="889"/>
    <n v="2"/>
    <x v="35"/>
    <x v="0"/>
    <s v="CMR-PHS-XPO Vergleich"/>
    <m/>
    <s v="Gütig"/>
    <m/>
    <e v="#N/A"/>
    <e v="#N/A"/>
    <e v="#N/A"/>
    <e v="#N/A"/>
    <x v="7"/>
  </r>
  <r>
    <x v="890"/>
    <n v="4"/>
    <x v="35"/>
    <x v="0"/>
    <s v="OTCPP Anpassung"/>
    <m/>
    <s v="Kleinfeldt"/>
    <m/>
    <e v="#N/A"/>
    <e v="#N/A"/>
    <e v="#N/A"/>
    <e v="#N/A"/>
    <x v="7"/>
  </r>
  <r>
    <x v="890"/>
    <n v="3"/>
    <x v="35"/>
    <x v="0"/>
    <s v="DSV-VAC Vergleich Änderung"/>
    <m/>
    <s v="Gütig"/>
    <m/>
    <e v="#N/A"/>
    <e v="#N/A"/>
    <e v="#N/A"/>
    <e v="#N/A"/>
    <x v="7"/>
  </r>
  <r>
    <x v="891"/>
    <n v="3"/>
    <x v="35"/>
    <x v="0"/>
    <s v="DSV-VAC Vergleich Änderung"/>
    <m/>
    <s v="Gütig"/>
    <m/>
    <e v="#N/A"/>
    <e v="#N/A"/>
    <e v="#N/A"/>
    <e v="#N/A"/>
    <x v="7"/>
  </r>
  <r>
    <x v="892"/>
    <n v="8"/>
    <x v="35"/>
    <x v="0"/>
    <s v="HO: compressPresentation 2007"/>
    <m/>
    <s v="Schilly"/>
    <m/>
    <e v="#N/A"/>
    <e v="#N/A"/>
    <e v="#N/A"/>
    <e v="#N/A"/>
    <x v="7"/>
  </r>
  <r>
    <x v="893"/>
    <n v="3"/>
    <x v="38"/>
    <x v="0"/>
    <s v="HO: Bayer Kurzinfo"/>
    <m/>
    <s v="Meyer"/>
    <m/>
    <e v="#N/A"/>
    <e v="#N/A"/>
    <e v="#N/A"/>
    <e v="#N/A"/>
    <x v="7"/>
  </r>
  <r>
    <x v="894"/>
    <n v="3"/>
    <x v="35"/>
    <x v="0"/>
    <s v="HO: Powercharts 2009 Micro (3 Facts untereinander)"/>
    <m/>
    <s v="Meyer"/>
    <m/>
    <e v="#N/A"/>
    <e v="#N/A"/>
    <e v="#N/A"/>
    <e v="#N/A"/>
    <x v="7"/>
  </r>
  <r>
    <x v="894"/>
    <n v="3"/>
    <x v="35"/>
    <x v="0"/>
    <s v="HO: SAReporter 2005 und 2007: Spaltenfehler Urgo"/>
    <m/>
    <s v="Beschorner"/>
    <m/>
    <e v="#N/A"/>
    <e v="#N/A"/>
    <e v="#N/A"/>
    <e v="#N/A"/>
    <x v="7"/>
  </r>
  <r>
    <x v="895"/>
    <n v="7"/>
    <x v="35"/>
    <x v="0"/>
    <s v="HO: PDS-XPO Vergleich"/>
    <m/>
    <s v="Gütig"/>
    <m/>
    <e v="#N/A"/>
    <e v="#N/A"/>
    <e v="#N/A"/>
    <e v="#N/A"/>
    <x v="7"/>
  </r>
  <r>
    <x v="896"/>
    <n v="1"/>
    <x v="35"/>
    <x v="0"/>
    <s v="HO: Support Indien"/>
    <m/>
    <s v="Kleinfeldt"/>
    <m/>
    <e v="#N/A"/>
    <e v="#N/A"/>
    <e v="#N/A"/>
    <e v="#N/A"/>
    <x v="7"/>
  </r>
  <r>
    <x v="896"/>
    <n v="5"/>
    <x v="35"/>
    <x v="0"/>
    <s v="HO: PDS-XPO Vergleich"/>
    <m/>
    <s v="Gütig"/>
    <m/>
    <e v="#N/A"/>
    <e v="#N/A"/>
    <e v="#N/A"/>
    <e v="#N/A"/>
    <x v="7"/>
  </r>
  <r>
    <x v="897"/>
    <n v="1"/>
    <x v="35"/>
    <x v="0"/>
    <s v="HO: PDS-XPO Vergleich"/>
    <m/>
    <s v="Gütig"/>
    <m/>
    <e v="#N/A"/>
    <e v="#N/A"/>
    <e v="#N/A"/>
    <e v="#N/A"/>
    <x v="7"/>
  </r>
  <r>
    <x v="897"/>
    <n v="5"/>
    <x v="35"/>
    <x v="0"/>
    <s v="HO: Powercharts XP und 2.1 Indien Support"/>
    <m/>
    <s v="Schilly"/>
    <m/>
    <e v="#N/A"/>
    <e v="#N/A"/>
    <e v="#N/A"/>
    <e v="#N/A"/>
    <x v="7"/>
  </r>
  <r>
    <x v="898"/>
    <n v="1"/>
    <x v="4"/>
    <x v="0"/>
    <s v="HO: Adresscheck Problem"/>
    <m/>
    <s v="Hornbruch"/>
    <m/>
    <e v="#N/A"/>
    <e v="#N/A"/>
    <e v="#N/A"/>
    <e v="#N/A"/>
    <x v="7"/>
  </r>
  <r>
    <x v="899"/>
    <n v="2"/>
    <x v="4"/>
    <x v="0"/>
    <s v="HO: Adresscheck Problem"/>
    <m/>
    <s v="Hornbruch"/>
    <m/>
    <e v="#N/A"/>
    <e v="#N/A"/>
    <e v="#N/A"/>
    <e v="#N/A"/>
    <x v="7"/>
  </r>
  <r>
    <x v="900"/>
    <n v="1"/>
    <x v="35"/>
    <x v="0"/>
    <s v="HO: DSV-VAC Vergleich "/>
    <m/>
    <s v="Gütig"/>
    <m/>
    <e v="#N/A"/>
    <e v="#N/A"/>
    <e v="#N/A"/>
    <e v="#N/A"/>
    <x v="7"/>
  </r>
  <r>
    <x v="901"/>
    <n v="1"/>
    <x v="35"/>
    <x v="0"/>
    <s v="HO: DSV-VAC Vergleich "/>
    <m/>
    <s v="Gütig"/>
    <m/>
    <e v="#N/A"/>
    <e v="#N/A"/>
    <e v="#N/A"/>
    <e v="#N/A"/>
    <x v="7"/>
  </r>
  <r>
    <x v="901"/>
    <n v="1"/>
    <x v="4"/>
    <x v="0"/>
    <s v="HO: Adresscheck Problem"/>
    <m/>
    <s v="Hornbruch"/>
    <m/>
    <e v="#N/A"/>
    <e v="#N/A"/>
    <e v="#N/A"/>
    <e v="#N/A"/>
    <x v="7"/>
  </r>
  <r>
    <x v="902"/>
    <n v="3"/>
    <x v="38"/>
    <x v="0"/>
    <s v="HO: Bayer Kurzinfo"/>
    <m/>
    <s v="Meyer"/>
    <m/>
    <e v="#N/A"/>
    <e v="#N/A"/>
    <e v="#N/A"/>
    <e v="#N/A"/>
    <x v="7"/>
  </r>
  <r>
    <x v="903"/>
    <n v="3"/>
    <x v="38"/>
    <x v="0"/>
    <s v="HO: Bayer Kurzinfo"/>
    <m/>
    <s v="Meyer"/>
    <m/>
    <e v="#N/A"/>
    <e v="#N/A"/>
    <e v="#N/A"/>
    <e v="#N/A"/>
    <x v="7"/>
  </r>
  <r>
    <x v="904"/>
    <n v="1"/>
    <x v="35"/>
    <x v="0"/>
    <s v="HO: Powercharts 2009 Achsenskalierung"/>
    <m/>
    <s v="Schilly"/>
    <m/>
    <e v="#N/A"/>
    <e v="#N/A"/>
    <e v="#N/A"/>
    <e v="#N/A"/>
    <x v="7"/>
  </r>
  <r>
    <x v="905"/>
    <n v="3"/>
    <x v="38"/>
    <x v="0"/>
    <s v="HO: Bayer Kurzinfo"/>
    <m/>
    <s v="Meyer"/>
    <m/>
    <e v="#N/A"/>
    <e v="#N/A"/>
    <e v="#N/A"/>
    <e v="#N/A"/>
    <x v="7"/>
  </r>
  <r>
    <x v="906"/>
    <n v="4"/>
    <x v="35"/>
    <x v="0"/>
    <s v="CMR-PHS-XPO Vergleich"/>
    <m/>
    <s v="Gütig"/>
    <m/>
    <e v="#N/A"/>
    <e v="#N/A"/>
    <e v="#N/A"/>
    <e v="#N/A"/>
    <x v="7"/>
  </r>
  <r>
    <x v="907"/>
    <n v="3"/>
    <x v="38"/>
    <x v="0"/>
    <s v="HO: Bayer Kurzinfo"/>
    <m/>
    <s v="Meyer"/>
    <m/>
    <e v="#N/A"/>
    <e v="#N/A"/>
    <e v="#N/A"/>
    <e v="#N/A"/>
    <x v="7"/>
  </r>
  <r>
    <x v="908"/>
    <n v="3"/>
    <x v="35"/>
    <x v="0"/>
    <s v="HO: Urgo Relative Perioden"/>
    <m/>
    <s v="Runkel"/>
    <m/>
    <e v="#N/A"/>
    <e v="#N/A"/>
    <e v="#N/A"/>
    <e v="#N/A"/>
    <x v="7"/>
  </r>
  <r>
    <x v="909"/>
    <n v="6"/>
    <x v="35"/>
    <x v="0"/>
    <s v="VDS_PHS Vergleich"/>
    <m/>
    <s v="Gütig"/>
    <m/>
    <e v="#N/A"/>
    <e v="#N/A"/>
    <e v="#N/A"/>
    <e v="#N/A"/>
    <x v="7"/>
  </r>
  <r>
    <x v="910"/>
    <n v="7"/>
    <x v="35"/>
    <x v="0"/>
    <s v="VDS_PHS Vergleich"/>
    <m/>
    <s v="Gütig"/>
    <m/>
    <e v="#N/A"/>
    <e v="#N/A"/>
    <e v="#N/A"/>
    <e v="#N/A"/>
    <x v="7"/>
  </r>
  <r>
    <x v="911"/>
    <n v="4"/>
    <x v="35"/>
    <x v="0"/>
    <s v="HO: Urgo Batch Verarbeitung Grafiken"/>
    <m/>
    <s v="Runkel"/>
    <m/>
    <e v="#N/A"/>
    <e v="#N/A"/>
    <e v="#N/A"/>
    <e v="#N/A"/>
    <x v="7"/>
  </r>
  <r>
    <x v="911"/>
    <n v="5"/>
    <x v="35"/>
    <x v="0"/>
    <s v="HO: VDS_PHS Vergleich"/>
    <m/>
    <s v="Gütig"/>
    <m/>
    <e v="#N/A"/>
    <e v="#N/A"/>
    <e v="#N/A"/>
    <e v="#N/A"/>
    <x v="7"/>
  </r>
  <r>
    <x v="912"/>
    <n v="5"/>
    <x v="35"/>
    <x v="0"/>
    <s v="HO: VDS_PHS Vergleich"/>
    <m/>
    <s v="Gütig"/>
    <m/>
    <e v="#N/A"/>
    <e v="#N/A"/>
    <e v="#N/A"/>
    <e v="#N/A"/>
    <x v="7"/>
  </r>
  <r>
    <x v="913"/>
    <n v="4"/>
    <x v="35"/>
    <x v="0"/>
    <s v="HO: Urgo Relative Perioden im Deselektor"/>
    <m/>
    <s v="Runkel"/>
    <m/>
    <e v="#N/A"/>
    <e v="#N/A"/>
    <e v="#N/A"/>
    <e v="#N/A"/>
    <x v="7"/>
  </r>
  <r>
    <x v="914"/>
    <n v="2"/>
    <x v="35"/>
    <x v="0"/>
    <s v="HO: Fehleranalyse Office 2007"/>
    <m/>
    <s v="Giessen"/>
    <m/>
    <e v="#N/A"/>
    <e v="#N/A"/>
    <e v="#N/A"/>
    <e v="#N/A"/>
    <x v="7"/>
  </r>
  <r>
    <x v="915"/>
    <n v="2"/>
    <x v="35"/>
    <x v="0"/>
    <s v="HO: PDS-PHS,  Vergleich Bugfixing"/>
    <m/>
    <s v="Giessen"/>
    <m/>
    <e v="#N/A"/>
    <e v="#N/A"/>
    <e v="#N/A"/>
    <e v="#N/A"/>
    <x v="7"/>
  </r>
  <r>
    <x v="915"/>
    <n v="2"/>
    <x v="38"/>
    <x v="0"/>
    <s v="HO: Bayer Kurzinfo"/>
    <m/>
    <s v="Meyer"/>
    <m/>
    <e v="#N/A"/>
    <e v="#N/A"/>
    <e v="#N/A"/>
    <e v="#N/A"/>
    <x v="7"/>
  </r>
  <r>
    <x v="916"/>
    <n v="2"/>
    <x v="35"/>
    <x v="0"/>
    <s v="HO: Fehleranalyse CMR-PHS-XPO"/>
    <m/>
    <s v="Giessen"/>
    <m/>
    <e v="#N/A"/>
    <e v="#N/A"/>
    <e v="#N/A"/>
    <e v="#N/A"/>
    <x v="7"/>
  </r>
  <r>
    <x v="917"/>
    <n v="6"/>
    <x v="35"/>
    <x v="0"/>
    <s v="HO: Urgo Gruppen basierend auf Berechnungen"/>
    <m/>
    <s v="Runkel"/>
    <m/>
    <e v="#N/A"/>
    <e v="#N/A"/>
    <e v="#N/A"/>
    <e v="#N/A"/>
    <x v="7"/>
  </r>
  <r>
    <x v="918"/>
    <n v="2"/>
    <x v="35"/>
    <x v="0"/>
    <s v="HO: Urgo Gruppen basierend auf Berechnungen"/>
    <m/>
    <s v="Runkel"/>
    <m/>
    <e v="#N/A"/>
    <e v="#N/A"/>
    <e v="#N/A"/>
    <e v="#N/A"/>
    <x v="7"/>
  </r>
  <r>
    <x v="918"/>
    <n v="2"/>
    <x v="35"/>
    <x v="0"/>
    <s v="HO:  CMR-PHS-XPO Timeout"/>
    <m/>
    <s v="Giessen"/>
    <m/>
    <e v="#N/A"/>
    <e v="#N/A"/>
    <e v="#N/A"/>
    <e v="#N/A"/>
    <x v="7"/>
  </r>
  <r>
    <x v="919"/>
    <n v="2"/>
    <x v="35"/>
    <x v="0"/>
    <s v="HO: Shire Specialty_DESC"/>
    <m/>
    <s v="Runkel"/>
    <m/>
    <e v="#N/A"/>
    <e v="#N/A"/>
    <e v="#N/A"/>
    <e v="#N/A"/>
    <x v="7"/>
  </r>
  <r>
    <x v="920"/>
    <n v="4"/>
    <x v="35"/>
    <x v="0"/>
    <s v="HO: Urgo Bug Kalender Hierarchie Auswahl"/>
    <m/>
    <s v="Runkel"/>
    <m/>
    <e v="#N/A"/>
    <e v="#N/A"/>
    <e v="#N/A"/>
    <e v="#N/A"/>
    <x v="7"/>
  </r>
  <r>
    <x v="921"/>
    <n v="4"/>
    <x v="35"/>
    <x v="0"/>
    <s v="HO: Urgo Bug Kalender Hierarchie Auswahl"/>
    <m/>
    <s v="Runkel"/>
    <m/>
    <e v="#N/A"/>
    <e v="#N/A"/>
    <e v="#N/A"/>
    <e v="#N/A"/>
    <x v="7"/>
  </r>
  <r>
    <x v="922"/>
    <n v="1"/>
    <x v="35"/>
    <x v="0"/>
    <s v="HO: Neues Setup 2.1.7"/>
    <m/>
    <s v="Runkel"/>
    <m/>
    <e v="#N/A"/>
    <e v="#N/A"/>
    <e v="#N/A"/>
    <e v="#N/A"/>
    <x v="7"/>
  </r>
  <r>
    <x v="922"/>
    <n v="3"/>
    <x v="35"/>
    <x v="0"/>
    <s v="HO: Nachziehen der letzten Änderungen für SAReporter 2007"/>
    <m/>
    <s v="Runkel"/>
    <m/>
    <e v="#N/A"/>
    <e v="#N/A"/>
    <e v="#N/A"/>
    <e v="#N/A"/>
    <x v="7"/>
  </r>
  <r>
    <x v="923"/>
    <n v="2"/>
    <x v="35"/>
    <x v="0"/>
    <s v="HO: Installationsproblem 2.1.7, 2.1.6"/>
    <m/>
    <s v="Runkel"/>
    <m/>
    <e v="#N/A"/>
    <e v="#N/A"/>
    <e v="#N/A"/>
    <e v="#N/A"/>
    <x v="7"/>
  </r>
  <r>
    <x v="924"/>
    <n v="4"/>
    <x v="35"/>
    <x v="0"/>
    <s v="HO: Powercharts 2009 Legende + Schriftgröße Tabelle"/>
    <m/>
    <s v="Schilly"/>
    <m/>
    <e v="#N/A"/>
    <e v="#N/A"/>
    <e v="#N/A"/>
    <e v="#N/A"/>
    <x v="7"/>
  </r>
  <r>
    <x v="924"/>
    <n v="3"/>
    <x v="35"/>
    <x v="0"/>
    <s v="HO: AutoInstaller"/>
    <m/>
    <s v="Montermann"/>
    <m/>
    <e v="#N/A"/>
    <e v="#N/A"/>
    <e v="#N/A"/>
    <e v="#N/A"/>
    <x v="7"/>
  </r>
  <r>
    <x v="925"/>
    <n v="4"/>
    <x v="35"/>
    <x v="0"/>
    <s v="HO: AutoInstaller"/>
    <m/>
    <s v="Montermann"/>
    <m/>
    <e v="#N/A"/>
    <e v="#N/A"/>
    <e v="#N/A"/>
    <e v="#N/A"/>
    <x v="7"/>
  </r>
  <r>
    <x v="926"/>
    <n v="5"/>
    <x v="35"/>
    <x v="0"/>
    <s v="HO: Alerts depfile scannen"/>
    <m/>
    <s v="Runkel"/>
    <m/>
    <e v="#N/A"/>
    <e v="#N/A"/>
    <e v="#N/A"/>
    <e v="#N/A"/>
    <x v="7"/>
  </r>
  <r>
    <x v="927"/>
    <n v="5"/>
    <x v="35"/>
    <x v="0"/>
    <s v="HO: Alerts depfile scannen"/>
    <m/>
    <s v="Runkel"/>
    <m/>
    <e v="#N/A"/>
    <e v="#N/A"/>
    <e v="#N/A"/>
    <e v="#N/A"/>
    <x v="7"/>
  </r>
  <r>
    <x v="928"/>
    <n v="0.5"/>
    <x v="35"/>
    <x v="0"/>
    <s v="Besprechung: weitere Vorgehensweise"/>
    <m/>
    <s v="Runkel"/>
    <m/>
    <e v="#N/A"/>
    <e v="#N/A"/>
    <e v="#N/A"/>
    <e v="#N/A"/>
    <x v="7"/>
  </r>
  <r>
    <x v="928"/>
    <n v="5"/>
    <x v="35"/>
    <x v="0"/>
    <s v=" Alerts depfile scannen"/>
    <m/>
    <s v="Runkel"/>
    <m/>
    <e v="#N/A"/>
    <e v="#N/A"/>
    <e v="#N/A"/>
    <e v="#N/A"/>
    <x v="7"/>
  </r>
  <r>
    <x v="929"/>
    <n v="3.5"/>
    <x v="35"/>
    <x v="0"/>
    <s v="Performance Tests ADOMD.NET Schnittstelle"/>
    <m/>
    <s v="Runkel"/>
    <m/>
    <e v="#N/A"/>
    <e v="#N/A"/>
    <e v="#N/A"/>
    <e v="#N/A"/>
    <x v="7"/>
  </r>
  <r>
    <x v="930"/>
    <n v="4"/>
    <x v="35"/>
    <x v="0"/>
    <s v="HO: Performance Tests ADOMD.NET Schnittstelle"/>
    <m/>
    <s v="Runkel"/>
    <m/>
    <e v="#N/A"/>
    <e v="#N/A"/>
    <e v="#N/A"/>
    <e v="#N/A"/>
    <x v="7"/>
  </r>
  <r>
    <x v="930"/>
    <n v="1"/>
    <x v="35"/>
    <x v="0"/>
    <s v="HO: Urgo Batch Verarbeitung"/>
    <m/>
    <s v="Runkel"/>
    <m/>
    <e v="#N/A"/>
    <e v="#N/A"/>
    <e v="#N/A"/>
    <e v="#N/A"/>
    <x v="7"/>
  </r>
  <r>
    <x v="931"/>
    <n v="4"/>
    <x v="35"/>
    <x v="0"/>
    <s v="HO: AutoInstaller"/>
    <m/>
    <s v="Montermann"/>
    <m/>
    <e v="#N/A"/>
    <e v="#N/A"/>
    <e v="#N/A"/>
    <e v="#N/A"/>
    <x v="7"/>
  </r>
  <r>
    <x v="932"/>
    <n v="3"/>
    <x v="35"/>
    <x v="0"/>
    <s v="HO: AutoInstaller Setup Programm Anpassungen"/>
    <m/>
    <s v="Montermann"/>
    <m/>
    <e v="#N/A"/>
    <e v="#N/A"/>
    <e v="#N/A"/>
    <e v="#N/A"/>
    <x v="7"/>
  </r>
  <r>
    <x v="933"/>
    <n v="5"/>
    <x v="35"/>
    <x v="0"/>
    <s v="HO: Alerts"/>
    <m/>
    <s v="Runkel"/>
    <m/>
    <e v="#N/A"/>
    <e v="#N/A"/>
    <e v="#N/A"/>
    <e v="#N/A"/>
    <x v="7"/>
  </r>
  <r>
    <x v="933"/>
    <n v="2"/>
    <x v="35"/>
    <x v="0"/>
    <s v="HO: Bugfix SA Gruppen"/>
    <m/>
    <s v="Runkel"/>
    <m/>
    <e v="#N/A"/>
    <e v="#N/A"/>
    <e v="#N/A"/>
    <e v="#N/A"/>
    <x v="7"/>
  </r>
  <r>
    <x v="934"/>
    <n v="8"/>
    <x v="35"/>
    <x v="0"/>
    <s v="HO: Alerts"/>
    <m/>
    <s v="Runkel"/>
    <m/>
    <e v="#N/A"/>
    <e v="#N/A"/>
    <e v="#N/A"/>
    <e v="#N/A"/>
    <x v="7"/>
  </r>
  <r>
    <x v="935"/>
    <n v="8"/>
    <x v="35"/>
    <x v="0"/>
    <s v="HO: Alerts"/>
    <m/>
    <s v="Runkel"/>
    <m/>
    <e v="#N/A"/>
    <e v="#N/A"/>
    <e v="#N/A"/>
    <e v="#N/A"/>
    <x v="7"/>
  </r>
  <r>
    <x v="936"/>
    <n v="5"/>
    <x v="35"/>
    <x v="0"/>
    <s v="HO: Alerts Tests"/>
    <m/>
    <s v="Runkel"/>
    <m/>
    <e v="#N/A"/>
    <e v="#N/A"/>
    <e v="#N/A"/>
    <e v="#N/A"/>
    <x v="7"/>
  </r>
  <r>
    <x v="937"/>
    <n v="5"/>
    <x v="35"/>
    <x v="0"/>
    <s v="HO: Alerts Tests und Setup"/>
    <m/>
    <s v="Runkel"/>
    <m/>
    <e v="#N/A"/>
    <e v="#N/A"/>
    <e v="#N/A"/>
    <e v="#N/A"/>
    <x v="7"/>
  </r>
  <r>
    <x v="938"/>
    <n v="3"/>
    <x v="35"/>
    <x v="0"/>
    <s v="HO: SAReporter 2.2.1"/>
    <m/>
    <s v="Beschorner"/>
    <m/>
    <e v="#N/A"/>
    <e v="#N/A"/>
    <e v="#N/A"/>
    <e v="#N/A"/>
    <x v="7"/>
  </r>
  <r>
    <x v="939"/>
    <n v="4"/>
    <x v="35"/>
    <x v="0"/>
    <s v="HO: SAReporter Office 2007"/>
    <m/>
    <s v="Runkel"/>
    <m/>
    <e v="#N/A"/>
    <e v="#N/A"/>
    <e v="#N/A"/>
    <e v="#N/A"/>
    <x v="8"/>
  </r>
  <r>
    <x v="940"/>
    <n v="2"/>
    <x v="35"/>
    <x v="0"/>
    <s v="HO: SAReporter Office 2007"/>
    <m/>
    <s v="Runkel"/>
    <m/>
    <e v="#N/A"/>
    <e v="#N/A"/>
    <e v="#N/A"/>
    <e v="#N/A"/>
    <x v="8"/>
  </r>
  <r>
    <x v="941"/>
    <n v="2"/>
    <x v="35"/>
    <x v="0"/>
    <s v="HO: SAReporter Urgo"/>
    <m/>
    <s v="Runkel"/>
    <m/>
    <e v="#N/A"/>
    <e v="#N/A"/>
    <e v="#N/A"/>
    <e v="#N/A"/>
    <x v="8"/>
  </r>
  <r>
    <x v="942"/>
    <n v="3"/>
    <x v="35"/>
    <x v="0"/>
    <s v="HO: SAReporter Urgo Batch Bug"/>
    <m/>
    <s v="Runkel"/>
    <m/>
    <e v="#N/A"/>
    <e v="#N/A"/>
    <e v="#N/A"/>
    <e v="#N/A"/>
    <x v="8"/>
  </r>
  <r>
    <x v="943"/>
    <n v="3"/>
    <x v="35"/>
    <x v="0"/>
    <s v="HO: SAReporter Urgo Batch Bug"/>
    <m/>
    <s v="Runkel"/>
    <m/>
    <e v="#N/A"/>
    <e v="#N/A"/>
    <e v="#N/A"/>
    <e v="#N/A"/>
    <x v="8"/>
  </r>
  <r>
    <x v="944"/>
    <n v="6"/>
    <x v="35"/>
    <x v="0"/>
    <s v="HO: HBTCheck 2010"/>
    <m/>
    <s v="Witsch"/>
    <m/>
    <e v="#N/A"/>
    <e v="#N/A"/>
    <e v="#N/A"/>
    <e v="#N/A"/>
    <x v="8"/>
  </r>
  <r>
    <x v="944"/>
    <n v="2"/>
    <x v="35"/>
    <x v="0"/>
    <s v="HO: SAReporter Urgo Batch Bug"/>
    <m/>
    <s v="Runkel"/>
    <m/>
    <e v="#N/A"/>
    <e v="#N/A"/>
    <e v="#N/A"/>
    <e v="#N/A"/>
    <x v="8"/>
  </r>
  <r>
    <x v="945"/>
    <n v="8"/>
    <x v="35"/>
    <x v="0"/>
    <s v="HO: HBTCheck 2010"/>
    <m/>
    <s v="Witsch"/>
    <m/>
    <e v="#N/A"/>
    <e v="#N/A"/>
    <e v="#N/A"/>
    <e v="#N/A"/>
    <x v="8"/>
  </r>
  <r>
    <x v="946"/>
    <n v="6"/>
    <x v="35"/>
    <x v="0"/>
    <s v="HO: HBTCheck 2010"/>
    <m/>
    <s v="Witsch"/>
    <m/>
    <e v="#N/A"/>
    <e v="#N/A"/>
    <e v="#N/A"/>
    <e v="#N/A"/>
    <x v="8"/>
  </r>
  <r>
    <x v="947"/>
    <n v="5"/>
    <x v="35"/>
    <x v="0"/>
    <s v="HO: HBTCheck 2010"/>
    <m/>
    <s v="Witsch"/>
    <m/>
    <e v="#N/A"/>
    <e v="#N/A"/>
    <e v="#N/A"/>
    <e v="#N/A"/>
    <x v="8"/>
  </r>
  <r>
    <x v="948"/>
    <n v="4"/>
    <x v="35"/>
    <x v="0"/>
    <s v="HO: HBTCheck 2010"/>
    <m/>
    <s v="Witsch"/>
    <m/>
    <e v="#N/A"/>
    <e v="#N/A"/>
    <e v="#N/A"/>
    <e v="#N/A"/>
    <x v="8"/>
  </r>
  <r>
    <x v="949"/>
    <n v="3"/>
    <x v="35"/>
    <x v="0"/>
    <s v="HO: Bayer Kurzinfo"/>
    <m/>
    <s v="Meyer"/>
    <m/>
    <e v="#N/A"/>
    <e v="#N/A"/>
    <e v="#N/A"/>
    <e v="#N/A"/>
    <x v="8"/>
  </r>
  <r>
    <x v="950"/>
    <n v="1"/>
    <x v="35"/>
    <x v="0"/>
    <s v="HO: Bayer Kurzinfo"/>
    <m/>
    <s v="Meyer"/>
    <m/>
    <e v="#N/A"/>
    <e v="#N/A"/>
    <e v="#N/A"/>
    <e v="#N/A"/>
    <x v="8"/>
  </r>
  <r>
    <x v="951"/>
    <n v="2"/>
    <x v="35"/>
    <x v="0"/>
    <s v="HO: Bayer Kurzinfo"/>
    <m/>
    <s v="Meyer"/>
    <m/>
    <e v="#N/A"/>
    <e v="#N/A"/>
    <e v="#N/A"/>
    <e v="#N/A"/>
    <x v="8"/>
  </r>
  <r>
    <x v="952"/>
    <n v="6"/>
    <x v="35"/>
    <x v="0"/>
    <s v="HO: AutoInstaller"/>
    <m/>
    <s v="Witsch"/>
    <m/>
    <e v="#N/A"/>
    <e v="#N/A"/>
    <e v="#N/A"/>
    <e v="#N/A"/>
    <x v="8"/>
  </r>
  <r>
    <x v="953"/>
    <n v="4"/>
    <x v="35"/>
    <x v="0"/>
    <s v="HO: AutoInstaller"/>
    <m/>
    <s v="Witsch"/>
    <m/>
    <e v="#N/A"/>
    <e v="#N/A"/>
    <e v="#N/A"/>
    <e v="#N/A"/>
    <x v="8"/>
  </r>
  <r>
    <x v="953"/>
    <n v="2"/>
    <x v="35"/>
    <x v="0"/>
    <s v="Support Indien SMS"/>
    <m/>
    <s v="Schilly"/>
    <m/>
    <e v="#N/A"/>
    <e v="#N/A"/>
    <e v="#N/A"/>
    <e v="#N/A"/>
    <x v="8"/>
  </r>
  <r>
    <x v="954"/>
    <n v="4"/>
    <x v="35"/>
    <x v="0"/>
    <s v="HO: AutoInstaller"/>
    <m/>
    <s v="Witsch"/>
    <m/>
    <e v="#N/A"/>
    <e v="#N/A"/>
    <e v="#N/A"/>
    <e v="#N/A"/>
    <x v="8"/>
  </r>
  <r>
    <x v="955"/>
    <n v="1"/>
    <x v="35"/>
    <x v="0"/>
    <s v="Besprechung QualityCheck"/>
    <m/>
    <s v="Gütig"/>
    <m/>
    <e v="#N/A"/>
    <e v="#N/A"/>
    <e v="#N/A"/>
    <e v="#N/A"/>
    <x v="8"/>
  </r>
  <r>
    <x v="955"/>
    <n v="1"/>
    <x v="35"/>
    <x v="0"/>
    <s v="Besprechung SAReporter"/>
    <m/>
    <s v="Runkel"/>
    <m/>
    <e v="#N/A"/>
    <e v="#N/A"/>
    <e v="#N/A"/>
    <e v="#N/A"/>
    <x v="8"/>
  </r>
  <r>
    <x v="955"/>
    <n v="2"/>
    <x v="35"/>
    <x v="0"/>
    <s v="SAReporter Bugfixing"/>
    <m/>
    <s v="Runkel"/>
    <m/>
    <e v="#N/A"/>
    <e v="#N/A"/>
    <e v="#N/A"/>
    <e v="#N/A"/>
    <x v="8"/>
  </r>
  <r>
    <x v="956"/>
    <n v="4"/>
    <x v="35"/>
    <x v="0"/>
    <s v="HO: QualityCheck Änderungen und Bugfixing"/>
    <m/>
    <s v="Gütig"/>
    <m/>
    <e v="#N/A"/>
    <e v="#N/A"/>
    <e v="#N/A"/>
    <e v="#N/A"/>
    <x v="8"/>
  </r>
  <r>
    <x v="957"/>
    <n v="2"/>
    <x v="35"/>
    <x v="0"/>
    <s v="ISSOR"/>
    <m/>
    <s v="Borchard"/>
    <m/>
    <e v="#N/A"/>
    <e v="#N/A"/>
    <e v="#N/A"/>
    <e v="#N/A"/>
    <x v="8"/>
  </r>
  <r>
    <x v="958"/>
    <n v="8"/>
    <x v="35"/>
    <x v="0"/>
    <s v="HO: QualityCheck Änderungen und Bugfixing"/>
    <m/>
    <s v="Gütig"/>
    <m/>
    <e v="#N/A"/>
    <e v="#N/A"/>
    <e v="#N/A"/>
    <e v="#N/A"/>
    <x v="8"/>
  </r>
  <r>
    <x v="959"/>
    <n v="1"/>
    <x v="35"/>
    <x v="0"/>
    <s v="HO: SAReporter Soin Visage"/>
    <m/>
    <s v="Runkel"/>
    <m/>
    <e v="#N/A"/>
    <e v="#N/A"/>
    <e v="#N/A"/>
    <e v="#N/A"/>
    <x v="8"/>
  </r>
  <r>
    <x v="960"/>
    <n v="4"/>
    <x v="35"/>
    <x v="0"/>
    <s v="HO: QualityCheck Änderungen und Bugfixing"/>
    <m/>
    <s v="Gütig"/>
    <m/>
    <e v="#N/A"/>
    <e v="#N/A"/>
    <e v="#N/A"/>
    <e v="#N/A"/>
    <x v="8"/>
  </r>
  <r>
    <x v="960"/>
    <n v="1"/>
    <x v="35"/>
    <x v="0"/>
    <s v="Powercharts Umbenennung"/>
    <m/>
    <s v="Schilly"/>
    <m/>
    <e v="#N/A"/>
    <e v="#N/A"/>
    <e v="#N/A"/>
    <e v="#N/A"/>
    <x v="8"/>
  </r>
  <r>
    <x v="961"/>
    <n v="2"/>
    <x v="35"/>
    <x v="0"/>
    <s v="HO: HBTCheck 2010 Gemeinsame Perioden Bug + Fixierung erste Zeile"/>
    <m/>
    <s v="Witsch"/>
    <m/>
    <e v="#N/A"/>
    <e v="#N/A"/>
    <e v="#N/A"/>
    <e v="#N/A"/>
    <x v="8"/>
  </r>
  <r>
    <x v="961"/>
    <n v="2"/>
    <x v="35"/>
    <x v="0"/>
    <s v="ISSOR"/>
    <m/>
    <s v="Borchard"/>
    <m/>
    <e v="#N/A"/>
    <e v="#N/A"/>
    <e v="#N/A"/>
    <e v="#N/A"/>
    <x v="8"/>
  </r>
  <r>
    <x v="962"/>
    <n v="1"/>
    <x v="35"/>
    <x v="0"/>
    <s v="Powercharts Umbenennung + neues Setup"/>
    <m/>
    <s v="Schilly"/>
    <m/>
    <e v="#N/A"/>
    <e v="#N/A"/>
    <e v="#N/A"/>
    <e v="#N/A"/>
    <x v="8"/>
  </r>
  <r>
    <x v="963"/>
    <n v="1"/>
    <x v="35"/>
    <x v="0"/>
    <s v="HO: HBTCheck 2010 erste Zeile leer bei Actelion"/>
    <m/>
    <s v="Witsch"/>
    <m/>
    <e v="#N/A"/>
    <e v="#N/A"/>
    <e v="#N/A"/>
    <e v="#N/A"/>
    <x v="8"/>
  </r>
  <r>
    <x v="964"/>
    <n v="4"/>
    <x v="35"/>
    <x v="0"/>
    <s v="ISSOR"/>
    <m/>
    <s v="Borchard"/>
    <m/>
    <e v="#N/A"/>
    <e v="#N/A"/>
    <e v="#N/A"/>
    <e v="#N/A"/>
    <x v="8"/>
  </r>
  <r>
    <x v="965"/>
    <n v="4"/>
    <x v="35"/>
    <x v="0"/>
    <s v="ISSOR"/>
    <m/>
    <s v="Borchard"/>
    <m/>
    <e v="#N/A"/>
    <e v="#N/A"/>
    <e v="#N/A"/>
    <e v="#N/A"/>
    <x v="8"/>
  </r>
  <r>
    <x v="966"/>
    <n v="8"/>
    <x v="35"/>
    <x v="0"/>
    <s v="ISSOR"/>
    <m/>
    <s v="Borchard"/>
    <m/>
    <e v="#N/A"/>
    <e v="#N/A"/>
    <e v="#N/A"/>
    <e v="#N/A"/>
    <x v="8"/>
  </r>
  <r>
    <x v="966"/>
    <n v="2"/>
    <x v="35"/>
    <x v="0"/>
    <s v="Powercharts Support Indien"/>
    <m/>
    <s v="Schilly"/>
    <m/>
    <e v="#N/A"/>
    <e v="#N/A"/>
    <e v="#N/A"/>
    <e v="#N/A"/>
    <x v="8"/>
  </r>
  <r>
    <x v="967"/>
    <n v="2"/>
    <x v="35"/>
    <x v="0"/>
    <s v="Powercharts Support Indien"/>
    <m/>
    <s v="Schilly"/>
    <m/>
    <e v="#N/A"/>
    <e v="#N/A"/>
    <e v="#N/A"/>
    <e v="#N/A"/>
    <x v="8"/>
  </r>
  <r>
    <x v="968"/>
    <n v="6"/>
    <x v="35"/>
    <x v="0"/>
    <s v="ISSOR"/>
    <m/>
    <s v="Borchard"/>
    <m/>
    <e v="#N/A"/>
    <e v="#N/A"/>
    <e v="#N/A"/>
    <e v="#N/A"/>
    <x v="8"/>
  </r>
  <r>
    <x v="969"/>
    <n v="3"/>
    <x v="35"/>
    <x v="0"/>
    <s v="ISSOR"/>
    <m/>
    <s v="Borchard"/>
    <m/>
    <e v="#N/A"/>
    <e v="#N/A"/>
    <e v="#N/A"/>
    <e v="#N/A"/>
    <x v="8"/>
  </r>
  <r>
    <x v="970"/>
    <n v="8"/>
    <x v="35"/>
    <x v="0"/>
    <s v="HO: Powercharts 2 neue Folien"/>
    <m/>
    <s v="Schilly"/>
    <m/>
    <e v="#N/A"/>
    <e v="#N/A"/>
    <e v="#N/A"/>
    <e v="#N/A"/>
    <x v="8"/>
  </r>
  <r>
    <x v="971"/>
    <n v="6"/>
    <x v="35"/>
    <x v="0"/>
    <s v="HO: Powercharts 2 neue Folien"/>
    <m/>
    <s v="Schilly"/>
    <m/>
    <e v="#N/A"/>
    <e v="#N/A"/>
    <e v="#N/A"/>
    <e v="#N/A"/>
    <x v="8"/>
  </r>
  <r>
    <x v="971"/>
    <n v="1"/>
    <x v="35"/>
    <x v="0"/>
    <s v="HO: HBTCheck 2010 Setup Problem"/>
    <m/>
    <s v="Witsch"/>
    <m/>
    <e v="#N/A"/>
    <e v="#N/A"/>
    <e v="#N/A"/>
    <e v="#N/A"/>
    <x v="8"/>
  </r>
  <r>
    <x v="971"/>
    <n v="1"/>
    <x v="35"/>
    <x v="0"/>
    <s v="HO: Powercharts 2 neue Folien Setup und Test"/>
    <m/>
    <s v="Schilly"/>
    <m/>
    <e v="#N/A"/>
    <e v="#N/A"/>
    <e v="#N/A"/>
    <e v="#N/A"/>
    <x v="8"/>
  </r>
  <r>
    <x v="972"/>
    <n v="3"/>
    <x v="35"/>
    <x v="0"/>
    <s v="HO: HBTCheck 2010 Anpassungen"/>
    <m/>
    <s v="Witsch"/>
    <m/>
    <e v="#N/A"/>
    <e v="#N/A"/>
    <e v="#N/A"/>
    <e v="#N/A"/>
    <x v="8"/>
  </r>
  <r>
    <x v="973"/>
    <n v="1"/>
    <x v="35"/>
    <x v="0"/>
    <s v="HO: Powercharts Vorschaubild"/>
    <m/>
    <s v="Schilly"/>
    <m/>
    <e v="#N/A"/>
    <e v="#N/A"/>
    <e v="#N/A"/>
    <e v="#N/A"/>
    <x v="8"/>
  </r>
  <r>
    <x v="973"/>
    <n v="3"/>
    <x v="35"/>
    <x v="0"/>
    <s v="HO: HBTCheck 2010 stdole + Datenbank löschen"/>
    <m/>
    <s v="Witsch"/>
    <m/>
    <e v="#N/A"/>
    <e v="#N/A"/>
    <e v="#N/A"/>
    <e v="#N/A"/>
    <x v="8"/>
  </r>
  <r>
    <x v="974"/>
    <n v="1"/>
    <x v="35"/>
    <x v="0"/>
    <s v="HO: Powercharts Support Frankfurt"/>
    <m/>
    <s v="Schilly"/>
    <m/>
    <e v="#N/A"/>
    <e v="#N/A"/>
    <e v="#N/A"/>
    <e v="#N/A"/>
    <x v="8"/>
  </r>
  <r>
    <x v="975"/>
    <n v="2"/>
    <x v="35"/>
    <x v="0"/>
    <s v="HO: Powercharts Support Indien"/>
    <m/>
    <s v="Kleinfeldt"/>
    <m/>
    <e v="#N/A"/>
    <e v="#N/A"/>
    <e v="#N/A"/>
    <e v="#N/A"/>
    <x v="8"/>
  </r>
  <r>
    <x v="976"/>
    <n v="2"/>
    <x v="35"/>
    <x v="0"/>
    <s v="Powercharts Support Indien"/>
    <m/>
    <s v="Kleinfeldt"/>
    <m/>
    <e v="#N/A"/>
    <e v="#N/A"/>
    <e v="#N/A"/>
    <e v="#N/A"/>
    <x v="8"/>
  </r>
  <r>
    <x v="976"/>
    <n v="1.5"/>
    <x v="35"/>
    <x v="0"/>
    <s v="Besprechung"/>
    <m/>
    <s v="Borchard"/>
    <m/>
    <e v="#N/A"/>
    <e v="#N/A"/>
    <e v="#N/A"/>
    <e v="#N/A"/>
    <x v="8"/>
  </r>
  <r>
    <x v="976"/>
    <n v="0.5"/>
    <x v="35"/>
    <x v="0"/>
    <s v="Besprechung"/>
    <m/>
    <s v="Gütig"/>
    <m/>
    <e v="#N/A"/>
    <e v="#N/A"/>
    <e v="#N/A"/>
    <e v="#N/A"/>
    <x v="8"/>
  </r>
  <r>
    <x v="976"/>
    <n v="2"/>
    <x v="35"/>
    <x v="0"/>
    <s v="HO: Sapping benutzerunabh. Datenpfad"/>
    <m/>
    <s v="Borchard"/>
    <m/>
    <e v="#N/A"/>
    <e v="#N/A"/>
    <e v="#N/A"/>
    <e v="#N/A"/>
    <x v="8"/>
  </r>
  <r>
    <x v="977"/>
    <n v="3"/>
    <x v="35"/>
    <x v="0"/>
    <s v="HO: Sapping benutzerunabh. Datenpfad"/>
    <m/>
    <s v="Borchard"/>
    <m/>
    <e v="#N/A"/>
    <e v="#N/A"/>
    <e v="#N/A"/>
    <e v="#N/A"/>
    <x v="8"/>
  </r>
  <r>
    <x v="978"/>
    <n v="4"/>
    <x v="35"/>
    <x v="0"/>
    <s v="HO: Sapping benutzerunabh. Datenpfad"/>
    <m/>
    <s v="Borchard"/>
    <m/>
    <e v="#N/A"/>
    <e v="#N/A"/>
    <e v="#N/A"/>
    <e v="#N/A"/>
    <x v="8"/>
  </r>
  <r>
    <x v="979"/>
    <n v="2"/>
    <x v="35"/>
    <x v="0"/>
    <s v="Produktionsportal Besprechung"/>
    <m/>
    <s v="Witsch"/>
    <m/>
    <e v="#N/A"/>
    <e v="#N/A"/>
    <e v="#N/A"/>
    <e v="#N/A"/>
    <x v="8"/>
  </r>
  <r>
    <x v="980"/>
    <n v="2"/>
    <x v="35"/>
    <x v="0"/>
    <s v="HO: Sapping benutzerunabh. Datenpfad + ISSOR"/>
    <m/>
    <s v="Borchard"/>
    <m/>
    <e v="#N/A"/>
    <e v="#N/A"/>
    <e v="#N/A"/>
    <e v="#N/A"/>
    <x v="8"/>
  </r>
  <r>
    <x v="980"/>
    <n v="2"/>
    <x v="35"/>
    <x v="0"/>
    <s v="HO: Sapping ISSOR Dimension Aufteilung"/>
    <m/>
    <s v="Borchard"/>
    <m/>
    <e v="#N/A"/>
    <e v="#N/A"/>
    <e v="#N/A"/>
    <e v="#N/A"/>
    <x v="8"/>
  </r>
  <r>
    <x v="981"/>
    <n v="4"/>
    <x v="35"/>
    <x v="0"/>
    <s v="HO: Sapping ISSOR Dimension Aufteilung"/>
    <m/>
    <s v="Borchard"/>
    <m/>
    <e v="#N/A"/>
    <e v="#N/A"/>
    <e v="#N/A"/>
    <e v="#N/A"/>
    <x v="8"/>
  </r>
  <r>
    <x v="982"/>
    <n v="3"/>
    <x v="35"/>
    <x v="0"/>
    <s v="HO: Sapping ISSOR Dimension Fachrichtung"/>
    <m/>
    <s v="Borchard"/>
    <m/>
    <e v="#N/A"/>
    <e v="#N/A"/>
    <e v="#N/A"/>
    <e v="#N/A"/>
    <x v="8"/>
  </r>
  <r>
    <x v="983"/>
    <n v="3"/>
    <x v="35"/>
    <x v="0"/>
    <s v="HO: QualityCheck PDS-XPO Änderung"/>
    <m/>
    <s v="Gütig"/>
    <m/>
    <e v="#N/A"/>
    <e v="#N/A"/>
    <e v="#N/A"/>
    <e v="#N/A"/>
    <x v="8"/>
  </r>
  <r>
    <x v="984"/>
    <n v="6"/>
    <x v="35"/>
    <x v="0"/>
    <s v="HO: Sapping ISSOR keine Werte für PRX"/>
    <m/>
    <s v="Borchard"/>
    <m/>
    <e v="#N/A"/>
    <e v="#N/A"/>
    <e v="#N/A"/>
    <e v="#N/A"/>
    <x v="8"/>
  </r>
  <r>
    <x v="985"/>
    <n v="3"/>
    <x v="35"/>
    <x v="0"/>
    <s v="HO: Sapping ISSOR keine Werte für PRX"/>
    <m/>
    <s v="Borchard"/>
    <m/>
    <e v="#N/A"/>
    <e v="#N/A"/>
    <e v="#N/A"/>
    <e v="#N/A"/>
    <x v="8"/>
  </r>
  <r>
    <x v="986"/>
    <n v="4"/>
    <x v="35"/>
    <x v="0"/>
    <s v="HO: Produktionsportal Einrichtung lokal, Einarbeitung"/>
    <m/>
    <s v="Witsch"/>
    <m/>
    <e v="#N/A"/>
    <e v="#N/A"/>
    <e v="#N/A"/>
    <e v="#N/A"/>
    <x v="8"/>
  </r>
  <r>
    <x v="987"/>
    <n v="4"/>
    <x v="35"/>
    <x v="0"/>
    <s v="HO: Produktionsportal Einrichtung lokal, Einarbeitung"/>
    <m/>
    <s v="Witsch"/>
    <m/>
    <e v="#N/A"/>
    <e v="#N/A"/>
    <e v="#N/A"/>
    <e v="#N/A"/>
    <x v="8"/>
  </r>
  <r>
    <x v="988"/>
    <n v="2"/>
    <x v="35"/>
    <x v="0"/>
    <s v="Powercharts Installationsdatei"/>
    <m/>
    <s v="Schilly"/>
    <m/>
    <e v="#N/A"/>
    <e v="#N/A"/>
    <e v="#N/A"/>
    <e v="#N/A"/>
    <x v="8"/>
  </r>
  <r>
    <x v="988"/>
    <n v="2"/>
    <x v="35"/>
    <x v="0"/>
    <s v="HO: QualityCheck Änderungen und Bugfixing"/>
    <m/>
    <s v="Gütig"/>
    <m/>
    <e v="#N/A"/>
    <e v="#N/A"/>
    <e v="#N/A"/>
    <e v="#N/A"/>
    <x v="8"/>
  </r>
  <r>
    <x v="989"/>
    <n v="3"/>
    <x v="35"/>
    <x v="0"/>
    <s v="HO: QualityCheck Änderungen PDS-XPO"/>
    <m/>
    <s v="Gütig"/>
    <m/>
    <e v="#N/A"/>
    <e v="#N/A"/>
    <e v="#N/A"/>
    <e v="#N/A"/>
    <x v="8"/>
  </r>
  <r>
    <x v="990"/>
    <n v="5"/>
    <x v="35"/>
    <x v="0"/>
    <s v="HO: QualityCheck Änderungen PDS-XPO"/>
    <m/>
    <s v="Gütig"/>
    <m/>
    <e v="#N/A"/>
    <e v="#N/A"/>
    <e v="#N/A"/>
    <e v="#N/A"/>
    <x v="8"/>
  </r>
  <r>
    <x v="991"/>
    <n v="4"/>
    <x v="35"/>
    <x v="0"/>
    <s v="HO: PP Abrechnungssystem"/>
    <m/>
    <s v="Witsch"/>
    <m/>
    <e v="#N/A"/>
    <e v="#N/A"/>
    <e v="#N/A"/>
    <e v="#N/A"/>
    <x v="8"/>
  </r>
  <r>
    <x v="992"/>
    <n v="4"/>
    <x v="35"/>
    <x v="0"/>
    <s v="HO: PP Abrechnungssystem"/>
    <m/>
    <s v="Witsch"/>
    <m/>
    <e v="#N/A"/>
    <e v="#N/A"/>
    <e v="#N/A"/>
    <e v="#N/A"/>
    <x v="8"/>
  </r>
  <r>
    <x v="993"/>
    <n v="4"/>
    <x v="35"/>
    <x v="0"/>
    <s v="HO: PP Abrechnungssystem"/>
    <m/>
    <s v="Witsch"/>
    <m/>
    <e v="#N/A"/>
    <e v="#N/A"/>
    <e v="#N/A"/>
    <e v="#N/A"/>
    <x v="8"/>
  </r>
  <r>
    <x v="994"/>
    <n v="1"/>
    <x v="35"/>
    <x v="0"/>
    <s v="PP Abrechnungssystem Besprechung"/>
    <m/>
    <s v="Witsch"/>
    <m/>
    <e v="#N/A"/>
    <e v="#N/A"/>
    <e v="#N/A"/>
    <e v="#N/A"/>
    <x v="8"/>
  </r>
  <r>
    <x v="994"/>
    <n v="4"/>
    <x v="35"/>
    <x v="0"/>
    <s v="HO: PP Abrechnungssystem"/>
    <m/>
    <s v="Witsch"/>
    <m/>
    <e v="#N/A"/>
    <e v="#N/A"/>
    <e v="#N/A"/>
    <e v="#N/A"/>
    <x v="8"/>
  </r>
  <r>
    <x v="995"/>
    <n v="4"/>
    <x v="35"/>
    <x v="0"/>
    <s v="HO: PP Abrechnungssystem"/>
    <m/>
    <s v="Witsch"/>
    <m/>
    <e v="#N/A"/>
    <e v="#N/A"/>
    <e v="#N/A"/>
    <e v="#N/A"/>
    <x v="8"/>
  </r>
  <r>
    <x v="996"/>
    <n v="4"/>
    <x v="35"/>
    <x v="0"/>
    <s v="HO: PP Abrechnungssystem"/>
    <m/>
    <s v="Witsch"/>
    <m/>
    <e v="#N/A"/>
    <e v="#N/A"/>
    <e v="#N/A"/>
    <e v="#N/A"/>
    <x v="8"/>
  </r>
  <r>
    <x v="997"/>
    <n v="4"/>
    <x v="35"/>
    <x v="0"/>
    <s v="HO: PP Berichtsart RPM85"/>
    <m/>
    <s v="Witsch"/>
    <m/>
    <e v="#N/A"/>
    <e v="#N/A"/>
    <e v="#N/A"/>
    <e v="#N/A"/>
    <x v="8"/>
  </r>
  <r>
    <x v="997"/>
    <n v="1"/>
    <x v="35"/>
    <x v="0"/>
    <s v="HO: Sapping zweisprachig"/>
    <m/>
    <s v="Borchard"/>
    <m/>
    <e v="#N/A"/>
    <e v="#N/A"/>
    <e v="#N/A"/>
    <e v="#N/A"/>
    <x v="8"/>
  </r>
  <r>
    <x v="998"/>
    <n v="4"/>
    <x v="35"/>
    <x v="0"/>
    <s v="HO: Sapping MG Zähleinheiten + 1000er Division"/>
    <m/>
    <s v="Borchard"/>
    <m/>
    <e v="#N/A"/>
    <e v="#N/A"/>
    <e v="#N/A"/>
    <e v="#N/A"/>
    <x v="8"/>
  </r>
  <r>
    <x v="999"/>
    <n v="4"/>
    <x v="35"/>
    <x v="0"/>
    <s v="HO: PP Abrechnungssystem"/>
    <m/>
    <s v="Witsch"/>
    <m/>
    <e v="#N/A"/>
    <e v="#N/A"/>
    <e v="#N/A"/>
    <e v="#N/A"/>
    <x v="8"/>
  </r>
  <r>
    <x v="1000"/>
    <n v="4"/>
    <x v="35"/>
    <x v="0"/>
    <s v="HO: PP Abrechnungssystem"/>
    <m/>
    <s v="Witsch"/>
    <m/>
    <e v="#N/A"/>
    <e v="#N/A"/>
    <e v="#N/A"/>
    <e v="#N/A"/>
    <x v="8"/>
  </r>
  <r>
    <x v="1001"/>
    <n v="4"/>
    <x v="35"/>
    <x v="0"/>
    <s v="HO: PP Abrechnungssystem"/>
    <m/>
    <s v="Witsch"/>
    <m/>
    <e v="#N/A"/>
    <e v="#N/A"/>
    <e v="#N/A"/>
    <e v="#N/A"/>
    <x v="8"/>
  </r>
  <r>
    <x v="1002"/>
    <n v="8"/>
    <x v="35"/>
    <x v="0"/>
    <s v="HO: PP Abrechnungssystem"/>
    <m/>
    <s v="Witsch"/>
    <m/>
    <e v="#N/A"/>
    <e v="#N/A"/>
    <e v="#N/A"/>
    <e v="#N/A"/>
    <x v="8"/>
  </r>
  <r>
    <x v="1003"/>
    <n v="8"/>
    <x v="35"/>
    <x v="0"/>
    <s v="HO: PP Abrechnungssystem"/>
    <m/>
    <s v="Witsch"/>
    <m/>
    <e v="#N/A"/>
    <e v="#N/A"/>
    <e v="#N/A"/>
    <e v="#N/A"/>
    <x v="8"/>
  </r>
  <r>
    <x v="1004"/>
    <n v="4"/>
    <x v="35"/>
    <x v="0"/>
    <s v="HO: PP ComponentOne"/>
    <m/>
    <s v="Witsch"/>
    <m/>
    <e v="#N/A"/>
    <e v="#N/A"/>
    <e v="#N/A"/>
    <e v="#N/A"/>
    <x v="8"/>
  </r>
  <r>
    <x v="1005"/>
    <n v="4"/>
    <x v="35"/>
    <x v="0"/>
    <s v="HO: PP ComponentOne"/>
    <m/>
    <s v="Witsch"/>
    <m/>
    <e v="#N/A"/>
    <e v="#N/A"/>
    <e v="#N/A"/>
    <e v="#N/A"/>
    <x v="8"/>
  </r>
  <r>
    <x v="1006"/>
    <n v="1"/>
    <x v="35"/>
    <x v="0"/>
    <s v="HO: SAReporter Formatierung"/>
    <m/>
    <s v="Runkel"/>
    <m/>
    <e v="#N/A"/>
    <e v="#N/A"/>
    <e v="#N/A"/>
    <e v="#N/A"/>
    <x v="8"/>
  </r>
  <r>
    <x v="1007"/>
    <n v="2"/>
    <x v="35"/>
    <x v="0"/>
    <s v="HO: SAReporter Formatierung"/>
    <m/>
    <s v="Runkel"/>
    <m/>
    <e v="#N/A"/>
    <e v="#N/A"/>
    <e v="#N/A"/>
    <e v="#N/A"/>
    <x v="8"/>
  </r>
  <r>
    <x v="1008"/>
    <n v="1"/>
    <x v="35"/>
    <x v="0"/>
    <s v="HO: PP RPM85"/>
    <m/>
    <s v="Witsch"/>
    <m/>
    <e v="#N/A"/>
    <e v="#N/A"/>
    <e v="#N/A"/>
    <e v="#N/A"/>
    <x v="8"/>
  </r>
  <r>
    <x v="1009"/>
    <n v="1"/>
    <x v="35"/>
    <x v="0"/>
    <s v="HO: PP Administration"/>
    <m/>
    <s v="Witsch"/>
    <m/>
    <e v="#N/A"/>
    <e v="#N/A"/>
    <e v="#N/A"/>
    <e v="#N/A"/>
    <x v="8"/>
  </r>
  <r>
    <x v="1010"/>
    <n v="2"/>
    <x v="35"/>
    <x v="0"/>
    <s v="Powercharts Support"/>
    <m/>
    <s v="Schilly"/>
    <m/>
    <e v="#N/A"/>
    <e v="#N/A"/>
    <e v="#N/A"/>
    <e v="#N/A"/>
    <x v="8"/>
  </r>
  <r>
    <x v="1010"/>
    <n v="1"/>
    <x v="35"/>
    <x v="0"/>
    <s v=" PP Besprechungen"/>
    <m/>
    <s v="Witsch"/>
    <m/>
    <e v="#N/A"/>
    <e v="#N/A"/>
    <e v="#N/A"/>
    <e v="#N/A"/>
    <x v="8"/>
  </r>
  <r>
    <x v="1010"/>
    <n v="1"/>
    <x v="35"/>
    <x v="0"/>
    <s v="Besprechnung Subterritory Builder"/>
    <m/>
    <s v="Becker-Pertoft"/>
    <m/>
    <e v="#N/A"/>
    <e v="#N/A"/>
    <e v="#N/A"/>
    <e v="#N/A"/>
    <x v="8"/>
  </r>
  <r>
    <x v="1010"/>
    <n v="1"/>
    <x v="35"/>
    <x v="0"/>
    <s v="PP: Adam"/>
    <m/>
    <s v="Witsch"/>
    <m/>
    <e v="#N/A"/>
    <e v="#N/A"/>
    <e v="#N/A"/>
    <e v="#N/A"/>
    <x v="8"/>
  </r>
  <r>
    <x v="1011"/>
    <n v="2"/>
    <x v="35"/>
    <x v="0"/>
    <s v="HO: QualityCheck VDS-PHS"/>
    <m/>
    <s v="Gütig"/>
    <m/>
    <e v="#N/A"/>
    <e v="#N/A"/>
    <e v="#N/A"/>
    <e v="#N/A"/>
    <x v="8"/>
  </r>
  <r>
    <x v="1012"/>
    <n v="4"/>
    <x v="35"/>
    <x v="0"/>
    <s v="HO: PP LIFO auf FIFO umgestellt"/>
    <m/>
    <s v="Witsch"/>
    <m/>
    <e v="#N/A"/>
    <e v="#N/A"/>
    <e v="#N/A"/>
    <e v="#N/A"/>
    <x v="8"/>
  </r>
  <r>
    <x v="1013"/>
    <n v="6"/>
    <x v="35"/>
    <x v="0"/>
    <s v="HO: ST-Builder"/>
    <m/>
    <s v="Becker-Pertoft"/>
    <m/>
    <e v="#N/A"/>
    <e v="#N/A"/>
    <e v="#N/A"/>
    <e v="#N/A"/>
    <x v="8"/>
  </r>
  <r>
    <x v="1013"/>
    <n v="1"/>
    <x v="35"/>
    <x v="0"/>
    <s v="HO: PP LIFO auf FIFO umgestellt"/>
    <m/>
    <s v="Witsch"/>
    <m/>
    <e v="#N/A"/>
    <e v="#N/A"/>
    <e v="#N/A"/>
    <e v="#N/A"/>
    <x v="8"/>
  </r>
  <r>
    <x v="1013"/>
    <n v="1"/>
    <x v="35"/>
    <x v="0"/>
    <s v="HO: QualityCheck VDS-PHS"/>
    <m/>
    <s v="Gütig"/>
    <m/>
    <e v="#N/A"/>
    <e v="#N/A"/>
    <e v="#N/A"/>
    <e v="#N/A"/>
    <x v="8"/>
  </r>
  <r>
    <x v="1014"/>
    <n v="8"/>
    <x v="35"/>
    <x v="0"/>
    <s v="HO: ST-Builder"/>
    <m/>
    <s v="Becker-Pertoft"/>
    <m/>
    <e v="#N/A"/>
    <e v="#N/A"/>
    <e v="#N/A"/>
    <e v="#N/A"/>
    <x v="8"/>
  </r>
  <r>
    <x v="1015"/>
    <n v="8"/>
    <x v="35"/>
    <x v="0"/>
    <s v="HO: ST-Builder"/>
    <m/>
    <s v="Becker-Pertoft"/>
    <m/>
    <e v="#N/A"/>
    <e v="#N/A"/>
    <e v="#N/A"/>
    <e v="#N/A"/>
    <x v="8"/>
  </r>
  <r>
    <x v="1016"/>
    <n v="1"/>
    <x v="35"/>
    <x v="0"/>
    <s v="HO: PP Administration"/>
    <m/>
    <s v="Witsch"/>
    <m/>
    <e v="#N/A"/>
    <e v="#N/A"/>
    <e v="#N/A"/>
    <e v="#N/A"/>
    <x v="8"/>
  </r>
  <r>
    <x v="1016"/>
    <n v="5"/>
    <x v="35"/>
    <x v="0"/>
    <s v="HO: ST-Builder"/>
    <m/>
    <s v="Becker-Pertoft"/>
    <m/>
    <e v="#N/A"/>
    <e v="#N/A"/>
    <e v="#N/A"/>
    <e v="#N/A"/>
    <x v="8"/>
  </r>
  <r>
    <x v="1017"/>
    <n v="2"/>
    <x v="35"/>
    <x v="0"/>
    <s v="HO: ST-Builder"/>
    <m/>
    <s v="Becker-Pertoft"/>
    <m/>
    <e v="#N/A"/>
    <e v="#N/A"/>
    <e v="#N/A"/>
    <e v="#N/A"/>
    <x v="8"/>
  </r>
  <r>
    <x v="1018"/>
    <n v="1"/>
    <x v="35"/>
    <x v="0"/>
    <s v="HO: PP Administration"/>
    <m/>
    <s v="Witsch"/>
    <m/>
    <e v="#N/A"/>
    <e v="#N/A"/>
    <e v="#N/A"/>
    <e v="#N/A"/>
    <x v="8"/>
  </r>
  <r>
    <x v="1018"/>
    <n v="1"/>
    <x v="35"/>
    <x v="0"/>
    <s v="HO: ST-Builder"/>
    <m/>
    <s v="Becker-Pertoft"/>
    <m/>
    <e v="#N/A"/>
    <e v="#N/A"/>
    <e v="#N/A"/>
    <e v="#N/A"/>
    <x v="8"/>
  </r>
  <r>
    <x v="1019"/>
    <n v="4"/>
    <x v="35"/>
    <x v="0"/>
    <s v="HO: PP Anpassung Prodesis Export Mehrfachauswahl"/>
    <m/>
    <s v="Witsch"/>
    <m/>
    <e v="#N/A"/>
    <e v="#N/A"/>
    <e v="#N/A"/>
    <e v="#N/A"/>
    <x v="8"/>
  </r>
  <r>
    <x v="1019"/>
    <n v="2"/>
    <x v="35"/>
    <x v="0"/>
    <s v="HO: ST-Builder"/>
    <m/>
    <s v="Becker-Pertoft"/>
    <m/>
    <e v="#N/A"/>
    <e v="#N/A"/>
    <e v="#N/A"/>
    <e v="#N/A"/>
    <x v="8"/>
  </r>
  <r>
    <x v="1020"/>
    <n v="1"/>
    <x v="35"/>
    <x v="0"/>
    <s v="HO: PP Administration"/>
    <m/>
    <s v="Witsch"/>
    <m/>
    <e v="#N/A"/>
    <e v="#N/A"/>
    <e v="#N/A"/>
    <e v="#N/A"/>
    <x v="8"/>
  </r>
  <r>
    <x v="1021"/>
    <n v="2"/>
    <x v="35"/>
    <x v="0"/>
    <s v="HO: PP ProdCopy"/>
    <m/>
    <s v="Hornbruch"/>
    <m/>
    <e v="#N/A"/>
    <e v="#N/A"/>
    <e v="#N/A"/>
    <e v="#N/A"/>
    <x v="8"/>
  </r>
  <r>
    <x v="1021"/>
    <n v="2"/>
    <x v="35"/>
    <x v="0"/>
    <s v="HO: ST-Builder genzyme 2"/>
    <m/>
    <s v="Becker-Pertoft"/>
    <m/>
    <e v="#N/A"/>
    <e v="#N/A"/>
    <e v="#N/A"/>
    <e v="#N/A"/>
    <x v="8"/>
  </r>
  <r>
    <x v="1022"/>
    <n v="4"/>
    <x v="35"/>
    <x v="0"/>
    <s v="HO: ST-Builder genzyme 2"/>
    <m/>
    <s v="Becker-Pertoft"/>
    <m/>
    <e v="#N/A"/>
    <e v="#N/A"/>
    <e v="#N/A"/>
    <e v="#N/A"/>
    <x v="8"/>
  </r>
  <r>
    <x v="1009"/>
    <n v="2"/>
    <x v="35"/>
    <x v="0"/>
    <s v="HO: AutoInstaller"/>
    <m/>
    <s v="Witsch"/>
    <m/>
    <e v="#N/A"/>
    <e v="#N/A"/>
    <e v="#N/A"/>
    <e v="#N/A"/>
    <x v="8"/>
  </r>
  <r>
    <x v="1012"/>
    <n v="5"/>
    <x v="35"/>
    <x v="0"/>
    <s v="HO: ProdCopy"/>
    <m/>
    <s v="Hornbruch"/>
    <m/>
    <e v="#N/A"/>
    <e v="#N/A"/>
    <e v="#N/A"/>
    <e v="#N/A"/>
    <x v="8"/>
  </r>
  <r>
    <x v="1023"/>
    <n v="4"/>
    <x v="35"/>
    <x v="0"/>
    <s v="HO: PP Anpassung Ascii Export Mehrfachauswahl"/>
    <m/>
    <s v="Witsch"/>
    <m/>
    <e v="#N/A"/>
    <e v="#N/A"/>
    <e v="#N/A"/>
    <e v="#N/A"/>
    <x v="8"/>
  </r>
  <r>
    <x v="1024"/>
    <n v="1"/>
    <x v="35"/>
    <x v="0"/>
    <s v="HO: PP Support"/>
    <m/>
    <s v="Neumer"/>
    <m/>
    <e v="#N/A"/>
    <e v="#N/A"/>
    <e v="#N/A"/>
    <e v="#N/A"/>
    <x v="9"/>
  </r>
  <r>
    <x v="1024"/>
    <n v="1"/>
    <x v="35"/>
    <x v="0"/>
    <s v="HO: Sapping Support"/>
    <m/>
    <s v="Runkel"/>
    <m/>
    <e v="#N/A"/>
    <e v="#N/A"/>
    <e v="#N/A"/>
    <e v="#N/A"/>
    <x v="9"/>
  </r>
  <r>
    <x v="1025"/>
    <n v="2"/>
    <x v="35"/>
    <x v="0"/>
    <s v="HO: Procter Ausblenden Handelsformlevel"/>
    <m/>
    <s v="Runkel"/>
    <m/>
    <e v="#N/A"/>
    <e v="#N/A"/>
    <e v="#N/A"/>
    <e v="#N/A"/>
    <x v="9"/>
  </r>
  <r>
    <x v="1026"/>
    <n v="5"/>
    <x v="35"/>
    <x v="0"/>
    <s v="HO: HBT Check Erweiterung BRD-Level Measures &lt;= 0"/>
    <m/>
    <s v="Witsch"/>
    <m/>
    <e v="#N/A"/>
    <e v="#N/A"/>
    <e v="#N/A"/>
    <e v="#N/A"/>
    <x v="9"/>
  </r>
  <r>
    <x v="1027"/>
    <n v="1"/>
    <x v="35"/>
    <x v="0"/>
    <s v="HO: HBT Check Erweiterung BRD-Level Measures &lt;= 0"/>
    <m/>
    <s v="Witsch"/>
    <m/>
    <e v="#N/A"/>
    <e v="#N/A"/>
    <e v="#N/A"/>
    <e v="#N/A"/>
    <x v="9"/>
  </r>
  <r>
    <x v="1027"/>
    <n v="5"/>
    <x v="35"/>
    <x v="0"/>
    <s v="HO: Procter Ausblenden weitere Elemente"/>
    <m/>
    <s v="Runkel"/>
    <m/>
    <e v="#N/A"/>
    <e v="#N/A"/>
    <e v="#N/A"/>
    <e v="#N/A"/>
    <x v="9"/>
  </r>
  <r>
    <x v="1028"/>
    <n v="2"/>
    <x v="35"/>
    <x v="0"/>
    <s v="HO: Procter "/>
    <m/>
    <s v="Runkel"/>
    <m/>
    <e v="#N/A"/>
    <e v="#N/A"/>
    <e v="#N/A"/>
    <e v="#N/A"/>
    <x v="9"/>
  </r>
  <r>
    <x v="1029"/>
    <n v="2"/>
    <x v="35"/>
    <x v="0"/>
    <s v="HO: ProdCopy"/>
    <m/>
    <s v="Hornbruch"/>
    <m/>
    <e v="#N/A"/>
    <e v="#N/A"/>
    <e v="#N/A"/>
    <e v="#N/A"/>
    <x v="9"/>
  </r>
  <r>
    <x v="1030"/>
    <n v="2"/>
    <x v="35"/>
    <x v="0"/>
    <s v="HO: HBT Check Dr.Kade"/>
    <m/>
    <s v="Witsch"/>
    <m/>
    <e v="#N/A"/>
    <e v="#N/A"/>
    <e v="#N/A"/>
    <e v="#N/A"/>
    <x v="9"/>
  </r>
  <r>
    <x v="1031"/>
    <n v="2"/>
    <x v="35"/>
    <x v="0"/>
    <s v="Home: Powercharts Support"/>
    <m/>
    <s v="Schilly"/>
    <m/>
    <e v="#N/A"/>
    <e v="#N/A"/>
    <e v="#N/A"/>
    <e v="#N/A"/>
    <x v="9"/>
  </r>
  <r>
    <x v="1032"/>
    <n v="1"/>
    <x v="35"/>
    <x v="0"/>
    <s v="HO: PP Support"/>
    <m/>
    <s v="Neumer"/>
    <m/>
    <e v="#N/A"/>
    <e v="#N/A"/>
    <e v="#N/A"/>
    <e v="#N/A"/>
    <x v="9"/>
  </r>
  <r>
    <x v="1033"/>
    <n v="1"/>
    <x v="35"/>
    <x v="0"/>
    <s v="HO: QualityCheck PDS-XPO Support"/>
    <m/>
    <s v="Gütig"/>
    <m/>
    <e v="#N/A"/>
    <e v="#N/A"/>
    <e v="#N/A"/>
    <e v="#N/A"/>
    <x v="9"/>
  </r>
  <r>
    <x v="1034"/>
    <n v="2"/>
    <x v="35"/>
    <x v="0"/>
    <s v="HO: QualityCheck PDS-XPO Änderung"/>
    <m/>
    <s v="Gütig"/>
    <m/>
    <e v="#N/A"/>
    <e v="#N/A"/>
    <e v="#N/A"/>
    <e v="#N/A"/>
    <x v="9"/>
  </r>
  <r>
    <x v="1034"/>
    <n v="5"/>
    <x v="35"/>
    <x v="0"/>
    <s v="HO: SAPP Grobkonzept"/>
    <m/>
    <s v="Herd"/>
    <m/>
    <e v="#N/A"/>
    <e v="#N/A"/>
    <e v="#N/A"/>
    <e v="#N/A"/>
    <x v="9"/>
  </r>
  <r>
    <x v="1035"/>
    <n v="3"/>
    <x v="35"/>
    <x v="0"/>
    <s v="HO: QualityCheck PDS-XPO Bugfixing"/>
    <m/>
    <s v="Gütig"/>
    <m/>
    <e v="#N/A"/>
    <e v="#N/A"/>
    <e v="#N/A"/>
    <e v="#N/A"/>
    <x v="9"/>
  </r>
  <r>
    <x v="1035"/>
    <n v="2"/>
    <x v="35"/>
    <x v="0"/>
    <s v="HO: imsSApp Service"/>
    <m/>
    <s v="Herd"/>
    <m/>
    <e v="#N/A"/>
    <e v="#N/A"/>
    <e v="#N/A"/>
    <e v="#N/A"/>
    <x v="9"/>
  </r>
  <r>
    <x v="1036"/>
    <n v="4"/>
    <x v="35"/>
    <x v="0"/>
    <s v="HO: imsSApp Service Entwurf"/>
    <m/>
    <s v="Herd"/>
    <m/>
    <e v="#N/A"/>
    <e v="#N/A"/>
    <e v="#N/A"/>
    <e v="#N/A"/>
    <x v="9"/>
  </r>
  <r>
    <x v="1037"/>
    <n v="4"/>
    <x v="35"/>
    <x v="0"/>
    <s v="HO: imsSApp Service Entwurf"/>
    <m/>
    <s v="Herd"/>
    <m/>
    <e v="#N/A"/>
    <e v="#N/A"/>
    <e v="#N/A"/>
    <e v="#N/A"/>
    <x v="9"/>
  </r>
  <r>
    <x v="1038"/>
    <n v="2"/>
    <x v="35"/>
    <x v="0"/>
    <s v="HO: imsSApp Service Entwurf"/>
    <m/>
    <s v="Herd"/>
    <m/>
    <e v="#N/A"/>
    <e v="#N/A"/>
    <e v="#N/A"/>
    <e v="#N/A"/>
    <x v="9"/>
  </r>
  <r>
    <x v="1039"/>
    <n v="4"/>
    <x v="35"/>
    <x v="0"/>
    <s v="HO: imsSApp Copy Flow Chart"/>
    <m/>
    <s v="Herd"/>
    <m/>
    <e v="#N/A"/>
    <e v="#N/A"/>
    <e v="#N/A"/>
    <e v="#N/A"/>
    <x v="9"/>
  </r>
  <r>
    <x v="1040"/>
    <n v="4"/>
    <x v="35"/>
    <x v="0"/>
    <s v="HO: HBTCheck 2010 Dr.Kade All Elemente"/>
    <m/>
    <s v="Witsch"/>
    <m/>
    <e v="#N/A"/>
    <e v="#N/A"/>
    <e v="#N/A"/>
    <e v="#N/A"/>
    <x v="9"/>
  </r>
  <r>
    <x v="1041"/>
    <n v="4"/>
    <x v="35"/>
    <x v="0"/>
    <s v="HO: imsSApp Entwurf"/>
    <m/>
    <s v="Herd"/>
    <m/>
    <e v="#N/A"/>
    <e v="#N/A"/>
    <e v="#N/A"/>
    <e v="#N/A"/>
    <x v="9"/>
  </r>
  <r>
    <x v="1042"/>
    <n v="2"/>
    <x v="35"/>
    <x v="0"/>
    <s v="HO: HBTCheck 2010 Dr.Kade All Elemente"/>
    <m/>
    <s v="Witsch"/>
    <m/>
    <e v="#N/A"/>
    <e v="#N/A"/>
    <e v="#N/A"/>
    <e v="#N/A"/>
    <x v="9"/>
  </r>
  <r>
    <x v="1043"/>
    <n v="4"/>
    <x v="35"/>
    <x v="0"/>
    <s v="HO: imsSApp Entwurf"/>
    <m/>
    <s v="Herd"/>
    <m/>
    <e v="#N/A"/>
    <e v="#N/A"/>
    <e v="#N/A"/>
    <e v="#N/A"/>
    <x v="9"/>
  </r>
  <r>
    <x v="1044"/>
    <n v="4"/>
    <x v="35"/>
    <x v="0"/>
    <s v="HO: imsSApp Entwurf"/>
    <m/>
    <s v="Herd"/>
    <m/>
    <e v="#N/A"/>
    <e v="#N/A"/>
    <e v="#N/A"/>
    <e v="#N/A"/>
    <x v="9"/>
  </r>
  <r>
    <x v="1045"/>
    <n v="4"/>
    <x v="35"/>
    <x v="0"/>
    <s v="HO: imsSApp Entwurf"/>
    <m/>
    <s v="Herd"/>
    <m/>
    <e v="#N/A"/>
    <e v="#N/A"/>
    <e v="#N/A"/>
    <e v="#N/A"/>
    <x v="9"/>
  </r>
  <r>
    <x v="1046"/>
    <n v="6"/>
    <x v="35"/>
    <x v="0"/>
    <s v="AutoInstaller Sichtbarkeit"/>
    <m/>
    <s v="Herd"/>
    <m/>
    <e v="#N/A"/>
    <e v="#N/A"/>
    <e v="#N/A"/>
    <e v="#N/A"/>
    <x v="9"/>
  </r>
  <r>
    <x v="1047"/>
    <n v="4"/>
    <x v="35"/>
    <x v="0"/>
    <s v="HO: imsSApp Entwurf"/>
    <m/>
    <s v="Herd"/>
    <m/>
    <e v="#N/A"/>
    <e v="#N/A"/>
    <e v="#N/A"/>
    <e v="#N/A"/>
    <x v="9"/>
  </r>
  <r>
    <x v="1048"/>
    <n v="7"/>
    <x v="35"/>
    <x v="0"/>
    <s v="HO: imsSApp Entwurf"/>
    <m/>
    <s v="Herd"/>
    <m/>
    <e v="#N/A"/>
    <e v="#N/A"/>
    <e v="#N/A"/>
    <e v="#N/A"/>
    <x v="9"/>
  </r>
  <r>
    <x v="1049"/>
    <n v="4"/>
    <x v="35"/>
    <x v="0"/>
    <s v="HO: imsSApp Coding"/>
    <m/>
    <s v="Herd"/>
    <m/>
    <e v="#N/A"/>
    <e v="#N/A"/>
    <e v="#N/A"/>
    <e v="#N/A"/>
    <x v="9"/>
  </r>
  <r>
    <x v="1050"/>
    <n v="4"/>
    <x v="35"/>
    <x v="0"/>
    <s v="HO: imsSApp Coding"/>
    <m/>
    <s v="Herd"/>
    <m/>
    <e v="#N/A"/>
    <e v="#N/A"/>
    <e v="#N/A"/>
    <e v="#N/A"/>
    <x v="9"/>
  </r>
  <r>
    <x v="1051"/>
    <n v="2"/>
    <x v="35"/>
    <x v="0"/>
    <s v="HO: Vorbereitung RS Präsentation"/>
    <m/>
    <s v="Borchard"/>
    <m/>
    <e v="#N/A"/>
    <e v="#N/A"/>
    <e v="#N/A"/>
    <e v="#N/A"/>
    <x v="9"/>
  </r>
  <r>
    <x v="1051"/>
    <n v="1"/>
    <x v="35"/>
    <x v="0"/>
    <s v="HO: imsSApp Coding"/>
    <m/>
    <s v="Herd"/>
    <m/>
    <e v="#N/A"/>
    <e v="#N/A"/>
    <e v="#N/A"/>
    <e v="#N/A"/>
    <x v="9"/>
  </r>
  <r>
    <x v="1052"/>
    <n v="1"/>
    <x v="35"/>
    <x v="0"/>
    <s v="imsSApp Besprechung "/>
    <m/>
    <s v="Herd"/>
    <m/>
    <e v="#N/A"/>
    <e v="#N/A"/>
    <e v="#N/A"/>
    <e v="#N/A"/>
    <x v="9"/>
  </r>
  <r>
    <x v="1052"/>
    <n v="1"/>
    <x v="35"/>
    <x v="0"/>
    <s v="RS Präsentation"/>
    <m/>
    <s v="Borchard"/>
    <m/>
    <e v="#N/A"/>
    <e v="#N/A"/>
    <e v="#N/A"/>
    <e v="#N/A"/>
    <x v="9"/>
  </r>
  <r>
    <x v="1052"/>
    <n v="1"/>
    <x v="35"/>
    <x v="0"/>
    <s v="QualityCheck Besprechung"/>
    <m/>
    <s v="Gütig"/>
    <m/>
    <e v="#N/A"/>
    <e v="#N/A"/>
    <e v="#N/A"/>
    <e v="#N/A"/>
    <x v="9"/>
  </r>
  <r>
    <x v="1052"/>
    <n v="1"/>
    <x v="35"/>
    <x v="0"/>
    <s v="Sapping 2005 Unterstützung Besprechung"/>
    <m/>
    <s v="Runkel"/>
    <m/>
    <e v="#N/A"/>
    <e v="#N/A"/>
    <e v="#N/A"/>
    <e v="#N/A"/>
    <x v="9"/>
  </r>
  <r>
    <x v="1052"/>
    <n v="1"/>
    <x v="35"/>
    <x v="0"/>
    <s v="HO: imsSApp Coding"/>
    <m/>
    <s v="Herd"/>
    <m/>
    <e v="#N/A"/>
    <e v="#N/A"/>
    <e v="#N/A"/>
    <e v="#N/A"/>
    <x v="9"/>
  </r>
  <r>
    <x v="1053"/>
    <n v="6"/>
    <x v="35"/>
    <x v="0"/>
    <s v="HO: imsSApp Coding"/>
    <m/>
    <s v="Herd"/>
    <m/>
    <e v="#N/A"/>
    <e v="#N/A"/>
    <e v="#N/A"/>
    <e v="#N/A"/>
    <x v="9"/>
  </r>
  <r>
    <x v="1054"/>
    <n v="6"/>
    <x v="35"/>
    <x v="0"/>
    <s v="HO: imsSApp Coding"/>
    <m/>
    <s v="Herd"/>
    <m/>
    <e v="#N/A"/>
    <e v="#N/A"/>
    <e v="#N/A"/>
    <e v="#N/A"/>
    <x v="9"/>
  </r>
  <r>
    <x v="1055"/>
    <n v="7"/>
    <x v="35"/>
    <x v="0"/>
    <s v="HO: imsSApp Coding"/>
    <m/>
    <s v="Herd"/>
    <m/>
    <e v="#N/A"/>
    <e v="#N/A"/>
    <e v="#N/A"/>
    <e v="#N/A"/>
    <x v="9"/>
  </r>
  <r>
    <x v="1056"/>
    <n v="6"/>
    <x v="35"/>
    <x v="0"/>
    <s v="HO: imsSApp Coding"/>
    <m/>
    <s v="Herd"/>
    <m/>
    <e v="#N/A"/>
    <e v="#N/A"/>
    <e v="#N/A"/>
    <e v="#N/A"/>
    <x v="9"/>
  </r>
  <r>
    <x v="1057"/>
    <n v="4"/>
    <x v="35"/>
    <x v="0"/>
    <s v="HO: imsSApp Loader"/>
    <m/>
    <s v="Herd"/>
    <m/>
    <e v="#N/A"/>
    <e v="#N/A"/>
    <e v="#N/A"/>
    <e v="#N/A"/>
    <x v="9"/>
  </r>
  <r>
    <x v="1058"/>
    <n v="4"/>
    <x v="35"/>
    <x v="0"/>
    <s v="HO: imsSApp Loader"/>
    <m/>
    <s v="Herd"/>
    <m/>
    <e v="#N/A"/>
    <e v="#N/A"/>
    <e v="#N/A"/>
    <e v="#N/A"/>
    <x v="9"/>
  </r>
  <r>
    <x v="1059"/>
    <n v="4"/>
    <x v="35"/>
    <x v="0"/>
    <s v="HO: imsSApp Loader Test"/>
    <m/>
    <s v="Herd"/>
    <m/>
    <e v="#N/A"/>
    <e v="#N/A"/>
    <e v="#N/A"/>
    <e v="#N/A"/>
    <x v="9"/>
  </r>
  <r>
    <x v="1060"/>
    <n v="4"/>
    <x v="35"/>
    <x v="0"/>
    <s v="HO: imsSApp Loader Test"/>
    <m/>
    <s v="Herd"/>
    <m/>
    <e v="#N/A"/>
    <e v="#N/A"/>
    <e v="#N/A"/>
    <e v="#N/A"/>
    <x v="9"/>
  </r>
  <r>
    <x v="1061"/>
    <n v="4"/>
    <x v="35"/>
    <x v="0"/>
    <s v="HO: imsSApp Check"/>
    <m/>
    <s v="Herd"/>
    <m/>
    <e v="#N/A"/>
    <e v="#N/A"/>
    <e v="#N/A"/>
    <e v="#N/A"/>
    <x v="9"/>
  </r>
  <r>
    <x v="1062"/>
    <n v="5"/>
    <x v="35"/>
    <x v="0"/>
    <s v="HO: imsSApp Check"/>
    <m/>
    <s v="Herd"/>
    <m/>
    <e v="#N/A"/>
    <e v="#N/A"/>
    <e v="#N/A"/>
    <e v="#N/A"/>
    <x v="9"/>
  </r>
  <r>
    <x v="1063"/>
    <n v="5"/>
    <x v="35"/>
    <x v="0"/>
    <s v="HO: imsSApp Check"/>
    <m/>
    <s v="Herd"/>
    <m/>
    <e v="#N/A"/>
    <e v="#N/A"/>
    <e v="#N/A"/>
    <e v="#N/A"/>
    <x v="9"/>
  </r>
  <r>
    <x v="1064"/>
    <n v="4"/>
    <x v="35"/>
    <x v="0"/>
    <s v="HO: imsSApp Check Test"/>
    <m/>
    <s v="Herd"/>
    <m/>
    <e v="#N/A"/>
    <e v="#N/A"/>
    <e v="#N/A"/>
    <e v="#N/A"/>
    <x v="9"/>
  </r>
  <r>
    <x v="1065"/>
    <n v="3"/>
    <x v="35"/>
    <x v="0"/>
    <s v="HO: imsSApp Check Test"/>
    <m/>
    <s v="Herd"/>
    <m/>
    <e v="#N/A"/>
    <e v="#N/A"/>
    <e v="#N/A"/>
    <e v="#N/A"/>
    <x v="9"/>
  </r>
  <r>
    <x v="1066"/>
    <n v="3"/>
    <x v="35"/>
    <x v="0"/>
    <s v="HO: imsSApp Clearance"/>
    <m/>
    <s v="Herd"/>
    <m/>
    <e v="#N/A"/>
    <e v="#N/A"/>
    <e v="#N/A"/>
    <e v="#N/A"/>
    <x v="9"/>
  </r>
  <r>
    <x v="1067"/>
    <n v="4"/>
    <x v="35"/>
    <x v="0"/>
    <s v="HO: imsSApp Clearance"/>
    <m/>
    <s v="Herd"/>
    <m/>
    <e v="#N/A"/>
    <e v="#N/A"/>
    <e v="#N/A"/>
    <e v="#N/A"/>
    <x v="9"/>
  </r>
  <r>
    <x v="1068"/>
    <n v="4"/>
    <x v="35"/>
    <x v="0"/>
    <s v="HO: imsSApp Clearance Test"/>
    <m/>
    <s v="Herd"/>
    <m/>
    <e v="#N/A"/>
    <e v="#N/A"/>
    <e v="#N/A"/>
    <e v="#N/A"/>
    <x v="9"/>
  </r>
  <r>
    <x v="1069"/>
    <n v="5"/>
    <x v="35"/>
    <x v="0"/>
    <s v="HO: imsSApp Clearance Test"/>
    <m/>
    <s v="Herd"/>
    <m/>
    <e v="#N/A"/>
    <e v="#N/A"/>
    <e v="#N/A"/>
    <e v="#N/A"/>
    <x v="9"/>
  </r>
  <r>
    <x v="1070"/>
    <n v="4"/>
    <x v="35"/>
    <x v="0"/>
    <s v="HO: imsSApp Einrichtung TestFramework"/>
    <m/>
    <s v="Herd"/>
    <m/>
    <e v="#N/A"/>
    <e v="#N/A"/>
    <e v="#N/A"/>
    <e v="#N/A"/>
    <x v="9"/>
  </r>
  <r>
    <x v="1071"/>
    <n v="4"/>
    <x v="35"/>
    <x v="0"/>
    <s v="HO: imsSApp Einrichtung TestFramework"/>
    <m/>
    <s v="Herd"/>
    <m/>
    <e v="#N/A"/>
    <e v="#N/A"/>
    <e v="#N/A"/>
    <e v="#N/A"/>
    <x v="9"/>
  </r>
  <r>
    <x v="1072"/>
    <n v="5"/>
    <x v="35"/>
    <x v="0"/>
    <s v="HO: imsSApp SystemTest"/>
    <m/>
    <s v="Herd"/>
    <m/>
    <e v="#N/A"/>
    <e v="#N/A"/>
    <e v="#N/A"/>
    <e v="#N/A"/>
    <x v="9"/>
  </r>
  <r>
    <x v="1073"/>
    <n v="3"/>
    <x v="35"/>
    <x v="0"/>
    <s v="HO: imsSApp SystemTest"/>
    <m/>
    <s v="Herd"/>
    <m/>
    <e v="#N/A"/>
    <e v="#N/A"/>
    <e v="#N/A"/>
    <e v="#N/A"/>
    <x v="9"/>
  </r>
  <r>
    <x v="1074"/>
    <n v="3"/>
    <x v="35"/>
    <x v="0"/>
    <s v="HO: imsSApp SystemTest"/>
    <m/>
    <s v="Herd"/>
    <m/>
    <e v="#N/A"/>
    <e v="#N/A"/>
    <e v="#N/A"/>
    <e v="#N/A"/>
    <x v="9"/>
  </r>
  <r>
    <x v="1075"/>
    <n v="1"/>
    <x v="35"/>
    <x v="0"/>
    <s v="HO: HBTCheck 2010 Bugfixing"/>
    <m/>
    <s v="Witsch"/>
    <m/>
    <e v="#N/A"/>
    <e v="#N/A"/>
    <e v="#N/A"/>
    <e v="#N/A"/>
    <x v="9"/>
  </r>
  <r>
    <x v="1075"/>
    <n v="2"/>
    <x v="35"/>
    <x v="0"/>
    <s v="HO: Support Indien"/>
    <m/>
    <s v="Schilly"/>
    <m/>
    <e v="#N/A"/>
    <e v="#N/A"/>
    <e v="#N/A"/>
    <e v="#N/A"/>
    <x v="9"/>
  </r>
  <r>
    <x v="1076"/>
    <n v="8"/>
    <x v="35"/>
    <x v="0"/>
    <s v="HO: HBTCheck 2010 Errors und Val Sheet Erweiterung"/>
    <m/>
    <s v="Witsch"/>
    <m/>
    <e v="#N/A"/>
    <e v="#N/A"/>
    <e v="#N/A"/>
    <e v="#N/A"/>
    <x v="9"/>
  </r>
  <r>
    <x v="1077"/>
    <n v="2"/>
    <x v="35"/>
    <x v="0"/>
    <s v="HO: imsSApp Test Umgebung Installation auf Testserver"/>
    <m/>
    <s v="Herd"/>
    <m/>
    <e v="#N/A"/>
    <e v="#N/A"/>
    <e v="#N/A"/>
    <e v="#N/A"/>
    <x v="9"/>
  </r>
  <r>
    <x v="1078"/>
    <n v="2"/>
    <x v="35"/>
    <x v="0"/>
    <s v="HO: Support Indien"/>
    <m/>
    <s v="Schilly"/>
    <m/>
    <e v="#N/A"/>
    <e v="#N/A"/>
    <e v="#N/A"/>
    <e v="#N/A"/>
    <x v="9"/>
  </r>
  <r>
    <x v="1079"/>
    <n v="4"/>
    <x v="35"/>
    <x v="0"/>
    <s v="HO: Sapping 2005er Version"/>
    <m/>
    <s v="Borchard"/>
    <m/>
    <e v="#N/A"/>
    <e v="#N/A"/>
    <e v="#N/A"/>
    <e v="#N/A"/>
    <x v="9"/>
  </r>
  <r>
    <x v="1080"/>
    <n v="1"/>
    <x v="35"/>
    <x v="0"/>
    <s v="HO: Online Meeting"/>
    <m/>
    <s v="Borchard"/>
    <m/>
    <e v="#N/A"/>
    <e v="#N/A"/>
    <e v="#N/A"/>
    <e v="#N/A"/>
    <x v="9"/>
  </r>
  <r>
    <x v="1080"/>
    <n v="2"/>
    <x v="35"/>
    <x v="0"/>
    <s v="HO: Sapping 2005"/>
    <m/>
    <s v="Borchard"/>
    <m/>
    <e v="#N/A"/>
    <e v="#N/A"/>
    <e v="#N/A"/>
    <e v="#N/A"/>
    <x v="9"/>
  </r>
  <r>
    <x v="1081"/>
    <n v="2"/>
    <x v="35"/>
    <x v="0"/>
    <s v="HO: Sapping 2005 Version Installation AS 2005"/>
    <m/>
    <s v="Borchard"/>
    <m/>
    <e v="#N/A"/>
    <e v="#N/A"/>
    <e v="#N/A"/>
    <e v="#N/A"/>
    <x v="9"/>
  </r>
  <r>
    <x v="1082"/>
    <n v="0.5"/>
    <x v="35"/>
    <x v="0"/>
    <s v="QualityCheck Besprechung"/>
    <m/>
    <s v="Gütig"/>
    <m/>
    <e v="#N/A"/>
    <e v="#N/A"/>
    <e v="#N/A"/>
    <e v="#N/A"/>
    <x v="9"/>
  </r>
  <r>
    <x v="1082"/>
    <n v="1"/>
    <x v="35"/>
    <x v="0"/>
    <s v=" imsSApp Besprechung"/>
    <m/>
    <s v="Herd"/>
    <m/>
    <e v="#N/A"/>
    <e v="#N/A"/>
    <e v="#N/A"/>
    <e v="#N/A"/>
    <x v="9"/>
  </r>
  <r>
    <x v="1082"/>
    <n v="1"/>
    <x v="35"/>
    <x v="0"/>
    <s v="Abrechnungssystem Besprechung"/>
    <m/>
    <s v="Borchard"/>
    <m/>
    <e v="#N/A"/>
    <e v="#N/A"/>
    <e v="#N/A"/>
    <e v="#N/A"/>
    <x v="9"/>
  </r>
  <r>
    <x v="1082"/>
    <n v="0.5"/>
    <x v="35"/>
    <x v="0"/>
    <s v="BPM Besprechung"/>
    <m/>
    <s v="Borchard"/>
    <m/>
    <e v="#N/A"/>
    <e v="#N/A"/>
    <e v="#N/A"/>
    <e v="#N/A"/>
    <x v="9"/>
  </r>
  <r>
    <x v="1083"/>
    <n v="4"/>
    <x v="35"/>
    <x v="0"/>
    <s v="HO: imsSApp PeriodenTyp, PeriodenCount + PItemStatus hinzugefügt und getestet"/>
    <m/>
    <s v="Herd"/>
    <m/>
    <e v="#N/A"/>
    <e v="#N/A"/>
    <e v="#N/A"/>
    <e v="#N/A"/>
    <x v="9"/>
  </r>
  <r>
    <x v="1083"/>
    <n v="5"/>
    <x v="35"/>
    <x v="0"/>
    <s v="HO: imsPP Rechnung erstellen aktiviert + BackData Cubeerstellung unterdrückt in Test und Prod"/>
    <m/>
    <s v="Herd"/>
    <m/>
    <e v="#N/A"/>
    <e v="#N/A"/>
    <e v="#N/A"/>
    <e v="#N/A"/>
    <x v="9"/>
  </r>
  <r>
    <x v="1084"/>
    <n v="2"/>
    <x v="35"/>
    <x v="0"/>
    <s v="HO: imsPP Cubeerstellung unterdrücken Status Fix"/>
    <m/>
    <s v="Herd"/>
    <m/>
    <e v="#N/A"/>
    <e v="#N/A"/>
    <e v="#N/A"/>
    <e v="#N/A"/>
    <x v="9"/>
  </r>
  <r>
    <x v="1085"/>
    <n v="2"/>
    <x v="35"/>
    <x v="0"/>
    <s v="HO: imsPP Rechnung erstellen Bugfix"/>
    <m/>
    <s v="Herd"/>
    <m/>
    <e v="#N/A"/>
    <e v="#N/A"/>
    <e v="#N/A"/>
    <e v="#N/A"/>
    <x v="9"/>
  </r>
  <r>
    <x v="1086"/>
    <n v="8"/>
    <x v="35"/>
    <x v="0"/>
    <s v="HO: Infrastruktur, Einrichtung Arbeitsumgebung auf separatem Rechner"/>
    <m/>
    <s v="Borchard"/>
    <m/>
    <e v="#N/A"/>
    <e v="#N/A"/>
    <e v="#N/A"/>
    <e v="#N/A"/>
    <x v="9"/>
  </r>
  <r>
    <x v="1087"/>
    <n v="6"/>
    <x v="35"/>
    <x v="0"/>
    <s v="HO: imsSApp Client"/>
    <m/>
    <s v="Herd"/>
    <m/>
    <e v="#N/A"/>
    <e v="#N/A"/>
    <e v="#N/A"/>
    <e v="#N/A"/>
    <x v="9"/>
  </r>
  <r>
    <x v="1088"/>
    <n v="5"/>
    <x v="35"/>
    <x v="0"/>
    <s v="HO: imsSApp Client"/>
    <m/>
    <s v="Herd"/>
    <m/>
    <e v="#N/A"/>
    <e v="#N/A"/>
    <e v="#N/A"/>
    <e v="#N/A"/>
    <x v="9"/>
  </r>
  <r>
    <x v="1089"/>
    <n v="6"/>
    <x v="35"/>
    <x v="0"/>
    <s v="HO: imsSApp Client"/>
    <m/>
    <s v="Herd"/>
    <m/>
    <e v="#N/A"/>
    <e v="#N/A"/>
    <e v="#N/A"/>
    <e v="#N/A"/>
    <x v="9"/>
  </r>
  <r>
    <x v="1090"/>
    <n v="2"/>
    <x v="35"/>
    <x v="0"/>
    <s v="HO: imsPP ADAM"/>
    <m/>
    <s v="Herd"/>
    <m/>
    <e v="#N/A"/>
    <e v="#N/A"/>
    <e v="#N/A"/>
    <e v="#N/A"/>
    <x v="9"/>
  </r>
  <r>
    <x v="1090"/>
    <n v="2"/>
    <x v="35"/>
    <x v="0"/>
    <s v="HO: imsPP ATC Markt Bug"/>
    <m/>
    <s v="Herd"/>
    <m/>
    <e v="#N/A"/>
    <e v="#N/A"/>
    <e v="#N/A"/>
    <e v="#N/A"/>
    <x v="9"/>
  </r>
  <r>
    <x v="1090"/>
    <n v="4"/>
    <x v="35"/>
    <x v="0"/>
    <s v="HO: imsSApp Client"/>
    <m/>
    <s v="Herd"/>
    <m/>
    <e v="#N/A"/>
    <e v="#N/A"/>
    <e v="#N/A"/>
    <e v="#N/A"/>
    <x v="9"/>
  </r>
  <r>
    <x v="1091"/>
    <n v="6"/>
    <x v="35"/>
    <x v="0"/>
    <s v="HO: imsSApp Client"/>
    <m/>
    <s v="Herd"/>
    <m/>
    <e v="#N/A"/>
    <e v="#N/A"/>
    <e v="#N/A"/>
    <e v="#N/A"/>
    <x v="9"/>
  </r>
  <r>
    <x v="1092"/>
    <n v="4"/>
    <x v="35"/>
    <x v="0"/>
    <s v="HO: imsSApp Client"/>
    <m/>
    <s v="Herd"/>
    <m/>
    <e v="#N/A"/>
    <e v="#N/A"/>
    <e v="#N/A"/>
    <e v="#N/A"/>
    <x v="9"/>
  </r>
  <r>
    <x v="1093"/>
    <n v="6"/>
    <x v="35"/>
    <x v="0"/>
    <s v="HO: imsSApp Client"/>
    <m/>
    <s v="Herd"/>
    <m/>
    <e v="#N/A"/>
    <e v="#N/A"/>
    <e v="#N/A"/>
    <e v="#N/A"/>
    <x v="9"/>
  </r>
  <r>
    <x v="1094"/>
    <n v="3"/>
    <x v="35"/>
    <x v="0"/>
    <s v="HO: imsSApp Client"/>
    <m/>
    <s v="Herd"/>
    <m/>
    <e v="#N/A"/>
    <e v="#N/A"/>
    <e v="#N/A"/>
    <e v="#N/A"/>
    <x v="9"/>
  </r>
  <r>
    <x v="1095"/>
    <n v="2"/>
    <x v="35"/>
    <x v="0"/>
    <s v="HO: imsPP Performance Cubetest"/>
    <m/>
    <s v="Herd"/>
    <m/>
    <e v="#N/A"/>
    <e v="#N/A"/>
    <e v="#N/A"/>
    <e v="#N/A"/>
    <x v="9"/>
  </r>
  <r>
    <x v="1096"/>
    <n v="6"/>
    <x v="35"/>
    <x v="0"/>
    <s v="HO: imsPP Performance Cubetest"/>
    <m/>
    <s v="Herd"/>
    <m/>
    <e v="#N/A"/>
    <e v="#N/A"/>
    <e v="#N/A"/>
    <e v="#N/A"/>
    <x v="9"/>
  </r>
  <r>
    <x v="1097"/>
    <n v="6"/>
    <x v="35"/>
    <x v="0"/>
    <s v="HO: imsPP Performance Cubetest"/>
    <m/>
    <s v="Herd"/>
    <m/>
    <e v="#N/A"/>
    <e v="#N/A"/>
    <e v="#N/A"/>
    <e v="#N/A"/>
    <x v="9"/>
  </r>
  <r>
    <x v="1098"/>
    <n v="4"/>
    <x v="35"/>
    <x v="0"/>
    <s v="HO: imsPP Bug Cubetest"/>
    <m/>
    <s v="Herd"/>
    <m/>
    <e v="#N/A"/>
    <e v="#N/A"/>
    <e v="#N/A"/>
    <e v="#N/A"/>
    <x v="9"/>
  </r>
  <r>
    <x v="1099"/>
    <n v="5"/>
    <x v="35"/>
    <x v="0"/>
    <s v="HO: imsPP Adam"/>
    <m/>
    <s v="Herd"/>
    <m/>
    <e v="#N/A"/>
    <e v="#N/A"/>
    <e v="#N/A"/>
    <e v="#N/A"/>
    <x v="9"/>
  </r>
  <r>
    <x v="1100"/>
    <n v="2"/>
    <x v="35"/>
    <x v="0"/>
    <s v="HO: imsPP Adam"/>
    <m/>
    <s v="Herd"/>
    <m/>
    <e v="#N/A"/>
    <e v="#N/A"/>
    <e v="#N/A"/>
    <e v="#N/A"/>
    <x v="9"/>
  </r>
  <r>
    <x v="1101"/>
    <n v="6"/>
    <x v="35"/>
    <x v="0"/>
    <s v="HO: imsPP Adam"/>
    <m/>
    <s v="Herd"/>
    <m/>
    <e v="#N/A"/>
    <e v="#N/A"/>
    <e v="#N/A"/>
    <e v="#N/A"/>
    <x v="9"/>
  </r>
  <r>
    <x v="1102"/>
    <n v="3"/>
    <x v="35"/>
    <x v="0"/>
    <s v="HO: imsPP Adam"/>
    <m/>
    <s v="Herd"/>
    <m/>
    <e v="#N/A"/>
    <e v="#N/A"/>
    <e v="#N/A"/>
    <e v="#N/A"/>
    <x v="9"/>
  </r>
  <r>
    <x v="1103"/>
    <n v="8"/>
    <x v="35"/>
    <x v="0"/>
    <s v="HO: imsPP Adam"/>
    <m/>
    <s v="Herd"/>
    <m/>
    <e v="#N/A"/>
    <e v="#N/A"/>
    <e v="#N/A"/>
    <e v="#N/A"/>
    <x v="9"/>
  </r>
  <r>
    <x v="1104"/>
    <n v="2"/>
    <x v="35"/>
    <x v="0"/>
    <s v="HO: imsPP Adam"/>
    <m/>
    <s v="Herd"/>
    <m/>
    <e v="#N/A"/>
    <e v="#N/A"/>
    <e v="#N/A"/>
    <e v="#N/A"/>
    <x v="9"/>
  </r>
  <r>
    <x v="1105"/>
    <n v="3"/>
    <x v="35"/>
    <x v="0"/>
    <s v="HO: imsPP Adam Test"/>
    <m/>
    <s v="Herd"/>
    <m/>
    <e v="#N/A"/>
    <e v="#N/A"/>
    <e v="#N/A"/>
    <e v="#N/A"/>
    <x v="9"/>
  </r>
  <r>
    <x v="1106"/>
    <n v="3"/>
    <x v="35"/>
    <x v="0"/>
    <s v="HO: imsPP neue Version Bereitstellung"/>
    <m/>
    <s v="Herd"/>
    <m/>
    <e v="#N/A"/>
    <e v="#N/A"/>
    <e v="#N/A"/>
    <e v="#N/A"/>
    <x v="9"/>
  </r>
  <r>
    <x v="1107"/>
    <n v="3"/>
    <x v="35"/>
    <x v="0"/>
    <s v="HO: imsPP neue Version Bereitstellung"/>
    <m/>
    <s v="Herd"/>
    <m/>
    <e v="#N/A"/>
    <e v="#N/A"/>
    <e v="#N/A"/>
    <e v="#N/A"/>
    <x v="9"/>
  </r>
  <r>
    <x v="1108"/>
    <n v="5"/>
    <x v="35"/>
    <x v="0"/>
    <s v="HO: imsPP Support"/>
    <m/>
    <s v="Herd"/>
    <m/>
    <e v="#N/A"/>
    <e v="#N/A"/>
    <e v="#N/A"/>
    <e v="#N/A"/>
    <x v="9"/>
  </r>
  <r>
    <x v="1109"/>
    <n v="5"/>
    <x v="35"/>
    <x v="0"/>
    <s v="QualityCheck "/>
    <m/>
    <s v="Gütig"/>
    <m/>
    <e v="#N/A"/>
    <e v="#N/A"/>
    <e v="#N/A"/>
    <e v="#N/A"/>
    <x v="9"/>
  </r>
  <r>
    <x v="1110"/>
    <n v="8"/>
    <x v="35"/>
    <x v="0"/>
    <s v="QualityCheck "/>
    <m/>
    <s v="Gütig"/>
    <m/>
    <e v="#N/A"/>
    <e v="#N/A"/>
    <e v="#N/A"/>
    <e v="#N/A"/>
    <x v="9"/>
  </r>
  <r>
    <x v="1111"/>
    <n v="5"/>
    <x v="35"/>
    <x v="0"/>
    <s v="QualityCheck "/>
    <m/>
    <s v="Gütig"/>
    <m/>
    <e v="#N/A"/>
    <e v="#N/A"/>
    <e v="#N/A"/>
    <e v="#N/A"/>
    <x v="9"/>
  </r>
  <r>
    <x v="1112"/>
    <n v="2"/>
    <x v="35"/>
    <x v="0"/>
    <s v="QualityCheck "/>
    <m/>
    <s v="Gütig"/>
    <m/>
    <e v="#N/A"/>
    <e v="#N/A"/>
    <e v="#N/A"/>
    <e v="#N/A"/>
    <x v="9"/>
  </r>
  <r>
    <x v="1113"/>
    <n v="2"/>
    <x v="35"/>
    <x v="0"/>
    <s v="HO: imsPP Support"/>
    <m/>
    <s v="Herd"/>
    <m/>
    <e v="#N/A"/>
    <e v="#N/A"/>
    <e v="#N/A"/>
    <e v="#N/A"/>
    <x v="9"/>
  </r>
  <r>
    <x v="1113"/>
    <n v="1"/>
    <x v="35"/>
    <x v="0"/>
    <s v="HO: imsSApp Client"/>
    <m/>
    <s v="Herd"/>
    <m/>
    <e v="#N/A"/>
    <e v="#N/A"/>
    <e v="#N/A"/>
    <e v="#N/A"/>
    <x v="9"/>
  </r>
  <r>
    <x v="1114"/>
    <n v="4"/>
    <x v="35"/>
    <x v="0"/>
    <s v="HO: imsPP Bugfixing Adam Security"/>
    <m/>
    <s v="Herd"/>
    <m/>
    <e v="#N/A"/>
    <e v="#N/A"/>
    <e v="#N/A"/>
    <e v="#N/A"/>
    <x v="9"/>
  </r>
  <r>
    <x v="1115"/>
    <n v="4"/>
    <x v="35"/>
    <x v="0"/>
    <s v="HO: imsPP Bugfixing Adam Security"/>
    <m/>
    <s v="Herd"/>
    <m/>
    <e v="#N/A"/>
    <e v="#N/A"/>
    <e v="#N/A"/>
    <e v="#N/A"/>
    <x v="9"/>
  </r>
  <r>
    <x v="1116"/>
    <n v="2"/>
    <x v="35"/>
    <x v="0"/>
    <s v="HO: imsPP Performance 009"/>
    <m/>
    <s v="Herd"/>
    <m/>
    <e v="#N/A"/>
    <e v="#N/A"/>
    <e v="#N/A"/>
    <e v="#N/A"/>
    <x v="9"/>
  </r>
  <r>
    <x v="1117"/>
    <n v="2"/>
    <x v="35"/>
    <x v="0"/>
    <s v="HO: imsPP Adam Facharztgruppen"/>
    <m/>
    <s v="Herd"/>
    <m/>
    <e v="#N/A"/>
    <e v="#N/A"/>
    <e v="#N/A"/>
    <e v="#N/A"/>
    <x v="9"/>
  </r>
  <r>
    <x v="1118"/>
    <n v="6"/>
    <x v="35"/>
    <x v="0"/>
    <s v="HO: imsPP Adam Facharztgruppen"/>
    <m/>
    <s v="Herd"/>
    <m/>
    <e v="#N/A"/>
    <e v="#N/A"/>
    <e v="#N/A"/>
    <e v="#N/A"/>
    <x v="9"/>
  </r>
  <r>
    <x v="1119"/>
    <n v="4"/>
    <x v="35"/>
    <x v="0"/>
    <s v="HO: imsPP Adam Facharztgruppen"/>
    <m/>
    <s v="Herd"/>
    <m/>
    <e v="#N/A"/>
    <e v="#N/A"/>
    <e v="#N/A"/>
    <e v="#N/A"/>
    <x v="9"/>
  </r>
  <r>
    <x v="1120"/>
    <n v="1"/>
    <x v="35"/>
    <x v="0"/>
    <s v=" imsPP Adam Besprechung"/>
    <m/>
    <s v="Runkel"/>
    <m/>
    <e v="#N/A"/>
    <e v="#N/A"/>
    <e v="#N/A"/>
    <e v="#N/A"/>
    <x v="9"/>
  </r>
  <r>
    <x v="1121"/>
    <n v="6"/>
    <x v="35"/>
    <x v="0"/>
    <s v="HO: imsPP Adam Summen + Formatierung"/>
    <m/>
    <s v="Herd"/>
    <m/>
    <e v="#N/A"/>
    <e v="#N/A"/>
    <e v="#N/A"/>
    <e v="#N/A"/>
    <x v="9"/>
  </r>
  <r>
    <x v="1122"/>
    <n v="4"/>
    <x v="35"/>
    <x v="0"/>
    <s v="HO: imsPP Adam Summen + Formatierung"/>
    <m/>
    <s v="Herd"/>
    <m/>
    <e v="#N/A"/>
    <e v="#N/A"/>
    <e v="#N/A"/>
    <e v="#N/A"/>
    <x v="9"/>
  </r>
  <r>
    <x v="1123"/>
    <n v="2"/>
    <x v="35"/>
    <x v="0"/>
    <s v="HO: imsPP Setuperstellung Update auf 004 + 009"/>
    <m/>
    <s v="Herd"/>
    <m/>
    <e v="#N/A"/>
    <e v="#N/A"/>
    <e v="#N/A"/>
    <e v="#N/A"/>
    <x v="9"/>
  </r>
  <r>
    <x v="1124"/>
    <n v="4"/>
    <x v="35"/>
    <x v="0"/>
    <s v="HO: imsPP Fix für SHG31FP und SHG31P"/>
    <m/>
    <s v="Herd"/>
    <m/>
    <e v="#N/A"/>
    <e v="#N/A"/>
    <e v="#N/A"/>
    <e v="#N/A"/>
    <x v="9"/>
  </r>
  <r>
    <x v="1125"/>
    <n v="3"/>
    <x v="35"/>
    <x v="0"/>
    <s v="HO: imsPP Adam Spechern unter, Test, Update"/>
    <m/>
    <s v="Herd"/>
    <m/>
    <e v="#N/A"/>
    <e v="#N/A"/>
    <e v="#N/A"/>
    <e v="#N/A"/>
    <x v="9"/>
  </r>
  <r>
    <x v="1126"/>
    <n v="4"/>
    <x v="35"/>
    <x v="0"/>
    <s v="HO: imsPP Adam Ausnahmeregel AusserHandel"/>
    <m/>
    <s v="Herd"/>
    <m/>
    <e v="#N/A"/>
    <e v="#N/A"/>
    <e v="#N/A"/>
    <e v="#N/A"/>
    <x v="9"/>
  </r>
  <r>
    <x v="1126"/>
    <n v="1"/>
    <x v="35"/>
    <x v="0"/>
    <s v="HO: imsPP ProductionData Listenerstellung"/>
    <m/>
    <s v="Herd"/>
    <m/>
    <e v="#N/A"/>
    <e v="#N/A"/>
    <e v="#N/A"/>
    <e v="#N/A"/>
    <x v="9"/>
  </r>
  <r>
    <x v="1127"/>
    <n v="6"/>
    <x v="35"/>
    <x v="0"/>
    <s v="HO: imsSAPP Client Multiselektion"/>
    <m/>
    <s v="Herd"/>
    <m/>
    <e v="#N/A"/>
    <e v="#N/A"/>
    <e v="#N/A"/>
    <e v="#N/A"/>
    <x v="9"/>
  </r>
  <r>
    <x v="1128"/>
    <n v="4"/>
    <x v="35"/>
    <x v="0"/>
    <s v="HO: imsSAPP Client Multiselektion"/>
    <m/>
    <s v="Herd"/>
    <m/>
    <e v="#N/A"/>
    <e v="#N/A"/>
    <e v="#N/A"/>
    <e v="#N/A"/>
    <x v="9"/>
  </r>
  <r>
    <x v="1129"/>
    <n v="6"/>
    <x v="35"/>
    <x v="0"/>
    <s v="HO: imsPP Feature Rückstellung"/>
    <m/>
    <s v="Herd"/>
    <m/>
    <e v="#N/A"/>
    <e v="#N/A"/>
    <e v="#N/A"/>
    <e v="#N/A"/>
    <x v="9"/>
  </r>
  <r>
    <x v="1130"/>
    <n v="6"/>
    <x v="35"/>
    <x v="0"/>
    <s v="HO: imsPP Feature Rückstellung"/>
    <m/>
    <s v="Herd"/>
    <m/>
    <e v="#N/A"/>
    <e v="#N/A"/>
    <e v="#N/A"/>
    <e v="#N/A"/>
    <x v="9"/>
  </r>
  <r>
    <x v="1131"/>
    <n v="8"/>
    <x v="35"/>
    <x v="0"/>
    <s v="HO: imsSAPP Installation, Test, Excel + HBT Check Probleme"/>
    <m/>
    <s v="Herd"/>
    <m/>
    <e v="#N/A"/>
    <e v="#N/A"/>
    <e v="#N/A"/>
    <e v="#N/A"/>
    <x v="9"/>
  </r>
  <r>
    <x v="1132"/>
    <n v="4"/>
    <x v="35"/>
    <x v="0"/>
    <s v="HO: imsPP Adam xlsx Speicher unter"/>
    <m/>
    <s v="Herd"/>
    <m/>
    <e v="#N/A"/>
    <e v="#N/A"/>
    <e v="#N/A"/>
    <e v="#N/A"/>
    <x v="9"/>
  </r>
  <r>
    <x v="1133"/>
    <n v="5"/>
    <x v="35"/>
    <x v="0"/>
    <s v="HO: imsPP Feature Rückstellung"/>
    <m/>
    <s v="Herd"/>
    <m/>
    <e v="#N/A"/>
    <e v="#N/A"/>
    <e v="#N/A"/>
    <e v="#N/A"/>
    <x v="9"/>
  </r>
  <r>
    <x v="1134"/>
    <n v="4"/>
    <x v="35"/>
    <x v="0"/>
    <s v="HO: imsSAPP Excel + HBT Check Probleme"/>
    <m/>
    <s v="Herd"/>
    <m/>
    <e v="#N/A"/>
    <e v="#N/A"/>
    <e v="#N/A"/>
    <e v="#N/A"/>
    <x v="9"/>
  </r>
  <r>
    <x v="1134"/>
    <n v="2"/>
    <x v="35"/>
    <x v="0"/>
    <s v="HO: imsPP Feature Rückstellung"/>
    <m/>
    <s v="Herd"/>
    <m/>
    <e v="#N/A"/>
    <e v="#N/A"/>
    <e v="#N/A"/>
    <e v="#N/A"/>
    <x v="9"/>
  </r>
  <r>
    <x v="1134"/>
    <n v="2"/>
    <x v="35"/>
    <x v="0"/>
    <s v="HO: imsPP Testumgebung Neuinstallation"/>
    <m/>
    <s v="Hornbruch"/>
    <m/>
    <e v="#N/A"/>
    <e v="#N/A"/>
    <e v="#N/A"/>
    <e v="#N/A"/>
    <x v="9"/>
  </r>
  <r>
    <x v="1135"/>
    <n v="3"/>
    <x v="35"/>
    <x v="0"/>
    <s v="HO: imsPP Zip Dateien für RVM + XMM"/>
    <m/>
    <s v="Hornbruch"/>
    <m/>
    <e v="#N/A"/>
    <e v="#N/A"/>
    <e v="#N/A"/>
    <e v="#N/A"/>
    <x v="9"/>
  </r>
  <r>
    <x v="1136"/>
    <n v="2"/>
    <x v="35"/>
    <x v="0"/>
    <s v="HO: imsPP Freigabe Status 1c, Test und Update"/>
    <m/>
    <s v="Hornbruch"/>
    <m/>
    <e v="#N/A"/>
    <e v="#N/A"/>
    <e v="#N/A"/>
    <e v="#N/A"/>
    <x v="9"/>
  </r>
  <r>
    <x v="1137"/>
    <n v="5"/>
    <x v="35"/>
    <x v="0"/>
    <s v="HO: imsPP Zip Dateien für RVM + XMM, Test + Update"/>
    <m/>
    <s v="Hornbruch"/>
    <m/>
    <e v="#N/A"/>
    <e v="#N/A"/>
    <e v="#N/A"/>
    <e v="#N/A"/>
    <x v="9"/>
  </r>
  <r>
    <x v="1138"/>
    <n v="5"/>
    <x v="35"/>
    <x v="0"/>
    <s v="HO: Ascii PP PK AUMSUV2 Bugfix für Summenvergleich"/>
    <m/>
    <s v="Herd"/>
    <m/>
    <e v="#N/A"/>
    <e v="#N/A"/>
    <e v="#N/A"/>
    <e v="#N/A"/>
    <x v="9"/>
  </r>
  <r>
    <x v="1139"/>
    <n v="3"/>
    <x v="35"/>
    <x v="0"/>
    <s v="HO: imsPP Zip Dateien für RVM Korrektur"/>
    <m/>
    <s v="Hornbruch"/>
    <m/>
    <e v="#N/A"/>
    <e v="#N/A"/>
    <e v="#N/A"/>
    <e v="#N/A"/>
    <x v="9"/>
  </r>
  <r>
    <x v="1140"/>
    <n v="5"/>
    <x v="35"/>
    <x v="0"/>
    <s v="HO: imsSAPP MaxTokenSize Fehlersuche + Server Fix"/>
    <m/>
    <s v="Borchard"/>
    <m/>
    <e v="#N/A"/>
    <e v="#N/A"/>
    <e v="#N/A"/>
    <e v="#N/A"/>
    <x v="9"/>
  </r>
  <r>
    <x v="1141"/>
    <n v="2"/>
    <x v="35"/>
    <x v="0"/>
    <s v="HO: imsPP ProdesisExport"/>
    <m/>
    <s v="Hornbruch"/>
    <m/>
    <e v="#N/A"/>
    <e v="#N/A"/>
    <e v="#N/A"/>
    <e v="#N/A"/>
    <x v="9"/>
  </r>
  <r>
    <x v="1142"/>
    <n v="3"/>
    <x v="35"/>
    <x v="0"/>
    <s v="HO: imsPP ProdesisExport"/>
    <m/>
    <s v="Hornbruch"/>
    <m/>
    <e v="#N/A"/>
    <e v="#N/A"/>
    <e v="#N/A"/>
    <e v="#N/A"/>
    <x v="9"/>
  </r>
  <r>
    <x v="1143"/>
    <n v="3"/>
    <x v="35"/>
    <x v="0"/>
    <s v="HO: imsPP Statistik Arnold + Cubeerstellung + Cubetest Laufzeiten"/>
    <m/>
    <s v="Borchard"/>
    <m/>
    <e v="#N/A"/>
    <e v="#N/A"/>
    <e v="#N/A"/>
    <e v="#N/A"/>
    <x v="9"/>
  </r>
  <r>
    <x v="1144"/>
    <n v="4"/>
    <x v="35"/>
    <x v="0"/>
    <s v="HO: imsPP Adam ITCs anders zählen"/>
    <m/>
    <s v="Runkel"/>
    <m/>
    <e v="#N/A"/>
    <e v="#N/A"/>
    <e v="#N/A"/>
    <e v="#N/A"/>
    <x v="9"/>
  </r>
  <r>
    <x v="1145"/>
    <n v="4"/>
    <x v="35"/>
    <x v="0"/>
    <s v="HO: imsPP ServiceMonitor"/>
    <m/>
    <s v="Herd"/>
    <m/>
    <e v="#N/A"/>
    <e v="#N/A"/>
    <e v="#N/A"/>
    <e v="#N/A"/>
    <x v="9"/>
  </r>
  <r>
    <x v="1146"/>
    <n v="4"/>
    <x v="35"/>
    <x v="0"/>
    <s v="HO: imsPP ServiceMonitor"/>
    <m/>
    <s v="Herd"/>
    <m/>
    <e v="#N/A"/>
    <e v="#N/A"/>
    <e v="#N/A"/>
    <e v="#N/A"/>
    <x v="9"/>
  </r>
  <r>
    <x v="1147"/>
    <n v="4"/>
    <x v="35"/>
    <x v="0"/>
    <s v="HO: imsPP ServiceMonitor"/>
    <m/>
    <s v="Herd"/>
    <m/>
    <e v="#N/A"/>
    <e v="#N/A"/>
    <e v="#N/A"/>
    <e v="#N/A"/>
    <x v="9"/>
  </r>
  <r>
    <x v="1148"/>
    <n v="5"/>
    <x v="35"/>
    <x v="0"/>
    <s v="HO: imsPP ServiceMonitor"/>
    <m/>
    <s v="Herd"/>
    <m/>
    <e v="#N/A"/>
    <e v="#N/A"/>
    <e v="#N/A"/>
    <e v="#N/A"/>
    <x v="9"/>
  </r>
  <r>
    <x v="1149"/>
    <n v="6.5"/>
    <x v="35"/>
    <x v="0"/>
    <s v="Meeting Cubebuilding"/>
    <m/>
    <s v="Borchard"/>
    <m/>
    <e v="#N/A"/>
    <e v="#N/A"/>
    <e v="#N/A"/>
    <e v="#N/A"/>
    <x v="9"/>
  </r>
  <r>
    <x v="1150"/>
    <n v="7"/>
    <x v="35"/>
    <x v="0"/>
    <s v="Meeting Cubebuilding"/>
    <m/>
    <s v="Borchard"/>
    <m/>
    <e v="#N/A"/>
    <e v="#N/A"/>
    <e v="#N/A"/>
    <e v="#N/A"/>
    <x v="9"/>
  </r>
  <r>
    <x v="1151"/>
    <n v="5"/>
    <x v="35"/>
    <x v="0"/>
    <s v="HO: imsPP ServiceMonitor Test + Installation"/>
    <m/>
    <s v="Herd"/>
    <m/>
    <e v="#N/A"/>
    <e v="#N/A"/>
    <e v="#N/A"/>
    <e v="#N/A"/>
    <x v="9"/>
  </r>
  <r>
    <x v="1152"/>
    <n v="2"/>
    <x v="35"/>
    <x v="0"/>
    <s v="HO: Integration Services Online Meeting"/>
    <m/>
    <s v="Wang"/>
    <m/>
    <e v="#N/A"/>
    <e v="#N/A"/>
    <e v="#N/A"/>
    <e v="#N/A"/>
    <x v="9"/>
  </r>
  <r>
    <x v="1152"/>
    <n v="1"/>
    <x v="35"/>
    <x v="0"/>
    <s v="HO: Powercharts Meeting"/>
    <m/>
    <s v="Kleinfeldt"/>
    <m/>
    <e v="#N/A"/>
    <e v="#N/A"/>
    <e v="#N/A"/>
    <e v="#N/A"/>
    <x v="9"/>
  </r>
  <r>
    <x v="1153"/>
    <n v="6"/>
    <x v="35"/>
    <x v="0"/>
    <s v="HO: ST-Builder"/>
    <m/>
    <s v="Candido"/>
    <m/>
    <e v="#N/A"/>
    <e v="#N/A"/>
    <e v="#N/A"/>
    <e v="#N/A"/>
    <x v="9"/>
  </r>
  <r>
    <x v="1154"/>
    <n v="4"/>
    <x v="35"/>
    <x v="0"/>
    <s v="HO: ST-Builder"/>
    <m/>
    <s v="Candido"/>
    <m/>
    <e v="#N/A"/>
    <e v="#N/A"/>
    <e v="#N/A"/>
    <e v="#N/A"/>
    <x v="9"/>
  </r>
  <r>
    <x v="1155"/>
    <n v="7"/>
    <x v="35"/>
    <x v="0"/>
    <s v="HO: Lrx Reporting"/>
    <m/>
    <s v="Fisher"/>
    <m/>
    <e v="#N/A"/>
    <e v="#N/A"/>
    <e v="#N/A"/>
    <e v="#N/A"/>
    <x v="10"/>
  </r>
  <r>
    <x v="1156"/>
    <n v="8"/>
    <x v="35"/>
    <x v="0"/>
    <s v="HO: Lrx Reporting"/>
    <m/>
    <s v="Fisher"/>
    <m/>
    <e v="#N/A"/>
    <e v="#N/A"/>
    <e v="#N/A"/>
    <e v="#N/A"/>
    <x v="10"/>
  </r>
  <r>
    <x v="1157"/>
    <n v="9"/>
    <x v="35"/>
    <x v="0"/>
    <s v="HO: Lrx Reporting"/>
    <m/>
    <s v="Fisher"/>
    <m/>
    <e v="#N/A"/>
    <e v="#N/A"/>
    <e v="#N/A"/>
    <e v="#N/A"/>
    <x v="10"/>
  </r>
  <r>
    <x v="1158"/>
    <n v="1"/>
    <x v="35"/>
    <x v="0"/>
    <s v="HO: imsPP ProdesisExport Aufstellung"/>
    <m/>
    <s v="Hornbruch"/>
    <m/>
    <e v="#N/A"/>
    <e v="#N/A"/>
    <e v="#N/A"/>
    <e v="#N/A"/>
    <x v="10"/>
  </r>
  <r>
    <x v="1158"/>
    <n v="7"/>
    <x v="35"/>
    <x v="0"/>
    <s v="HO: Lrx Reporting"/>
    <m/>
    <s v="Fisher"/>
    <m/>
    <e v="#N/A"/>
    <e v="#N/A"/>
    <e v="#N/A"/>
    <e v="#N/A"/>
    <x v="10"/>
  </r>
  <r>
    <x v="1158"/>
    <n v="1"/>
    <x v="35"/>
    <x v="0"/>
    <s v="QualityCheck "/>
    <m/>
    <s v="Gütig"/>
    <m/>
    <e v="#N/A"/>
    <e v="#N/A"/>
    <e v="#N/A"/>
    <e v="#N/A"/>
    <x v="10"/>
  </r>
  <r>
    <x v="1159"/>
    <n v="3"/>
    <x v="35"/>
    <x v="0"/>
    <s v="HO: Lrx Reporting"/>
    <m/>
    <s v="Fisher"/>
    <m/>
    <e v="#N/A"/>
    <e v="#N/A"/>
    <e v="#N/A"/>
    <e v="#N/A"/>
    <x v="10"/>
  </r>
  <r>
    <x v="1160"/>
    <n v="7"/>
    <x v="35"/>
    <x v="0"/>
    <s v="HO: Lrx Reporting"/>
    <m/>
    <s v="Fisher"/>
    <m/>
    <e v="#N/A"/>
    <e v="#N/A"/>
    <e v="#N/A"/>
    <e v="#N/A"/>
    <x v="10"/>
  </r>
  <r>
    <x v="1161"/>
    <n v="6"/>
    <x v="35"/>
    <x v="0"/>
    <s v="HO: Installation New Dev Environment for SQL Server R2"/>
    <m/>
    <s v="Fisher"/>
    <m/>
    <e v="#N/A"/>
    <e v="#N/A"/>
    <e v="#N/A"/>
    <e v="#N/A"/>
    <x v="10"/>
  </r>
  <r>
    <x v="1162"/>
    <n v="8"/>
    <x v="35"/>
    <x v="0"/>
    <s v="HO: Lrx Reporting switch to MDX"/>
    <m/>
    <s v="Fisher"/>
    <m/>
    <e v="#N/A"/>
    <e v="#N/A"/>
    <e v="#N/A"/>
    <e v="#N/A"/>
    <x v="10"/>
  </r>
  <r>
    <x v="1163"/>
    <n v="8"/>
    <x v="35"/>
    <x v="0"/>
    <s v="HO: Lrx Reporting switch to MDX"/>
    <m/>
    <s v="Fisher"/>
    <m/>
    <e v="#N/A"/>
    <e v="#N/A"/>
    <e v="#N/A"/>
    <e v="#N/A"/>
    <x v="10"/>
  </r>
  <r>
    <x v="1164"/>
    <n v="8"/>
    <x v="35"/>
    <x v="0"/>
    <s v="HO: Lrx Reporting switch to MDX"/>
    <m/>
    <s v="Fisher"/>
    <m/>
    <e v="#N/A"/>
    <e v="#N/A"/>
    <e v="#N/A"/>
    <e v="#N/A"/>
    <x v="10"/>
  </r>
  <r>
    <x v="1165"/>
    <n v="2"/>
    <x v="35"/>
    <x v="0"/>
    <s v="Novartis Reproting Services Workshop"/>
    <m/>
    <s v="Borchard"/>
    <m/>
    <e v="#N/A"/>
    <e v="#N/A"/>
    <e v="#N/A"/>
    <e v="#N/A"/>
    <x v="10"/>
  </r>
  <r>
    <x v="1165"/>
    <n v="2"/>
    <x v="35"/>
    <x v="0"/>
    <s v="Datenintegration SQL 2005"/>
    <m/>
    <s v="Montermann"/>
    <m/>
    <e v="#N/A"/>
    <e v="#N/A"/>
    <e v="#N/A"/>
    <e v="#N/A"/>
    <x v="10"/>
  </r>
  <r>
    <x v="1166"/>
    <n v="7"/>
    <x v="35"/>
    <x v="0"/>
    <s v="HO: Lrx Reporting Functionality changes first part"/>
    <m/>
    <s v="Fisher"/>
    <m/>
    <e v="#N/A"/>
    <e v="#N/A"/>
    <e v="#N/A"/>
    <e v="#N/A"/>
    <x v="10"/>
  </r>
  <r>
    <x v="1167"/>
    <n v="8"/>
    <x v="35"/>
    <x v="0"/>
    <s v="HO: Lrx Reporting Functionality changes first part"/>
    <m/>
    <s v="Fisher"/>
    <m/>
    <e v="#N/A"/>
    <e v="#N/A"/>
    <e v="#N/A"/>
    <e v="#N/A"/>
    <x v="10"/>
  </r>
  <r>
    <x v="1168"/>
    <n v="1"/>
    <x v="35"/>
    <x v="0"/>
    <s v="HO: Lrx Reporting showcase meeting"/>
    <m/>
    <s v="Fisher"/>
    <m/>
    <e v="#N/A"/>
    <e v="#N/A"/>
    <e v="#N/A"/>
    <e v="#N/A"/>
    <x v="10"/>
  </r>
  <r>
    <x v="1168"/>
    <n v="1"/>
    <x v="35"/>
    <x v="0"/>
    <s v="HO: Lrx Reporting SOB"/>
    <m/>
    <s v="Fisher"/>
    <m/>
    <e v="#N/A"/>
    <e v="#N/A"/>
    <e v="#N/A"/>
    <e v="#N/A"/>
    <x v="10"/>
  </r>
  <r>
    <x v="1169"/>
    <n v="5"/>
    <x v="35"/>
    <x v="0"/>
    <s v="HO: Lrx Reporting SOB"/>
    <m/>
    <s v="Fisher"/>
    <m/>
    <e v="#N/A"/>
    <e v="#N/A"/>
    <e v="#N/A"/>
    <e v="#N/A"/>
    <x v="10"/>
  </r>
  <r>
    <x v="1170"/>
    <n v="8"/>
    <x v="35"/>
    <x v="0"/>
    <s v="HO: Lrx Reporting Patient Dyn"/>
    <m/>
    <s v="Fisher"/>
    <m/>
    <e v="#N/A"/>
    <e v="#N/A"/>
    <e v="#N/A"/>
    <e v="#N/A"/>
    <x v="10"/>
  </r>
  <r>
    <x v="1171"/>
    <n v="7.5"/>
    <x v="35"/>
    <x v="0"/>
    <s v="HO: Lrx Reporting Win Loss"/>
    <m/>
    <s v="Fisher"/>
    <m/>
    <e v="#N/A"/>
    <e v="#N/A"/>
    <e v="#N/A"/>
    <e v="#N/A"/>
    <x v="10"/>
  </r>
  <r>
    <x v="1172"/>
    <n v="6"/>
    <x v="35"/>
    <x v="0"/>
    <s v="HO: Lrx Reporting Win Loss"/>
    <m/>
    <s v="Fisher"/>
    <m/>
    <e v="#N/A"/>
    <e v="#N/A"/>
    <e v="#N/A"/>
    <e v="#N/A"/>
    <x v="10"/>
  </r>
  <r>
    <x v="1173"/>
    <n v="2"/>
    <x v="35"/>
    <x v="0"/>
    <s v="HO: Lrx Reporting Switch Matrix"/>
    <m/>
    <s v="Fisher"/>
    <m/>
    <e v="#N/A"/>
    <e v="#N/A"/>
    <e v="#N/A"/>
    <e v="#N/A"/>
    <x v="10"/>
  </r>
  <r>
    <x v="1174"/>
    <n v="1"/>
    <x v="35"/>
    <x v="0"/>
    <s v="HO: Lrx Reporting Switch Matrix"/>
    <m/>
    <s v="Fisher"/>
    <m/>
    <e v="#N/A"/>
    <e v="#N/A"/>
    <e v="#N/A"/>
    <e v="#N/A"/>
    <x v="10"/>
  </r>
  <r>
    <x v="1175"/>
    <n v="1"/>
    <x v="35"/>
    <x v="0"/>
    <s v="Lrx Reporting Showcase Meeting"/>
    <m/>
    <s v="Fisher"/>
    <m/>
    <e v="#N/A"/>
    <e v="#N/A"/>
    <e v="#N/A"/>
    <e v="#N/A"/>
    <x v="10"/>
  </r>
  <r>
    <x v="1175"/>
    <n v="1.5"/>
    <x v="35"/>
    <x v="0"/>
    <s v="imsPP ProdesisExport Installation in Production"/>
    <m/>
    <s v="Hornbruch"/>
    <m/>
    <e v="#N/A"/>
    <e v="#N/A"/>
    <e v="#N/A"/>
    <e v="#N/A"/>
    <x v="10"/>
  </r>
  <r>
    <x v="1176"/>
    <n v="5"/>
    <x v="35"/>
    <x v="0"/>
    <s v="Lrx Reporting Switch Matrix"/>
    <m/>
    <s v="Fisher"/>
    <m/>
    <e v="#N/A"/>
    <e v="#N/A"/>
    <e v="#N/A"/>
    <e v="#N/A"/>
    <x v="10"/>
  </r>
  <r>
    <x v="1177"/>
    <n v="6"/>
    <x v="35"/>
    <x v="0"/>
    <s v="Lrx Reporting Market and Switch Matrix"/>
    <m/>
    <s v="Fisher"/>
    <m/>
    <e v="#N/A"/>
    <e v="#N/A"/>
    <e v="#N/A"/>
    <e v="#N/A"/>
    <x v="10"/>
  </r>
  <r>
    <x v="1178"/>
    <n v="7"/>
    <x v="35"/>
    <x v="0"/>
    <s v="Lrx Reporting Market Report Redesign"/>
    <m/>
    <s v="Fisher"/>
    <m/>
    <e v="#N/A"/>
    <e v="#N/A"/>
    <e v="#N/A"/>
    <e v="#N/A"/>
    <x v="10"/>
  </r>
  <r>
    <x v="1179"/>
    <n v="8"/>
    <x v="35"/>
    <x v="0"/>
    <s v="Lrx Reporting Brand Patient + Brand Sales Redesign"/>
    <m/>
    <s v="Fisher"/>
    <m/>
    <e v="#N/A"/>
    <e v="#N/A"/>
    <e v="#N/A"/>
    <e v="#N/A"/>
    <x v="10"/>
  </r>
  <r>
    <x v="1180"/>
    <n v="6"/>
    <x v="35"/>
    <x v="0"/>
    <s v="Lrx Reporting Brand Expert Redesign"/>
    <m/>
    <s v="Fisher"/>
    <m/>
    <e v="#N/A"/>
    <e v="#N/A"/>
    <e v="#N/A"/>
    <e v="#N/A"/>
    <x v="10"/>
  </r>
  <r>
    <x v="1180"/>
    <n v="2"/>
    <x v="35"/>
    <x v="0"/>
    <s v=" imsPP Adam Änderung Beschriftung, Test"/>
    <m/>
    <s v="Runkel"/>
    <m/>
    <e v="#N/A"/>
    <e v="#N/A"/>
    <e v="#N/A"/>
    <e v="#N/A"/>
    <x v="10"/>
  </r>
  <r>
    <x v="1181"/>
    <n v="8"/>
    <x v="35"/>
    <x v="0"/>
    <s v="Lrx Reporting Anpassungen neue Datenbank"/>
    <m/>
    <s v="Fisher"/>
    <m/>
    <e v="#N/A"/>
    <e v="#N/A"/>
    <e v="#N/A"/>
    <e v="#N/A"/>
    <x v="10"/>
  </r>
  <r>
    <x v="1182"/>
    <n v="8"/>
    <x v="35"/>
    <x v="0"/>
    <s v="Lrx Reporting sparklines"/>
    <m/>
    <s v="Fisher"/>
    <m/>
    <e v="#N/A"/>
    <e v="#N/A"/>
    <e v="#N/A"/>
    <e v="#N/A"/>
    <x v="10"/>
  </r>
  <r>
    <x v="1183"/>
    <n v="6"/>
    <x v="35"/>
    <x v="0"/>
    <s v="Lrx Reporting deployment dev server, multiple databases per report"/>
    <m/>
    <s v="Fisher"/>
    <m/>
    <e v="#N/A"/>
    <e v="#N/A"/>
    <e v="#N/A"/>
    <e v="#N/A"/>
    <x v="10"/>
  </r>
  <r>
    <x v="1184"/>
    <n v="4"/>
    <x v="35"/>
    <x v="0"/>
    <s v="Lrx Reporting connector lines, Market Overview fixed"/>
    <m/>
    <s v="Fisher"/>
    <m/>
    <e v="#N/A"/>
    <e v="#N/A"/>
    <e v="#N/A"/>
    <e v="#N/A"/>
    <x v="10"/>
  </r>
  <r>
    <x v="1185"/>
    <n v="2"/>
    <x v="35"/>
    <x v="0"/>
    <s v="Lrx Reporting Customer Portal Support"/>
    <m/>
    <s v="Fisher"/>
    <m/>
    <e v="#N/A"/>
    <e v="#N/A"/>
    <e v="#N/A"/>
    <e v="#N/A"/>
    <x v="10"/>
  </r>
  <r>
    <x v="1185"/>
    <n v="1"/>
    <x v="35"/>
    <x v="0"/>
    <s v=" imsPP Adam Installation und Test Update"/>
    <m/>
    <s v="Runkel"/>
    <m/>
    <e v="#N/A"/>
    <e v="#N/A"/>
    <e v="#N/A"/>
    <e v="#N/A"/>
    <x v="10"/>
  </r>
  <r>
    <x v="1185"/>
    <n v="3"/>
    <x v="35"/>
    <x v="0"/>
    <s v="Lrx Reporting Market Overview"/>
    <m/>
    <s v="Fisher"/>
    <m/>
    <e v="#N/A"/>
    <e v="#N/A"/>
    <e v="#N/A"/>
    <e v="#N/A"/>
    <x v="10"/>
  </r>
  <r>
    <x v="1185"/>
    <n v="1"/>
    <x v="35"/>
    <x v="0"/>
    <s v="Lrx Reporting WinLoss"/>
    <m/>
    <s v="Fisher"/>
    <m/>
    <e v="#N/A"/>
    <e v="#N/A"/>
    <e v="#N/A"/>
    <e v="#N/A"/>
    <x v="10"/>
  </r>
  <r>
    <x v="1186"/>
    <n v="5"/>
    <x v="35"/>
    <x v="0"/>
    <s v="Lrx Reporting 1280 width compression, all reports"/>
    <m/>
    <s v="Fisher"/>
    <m/>
    <e v="#N/A"/>
    <e v="#N/A"/>
    <e v="#N/A"/>
    <e v="#N/A"/>
    <x v="10"/>
  </r>
  <r>
    <x v="1186"/>
    <n v="1"/>
    <x v="35"/>
    <x v="0"/>
    <s v="Lrx Reporting Laptop installation"/>
    <m/>
    <s v="Fisher"/>
    <m/>
    <e v="#N/A"/>
    <e v="#N/A"/>
    <e v="#N/A"/>
    <e v="#N/A"/>
    <x v="10"/>
  </r>
  <r>
    <x v="1187"/>
    <n v="7"/>
    <x v="35"/>
    <x v="0"/>
    <s v="Lrx Reporting new popup Total Sales Detail Report"/>
    <m/>
    <s v="Fisher"/>
    <m/>
    <e v="#N/A"/>
    <e v="#N/A"/>
    <e v="#N/A"/>
    <e v="#N/A"/>
    <x v="10"/>
  </r>
  <r>
    <x v="1188"/>
    <n v="4"/>
    <x v="35"/>
    <x v="0"/>
    <s v="Lrx Reporting height compression"/>
    <m/>
    <s v="Fisher"/>
    <m/>
    <e v="#N/A"/>
    <e v="#N/A"/>
    <e v="#N/A"/>
    <e v="#N/A"/>
    <x v="10"/>
  </r>
  <r>
    <x v="1189"/>
    <n v="4"/>
    <x v="35"/>
    <x v="0"/>
    <s v="Lrx Reporting height compression"/>
    <m/>
    <s v="Fisher"/>
    <m/>
    <e v="#N/A"/>
    <e v="#N/A"/>
    <e v="#N/A"/>
    <e v="#N/A"/>
    <x v="10"/>
  </r>
  <r>
    <x v="1190"/>
    <n v="1"/>
    <x v="35"/>
    <x v="0"/>
    <s v="Lrx Reporting Test Environment update"/>
    <m/>
    <s v="Fisher"/>
    <m/>
    <e v="#N/A"/>
    <e v="#N/A"/>
    <e v="#N/A"/>
    <e v="#N/A"/>
    <x v="10"/>
  </r>
  <r>
    <x v="1191"/>
    <n v="2.5"/>
    <x v="35"/>
    <x v="0"/>
    <s v="Lrx Reporting Laptop update"/>
    <m/>
    <s v="Fisher"/>
    <m/>
    <e v="#N/A"/>
    <e v="#N/A"/>
    <e v="#N/A"/>
    <e v="#N/A"/>
    <x v="10"/>
  </r>
  <r>
    <x v="1192"/>
    <n v="2"/>
    <x v="35"/>
    <x v="0"/>
    <s v="HO: ProdCopy Unzip"/>
    <m/>
    <s v="Hornbruch"/>
    <m/>
    <e v="#N/A"/>
    <e v="#N/A"/>
    <e v="#N/A"/>
    <e v="#N/A"/>
    <x v="10"/>
  </r>
  <r>
    <x v="1193"/>
    <n v="1"/>
    <x v="35"/>
    <x v="0"/>
    <s v="HO: ProdCopy Unzip"/>
    <m/>
    <s v="Hornbruch"/>
    <m/>
    <e v="#N/A"/>
    <e v="#N/A"/>
    <e v="#N/A"/>
    <e v="#N/A"/>
    <x v="10"/>
  </r>
  <r>
    <x v="1193"/>
    <n v="2"/>
    <x v="35"/>
    <x v="0"/>
    <s v="Lrx Reporting Market Overview fixes"/>
    <m/>
    <s v="Fisher"/>
    <m/>
    <e v="#N/A"/>
    <e v="#N/A"/>
    <e v="#N/A"/>
    <e v="#N/A"/>
    <x v="10"/>
  </r>
  <r>
    <x v="1194"/>
    <n v="2"/>
    <x v="35"/>
    <x v="0"/>
    <s v="Lrx Reporting Market Pain Market"/>
    <m/>
    <s v="Fisher"/>
    <m/>
    <e v="#N/A"/>
    <e v="#N/A"/>
    <e v="#N/A"/>
    <e v="#N/A"/>
    <x v="10"/>
  </r>
  <r>
    <x v="1194"/>
    <n v="1"/>
    <x v="35"/>
    <x v="0"/>
    <s v="Lrx Reporting Support"/>
    <m/>
    <s v="Fisher"/>
    <m/>
    <e v="#N/A"/>
    <e v="#N/A"/>
    <e v="#N/A"/>
    <e v="#N/A"/>
    <x v="10"/>
  </r>
  <r>
    <x v="1194"/>
    <n v="1"/>
    <x v="35"/>
    <x v="0"/>
    <s v="HO: imsPP2 Logging"/>
    <m/>
    <s v="Borchard"/>
    <m/>
    <e v="#N/A"/>
    <e v="#N/A"/>
    <e v="#N/A"/>
    <e v="#N/A"/>
    <x v="10"/>
  </r>
  <r>
    <x v="1195"/>
    <n v="1"/>
    <x v="35"/>
    <x v="0"/>
    <s v="Lrx Reporting Support"/>
    <m/>
    <s v="Fisher"/>
    <m/>
    <e v="#N/A"/>
    <e v="#N/A"/>
    <e v="#N/A"/>
    <e v="#N/A"/>
    <x v="10"/>
  </r>
  <r>
    <x v="1196"/>
    <n v="1"/>
    <x v="35"/>
    <x v="0"/>
    <s v="Lrx Reporting Support"/>
    <m/>
    <s v="Fisher"/>
    <m/>
    <e v="#N/A"/>
    <e v="#N/A"/>
    <e v="#N/A"/>
    <e v="#N/A"/>
    <x v="10"/>
  </r>
  <r>
    <x v="1196"/>
    <n v="1"/>
    <x v="35"/>
    <x v="0"/>
    <s v="Lrx Reporting Market Popup Window"/>
    <m/>
    <s v="Fisher"/>
    <m/>
    <e v="#N/A"/>
    <e v="#N/A"/>
    <e v="#N/A"/>
    <e v="#N/A"/>
    <x v="10"/>
  </r>
  <r>
    <x v="1197"/>
    <n v="5"/>
    <x v="35"/>
    <x v="0"/>
    <s v="Lrx Reporting IE7 Authentication Issue"/>
    <m/>
    <s v="Fisher"/>
    <m/>
    <e v="#N/A"/>
    <e v="#N/A"/>
    <e v="#N/A"/>
    <e v="#N/A"/>
    <x v="10"/>
  </r>
  <r>
    <x v="1197"/>
    <n v="3"/>
    <x v="35"/>
    <x v="0"/>
    <s v="Lrx Reporting IE7 Popup Window Integration Mode"/>
    <m/>
    <s v="Fisher"/>
    <m/>
    <e v="#N/A"/>
    <e v="#N/A"/>
    <e v="#N/A"/>
    <e v="#N/A"/>
    <x v="10"/>
  </r>
  <r>
    <x v="1198"/>
    <n v="2"/>
    <x v="35"/>
    <x v="0"/>
    <s v="Lrx Reporting IE7 Popup Window Integration Mode"/>
    <m/>
    <s v="Fisher"/>
    <m/>
    <e v="#N/A"/>
    <e v="#N/A"/>
    <e v="#N/A"/>
    <e v="#N/A"/>
    <x v="10"/>
  </r>
  <r>
    <x v="1199"/>
    <n v="6"/>
    <x v="35"/>
    <x v="0"/>
    <s v="Lrx Reporting Single Cube Version"/>
    <m/>
    <s v="Fisher"/>
    <m/>
    <e v="#N/A"/>
    <e v="#N/A"/>
    <e v="#N/A"/>
    <e v="#N/A"/>
    <x v="10"/>
  </r>
  <r>
    <x v="1199"/>
    <n v="2"/>
    <x v="35"/>
    <x v="0"/>
    <s v="Lrx Reporting IE7 Authentication Issue"/>
    <m/>
    <s v="Fisher"/>
    <m/>
    <e v="#N/A"/>
    <e v="#N/A"/>
    <e v="#N/A"/>
    <e v="#N/A"/>
    <x v="10"/>
  </r>
  <r>
    <x v="1200"/>
    <n v="4"/>
    <x v="35"/>
    <x v="0"/>
    <s v="Lrx Reporting Single Cube Version"/>
    <m/>
    <s v="Fisher"/>
    <m/>
    <e v="#N/A"/>
    <e v="#N/A"/>
    <e v="#N/A"/>
    <e v="#N/A"/>
    <x v="10"/>
  </r>
  <r>
    <x v="1200"/>
    <n v="1"/>
    <x v="35"/>
    <x v="0"/>
    <s v="Lrx Bugfixing"/>
    <m/>
    <s v="Fisher"/>
    <m/>
    <e v="#N/A"/>
    <e v="#N/A"/>
    <e v="#N/A"/>
    <e v="#N/A"/>
    <x v="10"/>
  </r>
  <r>
    <x v="1200"/>
    <n v="1"/>
    <x v="35"/>
    <x v="0"/>
    <s v="Lrx Reporting IE7 Authentication Issue"/>
    <m/>
    <s v="Fisher"/>
    <m/>
    <e v="#N/A"/>
    <e v="#N/A"/>
    <e v="#N/A"/>
    <e v="#N/A"/>
    <x v="10"/>
  </r>
  <r>
    <x v="1201"/>
    <n v="4"/>
    <x v="35"/>
    <x v="0"/>
    <s v="HO: imsPP Monatliche Prod Übersicht"/>
    <m/>
    <s v="Borchard"/>
    <m/>
    <e v="#N/A"/>
    <e v="#N/A"/>
    <e v="#N/A"/>
    <e v="#N/A"/>
    <x v="10"/>
  </r>
  <r>
    <x v="1201"/>
    <n v="4"/>
    <x v="35"/>
    <x v="0"/>
    <s v="Lrx Reporting Single Cube Version"/>
    <m/>
    <s v="Fisher"/>
    <m/>
    <e v="#N/A"/>
    <e v="#N/A"/>
    <e v="#N/A"/>
    <e v="#N/A"/>
    <x v="10"/>
  </r>
  <r>
    <x v="1202"/>
    <n v="1"/>
    <x v="35"/>
    <x v="0"/>
    <s v="Lrx Reporting Administration"/>
    <m/>
    <s v="Fisher"/>
    <m/>
    <e v="#N/A"/>
    <e v="#N/A"/>
    <e v="#N/A"/>
    <e v="#N/A"/>
    <x v="10"/>
  </r>
  <r>
    <x v="1202"/>
    <n v="5"/>
    <x v="35"/>
    <x v="0"/>
    <s v="HO: imsPP Monatliche Prod Übersicht + Test + Inst."/>
    <m/>
    <s v="Borchard"/>
    <m/>
    <e v="#N/A"/>
    <e v="#N/A"/>
    <e v="#N/A"/>
    <e v="#N/A"/>
    <x v="10"/>
  </r>
  <r>
    <x v="1203"/>
    <n v="4"/>
    <x v="35"/>
    <x v="0"/>
    <s v="Lrx Reporting Data Driven Header Single Cube Version and other"/>
    <m/>
    <s v="Fisher"/>
    <m/>
    <e v="#N/A"/>
    <e v="#N/A"/>
    <e v="#N/A"/>
    <e v="#N/A"/>
    <x v="10"/>
  </r>
  <r>
    <x v="1203"/>
    <n v="1"/>
    <x v="35"/>
    <x v="0"/>
    <s v="Lrx Reporting Bugfixing Single Cube Version"/>
    <m/>
    <s v="Fisher"/>
    <m/>
    <e v="#N/A"/>
    <e v="#N/A"/>
    <e v="#N/A"/>
    <e v="#N/A"/>
    <x v="10"/>
  </r>
  <r>
    <x v="1204"/>
    <n v="2"/>
    <x v="35"/>
    <x v="0"/>
    <s v="Besprechung"/>
    <m/>
    <s v="Borchard"/>
    <m/>
    <e v="#N/A"/>
    <e v="#N/A"/>
    <e v="#N/A"/>
    <e v="#N/A"/>
    <x v="10"/>
  </r>
  <r>
    <x v="1204"/>
    <n v="1"/>
    <x v="35"/>
    <x v="0"/>
    <s v="Lrx Reporting Installation Support"/>
    <m/>
    <s v="Fisher"/>
    <m/>
    <e v="#N/A"/>
    <e v="#N/A"/>
    <e v="#N/A"/>
    <e v="#N/A"/>
    <x v="10"/>
  </r>
  <r>
    <x v="1204"/>
    <n v="3"/>
    <x v="35"/>
    <x v="0"/>
    <s v="Lrx Reporting Single Cube Version Bugfixing"/>
    <m/>
    <s v="Fisher"/>
    <m/>
    <e v="#N/A"/>
    <e v="#N/A"/>
    <e v="#N/A"/>
    <e v="#N/A"/>
    <x v="10"/>
  </r>
  <r>
    <x v="1204"/>
    <n v="1"/>
    <x v="35"/>
    <x v="0"/>
    <s v="Powercharts Meeting"/>
    <m/>
    <s v="Archinger"/>
    <m/>
    <e v="#N/A"/>
    <e v="#N/A"/>
    <e v="#N/A"/>
    <e v="#N/A"/>
    <x v="10"/>
  </r>
  <r>
    <x v="1205"/>
    <n v="7"/>
    <x v="35"/>
    <x v="0"/>
    <s v="Lrx Reporting: WinLoss, Brand Patient, BrandSales View Changes + Bugfixing"/>
    <m/>
    <s v="Fisher"/>
    <m/>
    <e v="#N/A"/>
    <e v="#N/A"/>
    <e v="#N/A"/>
    <e v="#N/A"/>
    <x v="10"/>
  </r>
  <r>
    <x v="1206"/>
    <n v="2"/>
    <x v="35"/>
    <x v="0"/>
    <s v="Lrx Reporting: Update Production and Dev + Support Steve"/>
    <m/>
    <s v="Fisher"/>
    <m/>
    <e v="#N/A"/>
    <e v="#N/A"/>
    <e v="#N/A"/>
    <e v="#N/A"/>
    <x v="10"/>
  </r>
  <r>
    <x v="1206"/>
    <n v="1"/>
    <x v="35"/>
    <x v="0"/>
    <s v="Lrx Reporting: Laptop Install"/>
    <m/>
    <s v="Fisher"/>
    <m/>
    <e v="#N/A"/>
    <e v="#N/A"/>
    <e v="#N/A"/>
    <e v="#N/A"/>
    <x v="10"/>
  </r>
  <r>
    <x v="1207"/>
    <n v="1"/>
    <x v="35"/>
    <x v="0"/>
    <s v="Lrx Reporting: Laptop Install"/>
    <m/>
    <s v="Fisher"/>
    <m/>
    <e v="#N/A"/>
    <e v="#N/A"/>
    <e v="#N/A"/>
    <e v="#N/A"/>
    <x v="10"/>
  </r>
  <r>
    <x v="1208"/>
    <n v="1"/>
    <x v="35"/>
    <x v="0"/>
    <s v="Ascii PP Installations Support"/>
    <m/>
    <s v="Reiner"/>
    <m/>
    <e v="#N/A"/>
    <e v="#N/A"/>
    <e v="#N/A"/>
    <e v="#N/A"/>
    <x v="10"/>
  </r>
  <r>
    <x v="1208"/>
    <n v="5"/>
    <x v="35"/>
    <x v="0"/>
    <s v="Lrx Reporting: Mundi Requirements"/>
    <m/>
    <s v="Fisher"/>
    <m/>
    <e v="#N/A"/>
    <e v="#N/A"/>
    <e v="#N/A"/>
    <e v="#N/A"/>
    <x v="10"/>
  </r>
  <r>
    <x v="1209"/>
    <n v="8"/>
    <x v="35"/>
    <x v="0"/>
    <s v="Lrx Reporting: Mundi Requirements"/>
    <m/>
    <s v="Fisher"/>
    <m/>
    <e v="#N/A"/>
    <e v="#N/A"/>
    <e v="#N/A"/>
    <e v="#N/A"/>
    <x v="10"/>
  </r>
  <r>
    <x v="1210"/>
    <n v="5"/>
    <x v="35"/>
    <x v="0"/>
    <s v="Lrx Reporting: Mundi Requirements"/>
    <m/>
    <s v="Fisher"/>
    <m/>
    <e v="#N/A"/>
    <e v="#N/A"/>
    <e v="#N/A"/>
    <e v="#N/A"/>
    <x v="10"/>
  </r>
  <r>
    <x v="1211"/>
    <n v="8"/>
    <x v="35"/>
    <x v="0"/>
    <s v="HO: imsPP Kopierbug Überwachung mit Status 0a"/>
    <m/>
    <s v="Borchard"/>
    <m/>
    <e v="#N/A"/>
    <e v="#N/A"/>
    <e v="#N/A"/>
    <e v="#N/A"/>
    <x v="10"/>
  </r>
  <r>
    <x v="1212"/>
    <n v="2"/>
    <x v="35"/>
    <x v="0"/>
    <s v="Lrx Reporting: Update Single Cube and Production"/>
    <m/>
    <s v="Fisher"/>
    <m/>
    <e v="#N/A"/>
    <e v="#N/A"/>
    <e v="#N/A"/>
    <e v="#N/A"/>
    <x v="10"/>
  </r>
  <r>
    <x v="1213"/>
    <n v="4"/>
    <x v="35"/>
    <x v="0"/>
    <s v="Lrx Reporting: Market report Loss bar chart reversal, update SC and Production dashboard"/>
    <m/>
    <s v="Fisher"/>
    <m/>
    <e v="#N/A"/>
    <e v="#N/A"/>
    <e v="#N/A"/>
    <e v="#N/A"/>
    <x v="10"/>
  </r>
  <r>
    <x v="1213"/>
    <n v="4"/>
    <x v="35"/>
    <x v="0"/>
    <s v="BBH: Sharepoint Dev Umgebung einrichten"/>
    <m/>
    <s v="Borchard"/>
    <m/>
    <e v="#N/A"/>
    <e v="#N/A"/>
    <e v="#N/A"/>
    <e v="#N/A"/>
    <x v="10"/>
  </r>
  <r>
    <x v="1214"/>
    <n v="4"/>
    <x v="35"/>
    <x v="0"/>
    <s v="BBH: Sharepoint Dev Umgebung einrichten"/>
    <m/>
    <s v="Borchard"/>
    <m/>
    <e v="#N/A"/>
    <e v="#N/A"/>
    <e v="#N/A"/>
    <e v="#N/A"/>
    <x v="10"/>
  </r>
  <r>
    <x v="1215"/>
    <n v="4"/>
    <x v="35"/>
    <x v="0"/>
    <s v="BBH: Access DB + SQL Datenbank Import"/>
    <m/>
    <s v="Borchard"/>
    <m/>
    <e v="#N/A"/>
    <e v="#N/A"/>
    <e v="#N/A"/>
    <e v="#N/A"/>
    <x v="10"/>
  </r>
  <r>
    <x v="1215"/>
    <n v="4"/>
    <x v="35"/>
    <x v="0"/>
    <s v="BBH: Reporting Services Bericht"/>
    <m/>
    <s v="Borchard"/>
    <m/>
    <e v="#N/A"/>
    <e v="#N/A"/>
    <e v="#N/A"/>
    <e v="#N/A"/>
    <x v="10"/>
  </r>
  <r>
    <x v="1216"/>
    <n v="3"/>
    <x v="35"/>
    <x v="0"/>
    <s v="Lrx Reporting: Current, Previous Report Start and End Date for MS"/>
    <m/>
    <s v="Fisher"/>
    <m/>
    <e v="#N/A"/>
    <e v="#N/A"/>
    <e v="#N/A"/>
    <e v="#N/A"/>
    <x v="10"/>
  </r>
  <r>
    <x v="1217"/>
    <n v="2"/>
    <x v="35"/>
    <x v="0"/>
    <s v="Lrx Reporting: Current, Previous Report Start and End Date for MS"/>
    <m/>
    <s v="Fisher"/>
    <m/>
    <e v="#N/A"/>
    <e v="#N/A"/>
    <e v="#N/A"/>
    <e v="#N/A"/>
    <x v="10"/>
  </r>
  <r>
    <x v="1218"/>
    <n v="8"/>
    <x v="35"/>
    <x v="0"/>
    <s v="Lrx Reporting: BP Regional"/>
    <m/>
    <s v="Fisher"/>
    <m/>
    <e v="#N/A"/>
    <e v="#N/A"/>
    <e v="#N/A"/>
    <e v="#N/A"/>
    <x v="10"/>
  </r>
  <r>
    <x v="1219"/>
    <n v="10"/>
    <x v="35"/>
    <x v="0"/>
    <s v="Lrx Reporting: BP Regional"/>
    <m/>
    <s v="Fisher"/>
    <m/>
    <e v="#N/A"/>
    <e v="#N/A"/>
    <e v="#N/A"/>
    <e v="#N/A"/>
    <x v="10"/>
  </r>
  <r>
    <x v="1220"/>
    <n v="5"/>
    <x v="35"/>
    <x v="0"/>
    <s v="Lrx Reporting: BP National Lost Patients, MarketShare RoM"/>
    <m/>
    <s v="Wang"/>
    <m/>
    <e v="#N/A"/>
    <e v="#N/A"/>
    <e v="#N/A"/>
    <e v="#N/A"/>
    <x v="10"/>
  </r>
  <r>
    <x v="1221"/>
    <n v="2"/>
    <x v="35"/>
    <x v="0"/>
    <s v="Lrx Reporting: BP National Lost Patients, MarketShare RoM"/>
    <m/>
    <s v="Fisher"/>
    <m/>
    <e v="#N/A"/>
    <e v="#N/A"/>
    <e v="#N/A"/>
    <e v="#N/A"/>
    <x v="10"/>
  </r>
  <r>
    <x v="1221"/>
    <n v="2"/>
    <x v="35"/>
    <x v="0"/>
    <s v="BBH: Installation und Einrichtung auf ffmssql010"/>
    <m/>
    <s v="Borchard"/>
    <m/>
    <e v="#N/A"/>
    <e v="#N/A"/>
    <e v="#N/A"/>
    <e v="#N/A"/>
    <x v="10"/>
  </r>
  <r>
    <x v="1222"/>
    <n v="4"/>
    <x v="35"/>
    <x v="0"/>
    <s v="HO: imsPP Benutzeradministration"/>
    <m/>
    <s v="Borchard"/>
    <m/>
    <e v="#N/A"/>
    <e v="#N/A"/>
    <e v="#N/A"/>
    <e v="#N/A"/>
    <x v="10"/>
  </r>
  <r>
    <x v="1223"/>
    <n v="4"/>
    <x v="35"/>
    <x v="0"/>
    <s v="HO: imsPP Benutzeradministration"/>
    <m/>
    <s v="Borchard"/>
    <m/>
    <e v="#N/A"/>
    <e v="#N/A"/>
    <e v="#N/A"/>
    <e v="#N/A"/>
    <x v="10"/>
  </r>
  <r>
    <x v="1224"/>
    <n v="5"/>
    <x v="35"/>
    <x v="0"/>
    <s v="Lrx Reporting: Report and Database Installation Automation"/>
    <m/>
    <s v="Fisher"/>
    <m/>
    <e v="#N/A"/>
    <e v="#N/A"/>
    <e v="#N/A"/>
    <e v="#N/A"/>
    <x v="10"/>
  </r>
  <r>
    <x v="1225"/>
    <n v="3"/>
    <x v="35"/>
    <x v="0"/>
    <s v="Lrx Reporting: Report and Database Installation Automation"/>
    <m/>
    <s v="Fisher"/>
    <m/>
    <e v="#N/A"/>
    <e v="#N/A"/>
    <e v="#N/A"/>
    <e v="#N/A"/>
    <x v="10"/>
  </r>
  <r>
    <x v="1226"/>
    <n v="4"/>
    <x v="35"/>
    <x v="0"/>
    <s v="Lrx Reporting: Report and Database Installation Automation"/>
    <m/>
    <s v="Fisher"/>
    <m/>
    <e v="#N/A"/>
    <e v="#N/A"/>
    <e v="#N/A"/>
    <e v="#N/A"/>
    <x v="10"/>
  </r>
  <r>
    <x v="1226"/>
    <n v="5"/>
    <x v="35"/>
    <x v="0"/>
    <s v="Powercharts: Aufwandsermittlung Migration"/>
    <m/>
    <s v="Archinger"/>
    <m/>
    <e v="#N/A"/>
    <e v="#N/A"/>
    <e v="#N/A"/>
    <e v="#N/A"/>
    <x v="10"/>
  </r>
  <r>
    <x v="1227"/>
    <n v="6"/>
    <x v="35"/>
    <x v="0"/>
    <s v="Powercharts: Aufwandsermittlung Migration"/>
    <m/>
    <s v="Archinger"/>
    <m/>
    <e v="#N/A"/>
    <e v="#N/A"/>
    <e v="#N/A"/>
    <e v="#N/A"/>
    <x v="10"/>
  </r>
  <r>
    <x v="1228"/>
    <n v="0.5"/>
    <x v="35"/>
    <x v="0"/>
    <s v="imsPP Besprechung"/>
    <m/>
    <s v="Witsch"/>
    <m/>
    <e v="#N/A"/>
    <e v="#N/A"/>
    <e v="#N/A"/>
    <e v="#N/A"/>
    <x v="10"/>
  </r>
  <r>
    <x v="1228"/>
    <n v="1"/>
    <x v="35"/>
    <x v="0"/>
    <s v="Powercharts: Besprechung Aufwandsabschätzung"/>
    <m/>
    <s v="Archinger"/>
    <m/>
    <e v="#N/A"/>
    <e v="#N/A"/>
    <e v="#N/A"/>
    <e v="#N/A"/>
    <x v="10"/>
  </r>
  <r>
    <x v="1228"/>
    <n v="2"/>
    <x v="35"/>
    <x v="0"/>
    <s v="Lrx Reporting: Besprechung + ReportInstaller Einrichtung"/>
    <m/>
    <s v="Fisher/Wang"/>
    <m/>
    <e v="#N/A"/>
    <e v="#N/A"/>
    <e v="#N/A"/>
    <e v="#N/A"/>
    <x v="10"/>
  </r>
  <r>
    <x v="1228"/>
    <n v="1"/>
    <x v="35"/>
    <x v="0"/>
    <s v="Lrx Reporting: Besprechung Graeme und Peter Riebel"/>
    <m/>
    <s v="Riebel"/>
    <m/>
    <e v="#N/A"/>
    <e v="#N/A"/>
    <e v="#N/A"/>
    <e v="#N/A"/>
    <x v="10"/>
  </r>
  <r>
    <x v="1228"/>
    <n v="1"/>
    <x v="35"/>
    <x v="0"/>
    <s v="Lrx Reporting: Support Laptop"/>
    <m/>
    <s v="Wang"/>
    <m/>
    <e v="#N/A"/>
    <e v="#N/A"/>
    <e v="#N/A"/>
    <e v="#N/A"/>
    <x v="10"/>
  </r>
  <r>
    <x v="1229"/>
    <n v="3"/>
    <x v="35"/>
    <x v="0"/>
    <s v="Lrx Reporting: Performance Fixes"/>
    <m/>
    <s v="Fisher"/>
    <m/>
    <e v="#N/A"/>
    <e v="#N/A"/>
    <e v="#N/A"/>
    <e v="#N/A"/>
    <x v="10"/>
  </r>
  <r>
    <x v="1229"/>
    <n v="5"/>
    <x v="35"/>
    <x v="0"/>
    <s v="HO: imsPP Benutzeradministration"/>
    <m/>
    <s v="Borchard"/>
    <m/>
    <e v="#N/A"/>
    <e v="#N/A"/>
    <e v="#N/A"/>
    <e v="#N/A"/>
    <x v="10"/>
  </r>
  <r>
    <x v="1230"/>
    <n v="6"/>
    <x v="35"/>
    <x v="0"/>
    <s v="HO: imsPP Test, Installation neue Version + Benutzerverwaltung"/>
    <m/>
    <s v="Borchard"/>
    <m/>
    <e v="#N/A"/>
    <e v="#N/A"/>
    <e v="#N/A"/>
    <e v="#N/A"/>
    <x v="10"/>
  </r>
  <r>
    <x v="1231"/>
    <n v="5"/>
    <x v="35"/>
    <x v="0"/>
    <s v="HO: iimsPP2 Oberfläche Anforderungen, Visualisierung mittels Powerpoint Demo"/>
    <m/>
    <s v="Borchard"/>
    <m/>
    <e v="#N/A"/>
    <e v="#N/A"/>
    <e v="#N/A"/>
    <e v="#N/A"/>
    <x v="10"/>
  </r>
  <r>
    <x v="1231"/>
    <n v="4"/>
    <x v="35"/>
    <x v="0"/>
    <s v="BBH: neue Version"/>
    <m/>
    <s v="Borchard"/>
    <m/>
    <e v="#N/A"/>
    <e v="#N/A"/>
    <e v="#N/A"/>
    <e v="#N/A"/>
    <x v="10"/>
  </r>
  <r>
    <x v="1232"/>
    <n v="1"/>
    <x v="35"/>
    <x v="0"/>
    <s v="HO: imsPP2 Kickoff"/>
    <m/>
    <s v="Witsch"/>
    <m/>
    <e v="#N/A"/>
    <e v="#N/A"/>
    <e v="#N/A"/>
    <e v="#N/A"/>
    <x v="10"/>
  </r>
  <r>
    <x v="1232"/>
    <n v="1"/>
    <x v="35"/>
    <x v="0"/>
    <s v="Powercharts: Besprechung Aufwandsabschätzung"/>
    <m/>
    <s v="Spiegel"/>
    <m/>
    <e v="#N/A"/>
    <e v="#N/A"/>
    <e v="#N/A"/>
    <e v="#N/A"/>
    <x v="10"/>
  </r>
  <r>
    <x v="1232"/>
    <n v="4.5"/>
    <x v="35"/>
    <x v="0"/>
    <s v="BBH: neue Version + Aktualisierung"/>
    <m/>
    <s v="Borchard"/>
    <m/>
    <e v="#N/A"/>
    <e v="#N/A"/>
    <e v="#N/A"/>
    <e v="#N/A"/>
    <x v="10"/>
  </r>
  <r>
    <x v="1233"/>
    <n v="4"/>
    <x v="35"/>
    <x v="0"/>
    <s v="HO: imsPP2 Infrastruktur"/>
    <m/>
    <s v="Borchard"/>
    <m/>
    <e v="#N/A"/>
    <e v="#N/A"/>
    <e v="#N/A"/>
    <e v="#N/A"/>
    <x v="10"/>
  </r>
  <r>
    <x v="1234"/>
    <n v="3"/>
    <x v="35"/>
    <x v="0"/>
    <s v="HO: imsPP CMRMFKV &gt;4GB File, Entfernung 50 MB Limit + Test und Inst."/>
    <m/>
    <s v="Borchard"/>
    <m/>
    <e v="#N/A"/>
    <e v="#N/A"/>
    <e v="#N/A"/>
    <e v="#N/A"/>
    <x v="10"/>
  </r>
  <r>
    <x v="1234"/>
    <n v="4"/>
    <x v="35"/>
    <x v="0"/>
    <s v="HO: imsPP2 Infrastruktur"/>
    <m/>
    <s v="Borchard"/>
    <m/>
    <e v="#N/A"/>
    <e v="#N/A"/>
    <e v="#N/A"/>
    <e v="#N/A"/>
    <x v="10"/>
  </r>
  <r>
    <x v="1235"/>
    <n v="4"/>
    <x v="35"/>
    <x v="0"/>
    <s v="Lrx Reporting: Änderungen Version 1"/>
    <m/>
    <s v="Wang"/>
    <m/>
    <e v="#N/A"/>
    <e v="#N/A"/>
    <e v="#N/A"/>
    <e v="#N/A"/>
    <x v="10"/>
  </r>
  <r>
    <x v="1235"/>
    <n v="6"/>
    <x v="35"/>
    <x v="0"/>
    <s v="HO: imsPP2 Infrastruktur"/>
    <m/>
    <s v="Borchard"/>
    <m/>
    <e v="#N/A"/>
    <e v="#N/A"/>
    <e v="#N/A"/>
    <e v="#N/A"/>
    <x v="10"/>
  </r>
  <r>
    <x v="1236"/>
    <n v="4"/>
    <x v="35"/>
    <x v="0"/>
    <s v="Lrx Reporting: Änderungen Version 1"/>
    <m/>
    <s v="Wang"/>
    <m/>
    <e v="#N/A"/>
    <e v="#N/A"/>
    <e v="#N/A"/>
    <e v="#N/A"/>
    <x v="10"/>
  </r>
  <r>
    <x v="1236"/>
    <n v="6"/>
    <x v="35"/>
    <x v="0"/>
    <s v="HO: imsPP2 Infrastruktur"/>
    <m/>
    <s v="Borchard"/>
    <m/>
    <e v="#N/A"/>
    <e v="#N/A"/>
    <e v="#N/A"/>
    <e v="#N/A"/>
    <x v="10"/>
  </r>
  <r>
    <x v="1237"/>
    <n v="2"/>
    <x v="35"/>
    <x v="0"/>
    <s v="HO: imsPP2 Infrastruktur"/>
    <m/>
    <s v="Borchard"/>
    <m/>
    <e v="#N/A"/>
    <e v="#N/A"/>
    <e v="#N/A"/>
    <e v="#N/A"/>
    <x v="10"/>
  </r>
  <r>
    <x v="1238"/>
    <n v="4"/>
    <x v="35"/>
    <x v="0"/>
    <s v="Lrx Reporting: Änderungen Version 1"/>
    <m/>
    <s v="Wang"/>
    <m/>
    <e v="#N/A"/>
    <e v="#N/A"/>
    <e v="#N/A"/>
    <e v="#N/A"/>
    <x v="10"/>
  </r>
  <r>
    <x v="1238"/>
    <n v="1.5"/>
    <x v="35"/>
    <x v="0"/>
    <s v="Powercharts: Besprechung Aufwandsabschätzung"/>
    <m/>
    <s v="Voigt"/>
    <m/>
    <e v="#N/A"/>
    <e v="#N/A"/>
    <e v="#N/A"/>
    <e v="#N/A"/>
    <x v="10"/>
  </r>
  <r>
    <x v="1239"/>
    <n v="6"/>
    <x v="35"/>
    <x v="0"/>
    <s v="HO: imsPP2 Infrastruktur"/>
    <m/>
    <s v="Borchard"/>
    <m/>
    <e v="#N/A"/>
    <e v="#N/A"/>
    <e v="#N/A"/>
    <e v="#N/A"/>
    <x v="10"/>
  </r>
  <r>
    <x v="1239"/>
    <n v="4"/>
    <x v="35"/>
    <x v="0"/>
    <s v="HO: AsciiPP automatischer AsciiExport"/>
    <m/>
    <s v="Witsch"/>
    <m/>
    <e v="#N/A"/>
    <e v="#N/A"/>
    <e v="#N/A"/>
    <e v="#N/A"/>
    <x v="10"/>
  </r>
  <r>
    <x v="1240"/>
    <n v="4"/>
    <x v="35"/>
    <x v="0"/>
    <s v="HO: imsPP2 Infrastruktur"/>
    <m/>
    <s v="Borchard"/>
    <m/>
    <e v="#N/A"/>
    <e v="#N/A"/>
    <e v="#N/A"/>
    <e v="#N/A"/>
    <x v="10"/>
  </r>
  <r>
    <x v="1240"/>
    <n v="6"/>
    <x v="35"/>
    <x v="0"/>
    <s v="HO: AsciiPP automatischer AsciiExport"/>
    <m/>
    <s v="Witsch"/>
    <m/>
    <e v="#N/A"/>
    <e v="#N/A"/>
    <e v="#N/A"/>
    <e v="#N/A"/>
    <x v="10"/>
  </r>
  <r>
    <x v="1240"/>
    <n v="1"/>
    <x v="35"/>
    <x v="0"/>
    <s v="Powercharts: Besprechung Aufwandsabschätzung"/>
    <m/>
    <s v="Voigt"/>
    <m/>
    <e v="#N/A"/>
    <e v="#N/A"/>
    <e v="#N/A"/>
    <e v="#N/A"/>
    <x v="10"/>
  </r>
  <r>
    <x v="1241"/>
    <n v="5"/>
    <x v="35"/>
    <x v="0"/>
    <s v="HO: imsPP2 Infrastruktur"/>
    <m/>
    <s v="Borchard"/>
    <m/>
    <e v="#N/A"/>
    <e v="#N/A"/>
    <e v="#N/A"/>
    <e v="#N/A"/>
    <x v="10"/>
  </r>
  <r>
    <x v="1241"/>
    <n v="6"/>
    <x v="35"/>
    <x v="0"/>
    <s v="HO: AsciiPP automatischer AsciiExport"/>
    <m/>
    <s v="Witsch"/>
    <m/>
    <e v="#N/A"/>
    <e v="#N/A"/>
    <e v="#N/A"/>
    <e v="#N/A"/>
    <x v="10"/>
  </r>
  <r>
    <x v="1242"/>
    <n v="5"/>
    <x v="35"/>
    <x v="0"/>
    <s v="HO: imsPP2 Infrastruktur"/>
    <m/>
    <s v="Borchard"/>
    <m/>
    <e v="#N/A"/>
    <e v="#N/A"/>
    <e v="#N/A"/>
    <e v="#N/A"/>
    <x v="10"/>
  </r>
  <r>
    <x v="1242"/>
    <n v="5"/>
    <x v="35"/>
    <x v="0"/>
    <s v="HO: AsciiPP automatischer AsciiExport"/>
    <m/>
    <s v="Witsch"/>
    <m/>
    <e v="#N/A"/>
    <e v="#N/A"/>
    <e v="#N/A"/>
    <e v="#N/A"/>
    <x v="10"/>
  </r>
  <r>
    <x v="1243"/>
    <n v="4"/>
    <x v="35"/>
    <x v="0"/>
    <s v="HO: imsPP2 Infrastruktur"/>
    <m/>
    <s v="Borchard"/>
    <m/>
    <e v="#N/A"/>
    <e v="#N/A"/>
    <e v="#N/A"/>
    <e v="#N/A"/>
    <x v="10"/>
  </r>
  <r>
    <x v="1243"/>
    <n v="1"/>
    <x v="35"/>
    <x v="0"/>
    <s v="Lrx Reporting: Administration Benutzer inklusive 24.5."/>
    <m/>
    <s v="Riebel"/>
    <m/>
    <e v="#N/A"/>
    <e v="#N/A"/>
    <e v="#N/A"/>
    <e v="#N/A"/>
    <x v="10"/>
  </r>
  <r>
    <x v="1244"/>
    <n v="8"/>
    <x v="35"/>
    <x v="0"/>
    <s v="Lrx Reporting: Änderungen Version 2"/>
    <m/>
    <s v="Wang"/>
    <m/>
    <e v="#N/A"/>
    <e v="#N/A"/>
    <e v="#N/A"/>
    <e v="#N/A"/>
    <x v="10"/>
  </r>
  <r>
    <x v="1245"/>
    <n v="8"/>
    <x v="35"/>
    <x v="0"/>
    <s v="Lrx Reporting: Änderungen Version 2"/>
    <m/>
    <s v="Wang"/>
    <m/>
    <e v="#N/A"/>
    <e v="#N/A"/>
    <e v="#N/A"/>
    <e v="#N/A"/>
    <x v="10"/>
  </r>
  <r>
    <x v="1246"/>
    <n v="8"/>
    <x v="35"/>
    <x v="0"/>
    <s v="Lrx Reporting: Änderungen Version 2"/>
    <m/>
    <s v="Wang"/>
    <m/>
    <e v="#N/A"/>
    <e v="#N/A"/>
    <e v="#N/A"/>
    <e v="#N/A"/>
    <x v="10"/>
  </r>
  <r>
    <x v="1246"/>
    <n v="1.5"/>
    <x v="35"/>
    <x v="0"/>
    <s v="Lrx Reporting: Besprechung"/>
    <m/>
    <s v="Wang"/>
    <m/>
    <e v="#N/A"/>
    <e v="#N/A"/>
    <e v="#N/A"/>
    <e v="#N/A"/>
    <x v="10"/>
  </r>
  <r>
    <x v="1246"/>
    <n v="1"/>
    <x v="35"/>
    <x v="0"/>
    <s v="BBH: Support"/>
    <m/>
    <s v="Borchard"/>
    <m/>
    <e v="#N/A"/>
    <e v="#N/A"/>
    <e v="#N/A"/>
    <e v="#N/A"/>
    <x v="10"/>
  </r>
  <r>
    <x v="1247"/>
    <n v="2"/>
    <x v="35"/>
    <x v="0"/>
    <s v="HO: imsPP2 Infrastruktur"/>
    <m/>
    <s v="Borchard"/>
    <m/>
    <e v="#N/A"/>
    <e v="#N/A"/>
    <e v="#N/A"/>
    <e v="#N/A"/>
    <x v="10"/>
  </r>
  <r>
    <x v="1247"/>
    <n v="4"/>
    <x v="35"/>
    <x v="0"/>
    <s v="Lrx Reporting: Änderungen Version 2"/>
    <m/>
    <s v="Wang"/>
    <m/>
    <e v="#N/A"/>
    <e v="#N/A"/>
    <e v="#N/A"/>
    <e v="#N/A"/>
    <x v="10"/>
  </r>
  <r>
    <x v="1248"/>
    <n v="8"/>
    <x v="35"/>
    <x v="0"/>
    <s v="Lrx Reporting: Änderungen Version 2"/>
    <m/>
    <s v="Wang"/>
    <m/>
    <e v="#N/A"/>
    <e v="#N/A"/>
    <e v="#N/A"/>
    <e v="#N/A"/>
    <x v="10"/>
  </r>
  <r>
    <x v="1249"/>
    <n v="6"/>
    <x v="35"/>
    <x v="0"/>
    <s v="Lrx Reporting: Änderungen Version 2"/>
    <m/>
    <s v="Wang"/>
    <m/>
    <e v="#N/A"/>
    <e v="#N/A"/>
    <e v="#N/A"/>
    <e v="#N/A"/>
    <x v="10"/>
  </r>
  <r>
    <x v="1249"/>
    <n v="2"/>
    <x v="35"/>
    <x v="0"/>
    <s v="HO: imsPP2 Meilenstein 1"/>
    <m/>
    <s v="Borchard"/>
    <m/>
    <e v="#N/A"/>
    <e v="#N/A"/>
    <e v="#N/A"/>
    <e v="#N/A"/>
    <x v="10"/>
  </r>
  <r>
    <x v="1250"/>
    <n v="7"/>
    <x v="35"/>
    <x v="0"/>
    <s v="HO: imsPP2 Meilenstein 1"/>
    <m/>
    <s v="Borchard"/>
    <m/>
    <e v="#N/A"/>
    <e v="#N/A"/>
    <e v="#N/A"/>
    <e v="#N/A"/>
    <x v="10"/>
  </r>
  <r>
    <x v="1251"/>
    <n v="7"/>
    <x v="35"/>
    <x v="0"/>
    <s v="HO: imsPP2 Meilenstein 1"/>
    <m/>
    <s v="Borchard"/>
    <m/>
    <e v="#N/A"/>
    <e v="#N/A"/>
    <e v="#N/A"/>
    <e v="#N/A"/>
    <x v="10"/>
  </r>
  <r>
    <x v="1251"/>
    <n v="1"/>
    <x v="35"/>
    <x v="0"/>
    <s v="Lrx Reporting: BP Dashboard Online Meeting"/>
    <m/>
    <s v="Wang"/>
    <m/>
    <e v="#N/A"/>
    <e v="#N/A"/>
    <e v="#N/A"/>
    <e v="#N/A"/>
    <x v="10"/>
  </r>
  <r>
    <x v="1252"/>
    <n v="4"/>
    <x v="35"/>
    <x v="0"/>
    <s v="HO: imsPP2 Meilenstein 1"/>
    <m/>
    <s v="Borchard"/>
    <m/>
    <e v="#N/A"/>
    <e v="#N/A"/>
    <e v="#N/A"/>
    <e v="#N/A"/>
    <x v="10"/>
  </r>
  <r>
    <x v="1253"/>
    <n v="4"/>
    <x v="35"/>
    <x v="0"/>
    <s v="HO: imsPP2 Meilenstein 1"/>
    <m/>
    <s v="Borchard"/>
    <m/>
    <e v="#N/A"/>
    <e v="#N/A"/>
    <e v="#N/A"/>
    <e v="#N/A"/>
    <x v="10"/>
  </r>
  <r>
    <x v="1254"/>
    <n v="1"/>
    <x v="35"/>
    <x v="0"/>
    <s v="Lrx Reporting: BP Dashboard Growth"/>
    <m/>
    <s v="Wang"/>
    <m/>
    <e v="#N/A"/>
    <e v="#N/A"/>
    <e v="#N/A"/>
    <e v="#N/A"/>
    <x v="10"/>
  </r>
  <r>
    <x v="1254"/>
    <n v="4"/>
    <x v="35"/>
    <x v="0"/>
    <s v="HO: Powercharts Einrichtung"/>
    <m/>
    <s v="Voigt"/>
    <m/>
    <e v="#N/A"/>
    <e v="#N/A"/>
    <e v="#N/A"/>
    <e v="#N/A"/>
    <x v="10"/>
  </r>
  <r>
    <x v="1255"/>
    <n v="7"/>
    <x v="35"/>
    <x v="0"/>
    <s v="HO: Powercharts Einrichtung"/>
    <m/>
    <s v="Voigt"/>
    <m/>
    <e v="#N/A"/>
    <e v="#N/A"/>
    <e v="#N/A"/>
    <e v="#N/A"/>
    <x v="10"/>
  </r>
  <r>
    <x v="1255"/>
    <n v="1"/>
    <x v="35"/>
    <x v="0"/>
    <s v="Lrx Reporting: BP Dashboard Geospatial Data Recherche"/>
    <m/>
    <s v="Wang"/>
    <m/>
    <e v="#N/A"/>
    <e v="#N/A"/>
    <e v="#N/A"/>
    <e v="#N/A"/>
    <x v="10"/>
  </r>
  <r>
    <x v="1256"/>
    <n v="2"/>
    <x v="35"/>
    <x v="0"/>
    <s v="Lrx Reporting: BP Dashboard Growth"/>
    <m/>
    <s v="Wang"/>
    <m/>
    <e v="#N/A"/>
    <e v="#N/A"/>
    <e v="#N/A"/>
    <e v="#N/A"/>
    <x v="10"/>
  </r>
  <r>
    <x v="1256"/>
    <n v="5"/>
    <x v="35"/>
    <x v="0"/>
    <s v="HO: Powercharts"/>
    <m/>
    <s v="Voigt"/>
    <m/>
    <e v="#N/A"/>
    <e v="#N/A"/>
    <e v="#N/A"/>
    <e v="#N/A"/>
    <x v="10"/>
  </r>
  <r>
    <x v="1257"/>
    <n v="7"/>
    <x v="35"/>
    <x v="0"/>
    <s v="HO: Powercharts"/>
    <m/>
    <s v="Voigt"/>
    <m/>
    <e v="#N/A"/>
    <e v="#N/A"/>
    <e v="#N/A"/>
    <e v="#N/A"/>
    <x v="10"/>
  </r>
  <r>
    <x v="1258"/>
    <n v="8"/>
    <x v="35"/>
    <x v="0"/>
    <s v="HO: Powercharts"/>
    <m/>
    <s v="Voigt"/>
    <m/>
    <e v="#N/A"/>
    <e v="#N/A"/>
    <e v="#N/A"/>
    <e v="#N/A"/>
    <x v="10"/>
  </r>
  <r>
    <x v="1259"/>
    <n v="2"/>
    <x v="35"/>
    <x v="0"/>
    <s v="Lrx Reporting: BP Dashboard Maps Sample"/>
    <m/>
    <s v="Wang"/>
    <m/>
    <e v="#N/A"/>
    <e v="#N/A"/>
    <e v="#N/A"/>
    <e v="#N/A"/>
    <x v="10"/>
  </r>
  <r>
    <x v="1259"/>
    <n v="4"/>
    <x v="35"/>
    <x v="0"/>
    <s v="BBH: Security + Installation Update"/>
    <m/>
    <s v="Borchard"/>
    <m/>
    <e v="#N/A"/>
    <e v="#N/A"/>
    <e v="#N/A"/>
    <e v="#N/A"/>
    <x v="10"/>
  </r>
  <r>
    <x v="1259"/>
    <n v="2"/>
    <x v="35"/>
    <x v="0"/>
    <s v="HO: Powercharts"/>
    <m/>
    <s v="Voigt"/>
    <m/>
    <e v="#N/A"/>
    <e v="#N/A"/>
    <e v="#N/A"/>
    <e v="#N/A"/>
    <x v="10"/>
  </r>
  <r>
    <x v="1260"/>
    <n v="8"/>
    <x v="35"/>
    <x v="0"/>
    <s v="HO: Powercharts"/>
    <m/>
    <s v="Voigt"/>
    <m/>
    <e v="#N/A"/>
    <e v="#N/A"/>
    <e v="#N/A"/>
    <e v="#N/A"/>
    <x v="10"/>
  </r>
  <r>
    <x v="1261"/>
    <n v="7"/>
    <x v="35"/>
    <x v="0"/>
    <s v="HO: Powercharts"/>
    <m/>
    <s v="Voigt"/>
    <m/>
    <e v="#N/A"/>
    <e v="#N/A"/>
    <e v="#N/A"/>
    <e v="#N/A"/>
    <x v="10"/>
  </r>
  <r>
    <x v="1262"/>
    <n v="4"/>
    <x v="35"/>
    <x v="0"/>
    <s v="HO: imsPP2 Meilenstein 2 Production Plan"/>
    <m/>
    <s v="Borchard"/>
    <m/>
    <e v="#N/A"/>
    <e v="#N/A"/>
    <e v="#N/A"/>
    <e v="#N/A"/>
    <x v="10"/>
  </r>
  <r>
    <x v="1262"/>
    <n v="4"/>
    <x v="35"/>
    <x v="0"/>
    <s v="HO: Powercharts"/>
    <m/>
    <s v="Voigt"/>
    <m/>
    <e v="#N/A"/>
    <e v="#N/A"/>
    <e v="#N/A"/>
    <e v="#N/A"/>
    <x v="10"/>
  </r>
  <r>
    <x v="1263"/>
    <n v="7"/>
    <x v="35"/>
    <x v="0"/>
    <s v="HO: Powercharts"/>
    <m/>
    <s v="Voigt"/>
    <m/>
    <e v="#N/A"/>
    <e v="#N/A"/>
    <e v="#N/A"/>
    <e v="#N/A"/>
    <x v="10"/>
  </r>
  <r>
    <x v="1264"/>
    <n v="8"/>
    <x v="35"/>
    <x v="0"/>
    <s v="HO: Powercharts"/>
    <m/>
    <s v="Voigt"/>
    <m/>
    <e v="#N/A"/>
    <e v="#N/A"/>
    <e v="#N/A"/>
    <e v="#N/A"/>
    <x v="10"/>
  </r>
  <r>
    <x v="1265"/>
    <n v="8"/>
    <x v="35"/>
    <x v="0"/>
    <s v="HO: imsPP2 Meilenstein 2 Production Plan"/>
    <m/>
    <s v="Borchard"/>
    <m/>
    <e v="#N/A"/>
    <e v="#N/A"/>
    <e v="#N/A"/>
    <e v="#N/A"/>
    <x v="10"/>
  </r>
  <r>
    <x v="1266"/>
    <n v="8"/>
    <x v="35"/>
    <x v="0"/>
    <s v="HO: imsPP2 Meilenstein 2 Production Plan"/>
    <m/>
    <s v="Borchard"/>
    <m/>
    <e v="#N/A"/>
    <e v="#N/A"/>
    <e v="#N/A"/>
    <e v="#N/A"/>
    <x v="10"/>
  </r>
  <r>
    <x v="1267"/>
    <n v="7"/>
    <x v="35"/>
    <x v="0"/>
    <s v="HO: imsPP2 Meilenstein 2 Production Plan"/>
    <m/>
    <s v="Borchard"/>
    <m/>
    <e v="#N/A"/>
    <e v="#N/A"/>
    <e v="#N/A"/>
    <e v="#N/A"/>
    <x v="10"/>
  </r>
  <r>
    <x v="1268"/>
    <n v="1"/>
    <x v="35"/>
    <x v="0"/>
    <s v="BBH: Datenübernahme"/>
    <m/>
    <s v="Borchard"/>
    <m/>
    <e v="#N/A"/>
    <e v="#N/A"/>
    <e v="#N/A"/>
    <e v="#N/A"/>
    <x v="10"/>
  </r>
  <r>
    <x v="1268"/>
    <n v="7"/>
    <x v="35"/>
    <x v="0"/>
    <s v="HO: imsPP2 Meilenstein 2 Production Plan"/>
    <m/>
    <s v="Borchard"/>
    <m/>
    <e v="#N/A"/>
    <e v="#N/A"/>
    <e v="#N/A"/>
    <e v="#N/A"/>
    <x v="10"/>
  </r>
  <r>
    <x v="1269"/>
    <n v="2"/>
    <x v="35"/>
    <x v="0"/>
    <s v="BBH: Datenübernahme"/>
    <m/>
    <s v="Borchard"/>
    <m/>
    <e v="#N/A"/>
    <e v="#N/A"/>
    <e v="#N/A"/>
    <e v="#N/A"/>
    <x v="10"/>
  </r>
  <r>
    <x v="1269"/>
    <n v="5"/>
    <x v="35"/>
    <x v="0"/>
    <s v="HO: imsPP2 Meilenstein 2 Silverlight Versions Überprüfung bei Start"/>
    <m/>
    <s v="Borchard"/>
    <m/>
    <e v="#N/A"/>
    <e v="#N/A"/>
    <e v="#N/A"/>
    <e v="#N/A"/>
    <x v="10"/>
  </r>
  <r>
    <x v="1270"/>
    <n v="2"/>
    <x v="35"/>
    <x v="0"/>
    <s v="BBH: Datenübernahme + Installation"/>
    <m/>
    <s v="Borchard"/>
    <m/>
    <e v="#N/A"/>
    <e v="#N/A"/>
    <e v="#N/A"/>
    <e v="#N/A"/>
    <x v="10"/>
  </r>
  <r>
    <x v="1270"/>
    <n v="1"/>
    <x v="35"/>
    <x v="0"/>
    <s v="Lrx Reporting: Support User Rights"/>
    <m/>
    <s v="Riebel"/>
    <m/>
    <e v="#N/A"/>
    <e v="#N/A"/>
    <e v="#N/A"/>
    <e v="#N/A"/>
    <x v="10"/>
  </r>
  <r>
    <x v="1270"/>
    <n v="1"/>
    <x v="35"/>
    <x v="0"/>
    <s v="Lrx Reporting: Phone Conference new Update requests"/>
    <m/>
    <s v="Wang"/>
    <m/>
    <e v="#N/A"/>
    <e v="#N/A"/>
    <e v="#N/A"/>
    <e v="#N/A"/>
    <x v="10"/>
  </r>
  <r>
    <x v="1270"/>
    <n v="4"/>
    <x v="35"/>
    <x v="0"/>
    <s v="HO: Powercharts Attribut Filter Dialog"/>
    <m/>
    <s v="Voigt"/>
    <m/>
    <e v="#N/A"/>
    <e v="#N/A"/>
    <e v="#N/A"/>
    <e v="#N/A"/>
    <x v="10"/>
  </r>
  <r>
    <x v="1271"/>
    <n v="8"/>
    <x v="35"/>
    <x v="0"/>
    <s v="HO: Powercharts Attribut Filter Dialog"/>
    <m/>
    <s v="Voigt"/>
    <m/>
    <e v="#N/A"/>
    <e v="#N/A"/>
    <e v="#N/A"/>
    <e v="#N/A"/>
    <x v="10"/>
  </r>
  <r>
    <x v="1272"/>
    <n v="2"/>
    <x v="35"/>
    <x v="0"/>
    <s v="Lrx Reporting: Dashboard Access Users from Belgium"/>
    <m/>
    <s v="Utsch"/>
    <m/>
    <e v="#N/A"/>
    <e v="#N/A"/>
    <e v="#N/A"/>
    <e v="#N/A"/>
    <x v="10"/>
  </r>
  <r>
    <x v="1272"/>
    <n v="6"/>
    <x v="35"/>
    <x v="0"/>
    <s v="HO: Powercharts Attribut Filter Dialog"/>
    <m/>
    <s v="Voigt"/>
    <m/>
    <e v="#N/A"/>
    <e v="#N/A"/>
    <e v="#N/A"/>
    <e v="#N/A"/>
    <x v="10"/>
  </r>
  <r>
    <x v="1273"/>
    <n v="1"/>
    <x v="35"/>
    <x v="0"/>
    <s v="HO: Powercharts Telefonkonferenz"/>
    <m/>
    <s v="Schilly"/>
    <m/>
    <e v="#N/A"/>
    <e v="#N/A"/>
    <e v="#N/A"/>
    <e v="#N/A"/>
    <x v="10"/>
  </r>
  <r>
    <x v="1273"/>
    <n v="6"/>
    <x v="35"/>
    <x v="0"/>
    <s v="HO: Powercharts Attribut Filter Dialog"/>
    <m/>
    <s v="Voigt"/>
    <m/>
    <e v="#N/A"/>
    <e v="#N/A"/>
    <e v="#N/A"/>
    <e v="#N/A"/>
    <x v="10"/>
  </r>
  <r>
    <x v="1274"/>
    <n v="8"/>
    <x v="35"/>
    <x v="0"/>
    <s v="HO: Deutsche Sprachunterstützung für Dimensionen, Hierarchien und Levels eingebaut"/>
    <m/>
    <s v="Voigt"/>
    <m/>
    <e v="#N/A"/>
    <e v="#N/A"/>
    <e v="#N/A"/>
    <e v="#N/A"/>
    <x v="10"/>
  </r>
  <r>
    <x v="1275"/>
    <n v="4"/>
    <x v="35"/>
    <x v="0"/>
    <s v="imsPP2 Meeting + Besprechung in Frankfurt"/>
    <m/>
    <s v="Witsch"/>
    <m/>
    <e v="#N/A"/>
    <e v="#N/A"/>
    <e v="#N/A"/>
    <e v="#N/A"/>
    <x v="10"/>
  </r>
  <r>
    <x v="1276"/>
    <n v="8"/>
    <x v="35"/>
    <x v="0"/>
    <s v="Lrx Reporting: Anforderungen 3"/>
    <m/>
    <s v="Wang"/>
    <m/>
    <e v="#N/A"/>
    <e v="#N/A"/>
    <e v="#N/A"/>
    <e v="#N/A"/>
    <x v="10"/>
  </r>
  <r>
    <x v="1277"/>
    <n v="4"/>
    <x v="35"/>
    <x v="0"/>
    <s v="Lrx Reporting: Anforderungen 3"/>
    <m/>
    <s v="Wang"/>
    <m/>
    <e v="#N/A"/>
    <e v="#N/A"/>
    <e v="#N/A"/>
    <e v="#N/A"/>
    <x v="10"/>
  </r>
  <r>
    <x v="1277"/>
    <n v="6"/>
    <x v="35"/>
    <x v="0"/>
    <s v="imsPP2 Production Detail Dialog, Validation eingebaut und Anpassungen entsprechend Vorgaben"/>
    <m/>
    <s v="Witsch"/>
    <m/>
    <e v="#N/A"/>
    <e v="#N/A"/>
    <e v="#N/A"/>
    <e v="#N/A"/>
    <x v="10"/>
  </r>
  <r>
    <x v="1278"/>
    <n v="6"/>
    <x v="35"/>
    <x v="0"/>
    <s v="Master file Unterstützung, Dateien löschen nach kopieren + Ascii Export fertiggestellt + in TEST aktiviert"/>
    <m/>
    <s v="Hornbruch"/>
    <m/>
    <e v="#N/A"/>
    <e v="#N/A"/>
    <e v="#N/A"/>
    <e v="#N/A"/>
    <x v="10"/>
  </r>
  <r>
    <x v="1279"/>
    <n v="6"/>
    <x v="35"/>
    <x v="0"/>
    <s v="Lrx Reporting: Anforderungen 3 + Installation"/>
    <m/>
    <s v="Wang"/>
    <m/>
    <e v="#N/A"/>
    <e v="#N/A"/>
    <e v="#N/A"/>
    <e v="#N/A"/>
    <x v="10"/>
  </r>
  <r>
    <x v="1279"/>
    <n v="4"/>
    <x v="35"/>
    <x v="0"/>
    <s v="imsPP2 Production Detail Dialog angepasst"/>
    <m/>
    <s v="Witsch"/>
    <m/>
    <e v="#N/A"/>
    <e v="#N/A"/>
    <e v="#N/A"/>
    <e v="#N/A"/>
    <x v="10"/>
  </r>
  <r>
    <x v="1280"/>
    <n v="6"/>
    <x v="35"/>
    <x v="0"/>
    <s v="HO: Produktdimension, automatische Befüllung mit Marktelementen"/>
    <m/>
    <s v="Voigt"/>
    <m/>
    <e v="#N/A"/>
    <e v="#N/A"/>
    <e v="#N/A"/>
    <e v="#N/A"/>
    <x v="10"/>
  </r>
  <r>
    <x v="1280"/>
    <n v="2"/>
    <x v="35"/>
    <x v="0"/>
    <s v="Master file Unterstützung korrigiert"/>
    <m/>
    <s v="Hornbruch"/>
    <m/>
    <e v="#N/A"/>
    <e v="#N/A"/>
    <e v="#N/A"/>
    <e v="#N/A"/>
    <x v="10"/>
  </r>
  <r>
    <x v="1281"/>
    <n v="6"/>
    <x v="35"/>
    <x v="0"/>
    <s v="HO: MDX Generierung für neue Attribute"/>
    <m/>
    <s v="Voigt"/>
    <m/>
    <e v="#N/A"/>
    <e v="#N/A"/>
    <e v="#N/A"/>
    <e v="#N/A"/>
    <x v="10"/>
  </r>
  <r>
    <x v="1281"/>
    <n v="1"/>
    <x v="35"/>
    <x v="0"/>
    <s v="Installation neue Testversion mit korrigierter Masterfile Unterstützung"/>
    <m/>
    <s v="Hornbruch"/>
    <m/>
    <e v="#N/A"/>
    <e v="#N/A"/>
    <e v="#N/A"/>
    <e v="#N/A"/>
    <x v="10"/>
  </r>
  <r>
    <x v="1282"/>
    <n v="1"/>
    <x v="35"/>
    <x v="0"/>
    <s v="imsPP2 Merge Besprechung"/>
    <m/>
    <s v="Witsch"/>
    <m/>
    <e v="#N/A"/>
    <e v="#N/A"/>
    <e v="#N/A"/>
    <e v="#N/A"/>
    <x v="10"/>
  </r>
  <r>
    <x v="1282"/>
    <n v="1.5"/>
    <x v="35"/>
    <x v="0"/>
    <s v="Lrx SubNational Bsprechung"/>
    <m/>
    <s v="Wang"/>
    <m/>
    <e v="#N/A"/>
    <e v="#N/A"/>
    <e v="#N/A"/>
    <e v="#N/A"/>
    <x v="10"/>
  </r>
  <r>
    <x v="1282"/>
    <n v="4"/>
    <x v="35"/>
    <x v="0"/>
    <s v="HO: Vertriebskanal Unterstützung"/>
    <m/>
    <s v="Voigt"/>
    <m/>
    <e v="#N/A"/>
    <e v="#N/A"/>
    <e v="#N/A"/>
    <e v="#N/A"/>
    <x v="10"/>
  </r>
  <r>
    <x v="1283"/>
    <n v="1"/>
    <x v="35"/>
    <x v="0"/>
    <s v="BBH: Support"/>
    <m/>
    <s v="Borchard"/>
    <m/>
    <e v="#N/A"/>
    <e v="#N/A"/>
    <e v="#N/A"/>
    <e v="#N/A"/>
    <x v="10"/>
  </r>
  <r>
    <x v="1283"/>
    <n v="1"/>
    <x v="35"/>
    <x v="0"/>
    <s v="Installation neue Prodversion"/>
    <m/>
    <s v="Hornbruch"/>
    <m/>
    <e v="#N/A"/>
    <e v="#N/A"/>
    <e v="#N/A"/>
    <e v="#N/A"/>
    <x v="10"/>
  </r>
  <r>
    <x v="1283"/>
    <n v="1"/>
    <x v="35"/>
    <x v="0"/>
    <s v="Ascii PP Support Benutzer Despotovic"/>
    <m/>
    <s v="Hornbruch"/>
    <m/>
    <e v="#N/A"/>
    <e v="#N/A"/>
    <e v="#N/A"/>
    <e v="#N/A"/>
    <x v="10"/>
  </r>
  <r>
    <x v="1283"/>
    <n v="4"/>
    <x v="35"/>
    <x v="0"/>
    <s v="Lrx SubNational Evaluierung Subnational Karten"/>
    <m/>
    <s v="Wang"/>
    <m/>
    <e v="#N/A"/>
    <e v="#N/A"/>
    <e v="#N/A"/>
    <e v="#N/A"/>
    <x v="10"/>
  </r>
  <r>
    <x v="1284"/>
    <n v="4"/>
    <x v="35"/>
    <x v="0"/>
    <s v="imsPP2 Production Production Plan Export"/>
    <m/>
    <s v="Witsch"/>
    <m/>
    <e v="#N/A"/>
    <e v="#N/A"/>
    <e v="#N/A"/>
    <e v="#N/A"/>
    <x v="10"/>
  </r>
  <r>
    <x v="1284"/>
    <n v="4"/>
    <x v="35"/>
    <x v="0"/>
    <s v="HO: Marktabhängigie Produktunterstützung"/>
    <m/>
    <s v="Voigt"/>
    <m/>
    <e v="#N/A"/>
    <e v="#N/A"/>
    <e v="#N/A"/>
    <e v="#N/A"/>
    <x v="10"/>
  </r>
  <r>
    <x v="1285"/>
    <n v="6"/>
    <x v="35"/>
    <x v="0"/>
    <s v="HO: Vertriebskannal VH, Offizin, Beide + Unterstützung weiterer Markt + Produkt + Geographie Dimensionen"/>
    <m/>
    <s v="Voigt"/>
    <m/>
    <e v="#N/A"/>
    <e v="#N/A"/>
    <e v="#N/A"/>
    <e v="#N/A"/>
    <x v="10"/>
  </r>
  <r>
    <x v="1285"/>
    <n v="1"/>
    <x v="35"/>
    <x v="0"/>
    <s v="HO: Meeting Telefon"/>
    <m/>
    <s v="Schilly"/>
    <m/>
    <e v="#N/A"/>
    <e v="#N/A"/>
    <e v="#N/A"/>
    <e v="#N/A"/>
    <x v="10"/>
  </r>
  <r>
    <x v="1285"/>
    <n v="2"/>
    <x v="35"/>
    <x v="0"/>
    <s v="imsPP2 Production Production Plan Export"/>
    <m/>
    <s v="Witsch"/>
    <m/>
    <e v="#N/A"/>
    <e v="#N/A"/>
    <e v="#N/A"/>
    <e v="#N/A"/>
    <x v="10"/>
  </r>
  <r>
    <x v="1286"/>
    <n v="7"/>
    <x v="35"/>
    <x v="0"/>
    <s v="Lrx Reporting: BP SubNational"/>
    <m/>
    <s v="Wang"/>
    <m/>
    <e v="#N/A"/>
    <e v="#N/A"/>
    <e v="#N/A"/>
    <e v="#N/A"/>
    <x v="10"/>
  </r>
  <r>
    <x v="1286"/>
    <n v="1.5"/>
    <x v="35"/>
    <x v="0"/>
    <s v="BBH: Support: Sortierung + Filterung"/>
    <m/>
    <s v="Borchard"/>
    <m/>
    <e v="#N/A"/>
    <e v="#N/A"/>
    <e v="#N/A"/>
    <e v="#N/A"/>
    <x v="10"/>
  </r>
  <r>
    <x v="1287"/>
    <n v="1.5"/>
    <x v="35"/>
    <x v="0"/>
    <s v="HO: Meeting Telefon"/>
    <m/>
    <s v="Schilly"/>
    <m/>
    <e v="#N/A"/>
    <e v="#N/A"/>
    <e v="#N/A"/>
    <e v="#N/A"/>
    <x v="10"/>
  </r>
  <r>
    <x v="1287"/>
    <n v="3"/>
    <x v="35"/>
    <x v="0"/>
    <s v="imsPP2 Production Production Plan Export"/>
    <m/>
    <s v="Witsch"/>
    <m/>
    <e v="#N/A"/>
    <e v="#N/A"/>
    <e v="#N/A"/>
    <e v="#N/A"/>
    <x v="10"/>
  </r>
  <r>
    <x v="1287"/>
    <n v="3"/>
    <x v="35"/>
    <x v="0"/>
    <s v="HO: Powercharts 2012"/>
    <m/>
    <s v="Schilly"/>
    <m/>
    <e v="#N/A"/>
    <e v="#N/A"/>
    <e v="#N/A"/>
    <e v="#N/A"/>
    <x v="10"/>
  </r>
  <r>
    <x v="1287"/>
    <n v="1"/>
    <x v="35"/>
    <x v="0"/>
    <s v="HO: Meeting Telefon"/>
    <m/>
    <s v="Schilly"/>
    <m/>
    <e v="#N/A"/>
    <e v="#N/A"/>
    <e v="#N/A"/>
    <e v="#N/A"/>
    <x v="10"/>
  </r>
  <r>
    <x v="1288"/>
    <n v="4"/>
    <x v="35"/>
    <x v="0"/>
    <s v="asciiPP Support Produktionsprobleme + neue Testversion"/>
    <m/>
    <s v="Witsch"/>
    <m/>
    <e v="#N/A"/>
    <e v="#N/A"/>
    <e v="#N/A"/>
    <e v="#N/A"/>
    <x v="10"/>
  </r>
  <r>
    <x v="1288"/>
    <n v="2"/>
    <x v="35"/>
    <x v="0"/>
    <s v="Lrx Support BP National"/>
    <m/>
    <s v="Hildebrand"/>
    <m/>
    <e v="#N/A"/>
    <e v="#N/A"/>
    <e v="#N/A"/>
    <e v="#N/A"/>
    <x v="10"/>
  </r>
  <r>
    <x v="1288"/>
    <n v="2"/>
    <x v="35"/>
    <x v="0"/>
    <s v="imsPP2 Production Production Plan Export"/>
    <m/>
    <s v="Witsch"/>
    <m/>
    <e v="#N/A"/>
    <e v="#N/A"/>
    <e v="#N/A"/>
    <e v="#N/A"/>
    <x v="10"/>
  </r>
  <r>
    <x v="1289"/>
    <n v="4"/>
    <x v="35"/>
    <x v="0"/>
    <s v="HO: Powercharts 2012 Sales Channel dynamisch + Beispielfragestellungen berücksichtigt"/>
    <m/>
    <s v="Schilly"/>
    <m/>
    <e v="#N/A"/>
    <e v="#N/A"/>
    <e v="#N/A"/>
    <e v="#N/A"/>
    <x v="10"/>
  </r>
  <r>
    <x v="1289"/>
    <n v="1"/>
    <x v="35"/>
    <x v="0"/>
    <s v="Lrx Reporting:Besprechung Lrx"/>
    <m/>
    <s v="Hildebrand"/>
    <m/>
    <e v="#N/A"/>
    <e v="#N/A"/>
    <e v="#N/A"/>
    <e v="#N/A"/>
    <x v="10"/>
  </r>
  <r>
    <x v="1289"/>
    <n v="1"/>
    <x v="35"/>
    <x v="0"/>
    <s v="Lrx Reporting:Besprechung Lrx"/>
    <m/>
    <s v="Wang"/>
    <m/>
    <e v="#N/A"/>
    <e v="#N/A"/>
    <e v="#N/A"/>
    <e v="#N/A"/>
    <x v="10"/>
  </r>
  <r>
    <x v="1289"/>
    <n v="1"/>
    <x v="35"/>
    <x v="0"/>
    <s v="imsPP Meeting aktueller Stand"/>
    <m/>
    <s v="Witsch"/>
    <m/>
    <e v="#N/A"/>
    <e v="#N/A"/>
    <e v="#N/A"/>
    <e v="#N/A"/>
    <x v="10"/>
  </r>
  <r>
    <x v="1290"/>
    <n v="8"/>
    <x v="35"/>
    <x v="0"/>
    <s v="Lrx Reporting: BP SubNational"/>
    <m/>
    <s v="Wang"/>
    <m/>
    <e v="#N/A"/>
    <e v="#N/A"/>
    <e v="#N/A"/>
    <e v="#N/A"/>
    <x v="10"/>
  </r>
  <r>
    <x v="1290"/>
    <n v="1"/>
    <x v="35"/>
    <x v="0"/>
    <s v="HO: Powercharts 2012 Besprechung aktueller Stand"/>
    <m/>
    <s v="Schilly"/>
    <m/>
    <e v="#N/A"/>
    <e v="#N/A"/>
    <e v="#N/A"/>
    <e v="#N/A"/>
    <x v="10"/>
  </r>
  <r>
    <x v="1291"/>
    <n v="8"/>
    <x v="35"/>
    <x v="0"/>
    <s v="Lrx Reporting: BP SubNational + BP National Novartis"/>
    <m/>
    <s v="Wang"/>
    <m/>
    <e v="#N/A"/>
    <e v="#N/A"/>
    <e v="#N/A"/>
    <e v="#N/A"/>
    <x v="10"/>
  </r>
  <r>
    <x v="1292"/>
    <n v="1"/>
    <x v="35"/>
    <x v="0"/>
    <s v="HO: Powercharts 2012 Besprechung aktueller Stand"/>
    <m/>
    <s v="Schilly"/>
    <m/>
    <e v="#N/A"/>
    <e v="#N/A"/>
    <e v="#N/A"/>
    <e v="#N/A"/>
    <x v="10"/>
  </r>
  <r>
    <x v="1292"/>
    <n v="1"/>
    <x v="35"/>
    <x v="0"/>
    <s v="Lrx Reporting: Besprechung BP National"/>
    <m/>
    <s v="Hildebrand"/>
    <m/>
    <e v="#N/A"/>
    <e v="#N/A"/>
    <e v="#N/A"/>
    <e v="#N/A"/>
    <x v="10"/>
  </r>
  <r>
    <x v="1292"/>
    <n v="6"/>
    <x v="35"/>
    <x v="0"/>
    <s v="Lrx Reporting: National, SubNat +  Novartis fixes and Updates"/>
    <m/>
    <s v="Hildebrand"/>
    <m/>
    <e v="#N/A"/>
    <e v="#N/A"/>
    <e v="#N/A"/>
    <e v="#N/A"/>
    <x v="10"/>
  </r>
  <r>
    <x v="1293"/>
    <n v="6"/>
    <x v="35"/>
    <x v="0"/>
    <s v="Lrx Reporting: National, SubNat +  Novartis fixes and Updates"/>
    <m/>
    <s v="Hildebrand"/>
    <m/>
    <e v="#N/A"/>
    <e v="#N/A"/>
    <e v="#N/A"/>
    <e v="#N/A"/>
    <x v="10"/>
  </r>
  <r>
    <x v="1293"/>
    <n v="2"/>
    <x v="35"/>
    <x v="0"/>
    <s v="imsPP2 Export Spezifikation + Weiterentwicklung"/>
    <m/>
    <s v="Witsch"/>
    <m/>
    <e v="#N/A"/>
    <e v="#N/A"/>
    <e v="#N/A"/>
    <e v="#N/A"/>
    <x v="10"/>
  </r>
  <r>
    <x v="1294"/>
    <n v="8"/>
    <x v="35"/>
    <x v="0"/>
    <s v="imsPP2 Production Production Plan Export Merge + Merge SA Export"/>
    <m/>
    <s v="Witsch"/>
    <m/>
    <e v="#N/A"/>
    <e v="#N/A"/>
    <e v="#N/A"/>
    <e v="#N/A"/>
    <x v="10"/>
  </r>
  <r>
    <x v="1295"/>
    <n v="4"/>
    <x v="35"/>
    <x v="0"/>
    <s v="imsPP2 Production Production Plan Export + Merge SA Export"/>
    <m/>
    <s v="Witsch"/>
    <m/>
    <e v="#N/A"/>
    <e v="#N/A"/>
    <e v="#N/A"/>
    <e v="#N/A"/>
    <x v="10"/>
  </r>
  <r>
    <x v="1296"/>
    <n v="8"/>
    <x v="35"/>
    <x v="0"/>
    <s v="Lrx Reporting:BP Distirict Manager Karten Aggregation"/>
    <m/>
    <s v="Wang"/>
    <m/>
    <e v="#N/A"/>
    <e v="#N/A"/>
    <e v="#N/A"/>
    <e v="#N/A"/>
    <x v="10"/>
  </r>
  <r>
    <x v="1297"/>
    <n v="8"/>
    <x v="35"/>
    <x v="0"/>
    <s v="HO: Powercharts 2012 10 Folien zum Laufen gebracht"/>
    <m/>
    <s v="Schilly"/>
    <m/>
    <e v="#N/A"/>
    <e v="#N/A"/>
    <e v="#N/A"/>
    <e v="#N/A"/>
    <x v="10"/>
  </r>
  <r>
    <x v="1298"/>
    <n v="4"/>
    <x v="35"/>
    <x v="0"/>
    <s v="HO: Powercharts 2012 weitere Folien angepasst"/>
    <m/>
    <s v="Schilly"/>
    <m/>
    <e v="#N/A"/>
    <e v="#N/A"/>
    <e v="#N/A"/>
    <e v="#N/A"/>
    <x v="10"/>
  </r>
  <r>
    <x v="1298"/>
    <n v="1"/>
    <x v="35"/>
    <x v="0"/>
    <s v="imsPP2 Production Formular optimiert entsprechend Feedback von Mohr und Schwerdtner"/>
    <m/>
    <s v="Witsch"/>
    <m/>
    <e v="#N/A"/>
    <e v="#N/A"/>
    <e v="#N/A"/>
    <e v="#N/A"/>
    <x v="10"/>
  </r>
  <r>
    <x v="1299"/>
    <n v="6"/>
    <x v="35"/>
    <x v="0"/>
    <s v="HO: Powercharts 2012 weitere 8 Folien zum Laufen gebracht"/>
    <m/>
    <s v="Schilly"/>
    <m/>
    <e v="#N/A"/>
    <e v="#N/A"/>
    <e v="#N/A"/>
    <e v="#N/A"/>
    <x v="10"/>
  </r>
  <r>
    <x v="1299"/>
    <n v="1"/>
    <x v="35"/>
    <x v="0"/>
    <s v="Lrx Reporting: Administration Tasks"/>
    <m/>
    <s v="Hildebrand"/>
    <m/>
    <e v="#N/A"/>
    <e v="#N/A"/>
    <e v="#N/A"/>
    <e v="#N/A"/>
    <x v="10"/>
  </r>
  <r>
    <x v="1300"/>
    <n v="5"/>
    <x v="35"/>
    <x v="0"/>
    <s v="IO: Powercharts Kat. Sonstige"/>
    <m/>
    <s v="Schilly"/>
    <m/>
    <e v="#N/A"/>
    <e v="#N/A"/>
    <e v="#N/A"/>
    <e v="#N/A"/>
    <x v="10"/>
  </r>
  <r>
    <x v="1300"/>
    <n v="1.5"/>
    <x v="35"/>
    <x v="0"/>
    <s v="IO: Powercharts Besprechung"/>
    <m/>
    <s v="Schilly"/>
    <m/>
    <e v="#N/A"/>
    <e v="#N/A"/>
    <e v="#N/A"/>
    <e v="#N/A"/>
    <x v="10"/>
  </r>
  <r>
    <x v="1301"/>
    <n v="3"/>
    <x v="35"/>
    <x v="0"/>
    <s v="Lrx Reporting: SubNat"/>
    <m/>
    <s v="Wang"/>
    <m/>
    <e v="#N/A"/>
    <e v="#N/A"/>
    <e v="#N/A"/>
    <e v="#N/A"/>
    <x v="10"/>
  </r>
  <r>
    <x v="1302"/>
    <n v="2"/>
    <x v="35"/>
    <x v="0"/>
    <s v="IO: Powercharts Kat. Sonstige + Footer"/>
    <m/>
    <s v="Schilly"/>
    <m/>
    <e v="#N/A"/>
    <e v="#N/A"/>
    <e v="#N/A"/>
    <e v="#N/A"/>
    <x v="10"/>
  </r>
  <r>
    <x v="1302"/>
    <n v="4"/>
    <x v="35"/>
    <x v="0"/>
    <s v="IO: Powercharts Footer 2012, Quartale"/>
    <m/>
    <s v="Schilly"/>
    <m/>
    <e v="#N/A"/>
    <e v="#N/A"/>
    <e v="#N/A"/>
    <e v="#N/A"/>
    <x v="10"/>
  </r>
  <r>
    <x v="1303"/>
    <n v="0.5"/>
    <x v="35"/>
    <x v="0"/>
    <s v="Lrx Reporting: Besprechung Code Versioning"/>
    <m/>
    <s v="Hildebrand"/>
    <m/>
    <e v="#N/A"/>
    <e v="#N/A"/>
    <e v="#N/A"/>
    <e v="#N/A"/>
    <x v="10"/>
  </r>
  <r>
    <x v="1303"/>
    <n v="1.5"/>
    <x v="35"/>
    <x v="0"/>
    <s v="Lrx Reporting: Lrx SubNational Installation und Bugfixing"/>
    <m/>
    <s v="Hildebrand"/>
    <m/>
    <e v="#N/A"/>
    <e v="#N/A"/>
    <e v="#N/A"/>
    <e v="#N/A"/>
    <x v="10"/>
  </r>
  <r>
    <x v="1303"/>
    <n v="4"/>
    <x v="35"/>
    <x v="0"/>
    <s v="IO: Powercharts Quartale"/>
    <m/>
    <s v="Schilly"/>
    <m/>
    <e v="#N/A"/>
    <e v="#N/A"/>
    <e v="#N/A"/>
    <e v="#N/A"/>
    <x v="10"/>
  </r>
  <r>
    <x v="1304"/>
    <n v="1"/>
    <x v="35"/>
    <x v="0"/>
    <s v="imsPP2 Application Signing"/>
    <m/>
    <s v="Witsch"/>
    <m/>
    <e v="#N/A"/>
    <e v="#N/A"/>
    <e v="#N/A"/>
    <e v="#N/A"/>
    <x v="10"/>
  </r>
  <r>
    <x v="1304"/>
    <n v="1"/>
    <x v="35"/>
    <x v="0"/>
    <s v="imsPP2 Export Weiterentwicklung"/>
    <m/>
    <s v="Witsch"/>
    <m/>
    <e v="#N/A"/>
    <e v="#N/A"/>
    <e v="#N/A"/>
    <e v="#N/A"/>
    <x v="10"/>
  </r>
  <r>
    <x v="1304"/>
    <n v="2"/>
    <x v="35"/>
    <x v="0"/>
    <s v="IO: Powercharts Quartale"/>
    <m/>
    <s v="Schilly"/>
    <m/>
    <e v="#N/A"/>
    <e v="#N/A"/>
    <e v="#N/A"/>
    <e v="#N/A"/>
    <x v="10"/>
  </r>
  <r>
    <x v="1305"/>
    <n v="2"/>
    <x v="35"/>
    <x v="0"/>
    <s v="Lrx Reporting: Lrx BP National spanischer Markt"/>
    <m/>
    <s v="Riebel"/>
    <m/>
    <e v="#N/A"/>
    <e v="#N/A"/>
    <e v="#N/A"/>
    <e v="#N/A"/>
    <x v="10"/>
  </r>
  <r>
    <x v="1305"/>
    <n v="2"/>
    <x v="35"/>
    <x v="0"/>
    <s v="imsPP2 Application Signing"/>
    <m/>
    <s v="Witsch"/>
    <m/>
    <e v="#N/A"/>
    <e v="#N/A"/>
    <e v="#N/A"/>
    <e v="#N/A"/>
    <x v="10"/>
  </r>
  <r>
    <x v="1305"/>
    <n v="1"/>
    <x v="35"/>
    <x v="0"/>
    <s v="IO: Powercharts Connection handling"/>
    <m/>
    <s v="Schilly"/>
    <m/>
    <e v="#N/A"/>
    <e v="#N/A"/>
    <e v="#N/A"/>
    <e v="#N/A"/>
    <x v="10"/>
  </r>
  <r>
    <x v="1306"/>
    <n v="2"/>
    <x v="35"/>
    <x v="0"/>
    <s v="imsPP2 Application Signing InstallationSkript"/>
    <m/>
    <s v="Witsch"/>
    <m/>
    <e v="#N/A"/>
    <e v="#N/A"/>
    <e v="#N/A"/>
    <e v="#N/A"/>
    <x v="10"/>
  </r>
  <r>
    <x v="1306"/>
    <n v="6"/>
    <x v="35"/>
    <x v="0"/>
    <s v="Lrx Reporting: Lrx SubNational"/>
    <m/>
    <s v="Wang"/>
    <m/>
    <e v="#N/A"/>
    <e v="#N/A"/>
    <e v="#N/A"/>
    <e v="#N/A"/>
    <x v="10"/>
  </r>
  <r>
    <x v="1307"/>
    <n v="10"/>
    <x v="35"/>
    <x v="0"/>
    <s v="Lrx Reporting: Lrx District Manager"/>
    <m/>
    <s v="Wang"/>
    <m/>
    <e v="#N/A"/>
    <e v="#N/A"/>
    <e v="#N/A"/>
    <e v="#N/A"/>
    <x v="10"/>
  </r>
  <r>
    <x v="1308"/>
    <n v="1"/>
    <x v="35"/>
    <x v="0"/>
    <s v="imsPP2 Application Production Plan Export"/>
    <m/>
    <s v="Witsch"/>
    <m/>
    <e v="#N/A"/>
    <e v="#N/A"/>
    <e v="#N/A"/>
    <e v="#N/A"/>
    <x v="10"/>
  </r>
  <r>
    <x v="1308"/>
    <n v="4"/>
    <x v="35"/>
    <x v="0"/>
    <s v="Lrx Reporting: Lrx SubNational MSD Market + SubNational Market Share Calc + Bugfixing"/>
    <m/>
    <s v="Wang"/>
    <m/>
    <e v="#N/A"/>
    <e v="#N/A"/>
    <e v="#N/A"/>
    <e v="#N/A"/>
    <x v="10"/>
  </r>
  <r>
    <x v="1308"/>
    <n v="4"/>
    <x v="35"/>
    <x v="0"/>
    <s v="Lrx Reporting: Lrx District Manager"/>
    <m/>
    <s v="Wang"/>
    <m/>
    <e v="#N/A"/>
    <e v="#N/A"/>
    <e v="#N/A"/>
    <e v="#N/A"/>
    <x v="10"/>
  </r>
  <r>
    <x v="1309"/>
    <n v="7"/>
    <x v="35"/>
    <x v="0"/>
    <s v="Lrx Reporting: Lrx District Manager"/>
    <m/>
    <s v="Wang"/>
    <m/>
    <e v="#N/A"/>
    <e v="#N/A"/>
    <e v="#N/A"/>
    <e v="#N/A"/>
    <x v="10"/>
  </r>
  <r>
    <x v="1309"/>
    <n v="1"/>
    <x v="35"/>
    <x v="0"/>
    <s v="imsPP2 Application SL Elevated Trust Inst. Skript"/>
    <m/>
    <s v="Witsch"/>
    <m/>
    <e v="#N/A"/>
    <e v="#N/A"/>
    <e v="#N/A"/>
    <e v="#N/A"/>
    <x v="10"/>
  </r>
  <r>
    <x v="1310"/>
    <n v="2"/>
    <x v="35"/>
    <x v="0"/>
    <s v="imsPP2 Application SL Elevated Trust Inst. Skript und Test"/>
    <m/>
    <s v="Witsch"/>
    <m/>
    <e v="#N/A"/>
    <e v="#N/A"/>
    <e v="#N/A"/>
    <e v="#N/A"/>
    <x v="10"/>
  </r>
  <r>
    <x v="1310"/>
    <n v="2"/>
    <x v="35"/>
    <x v="0"/>
    <s v="imsPP2 Application neue Dev Version auf ffmssql010"/>
    <m/>
    <s v="Witsch"/>
    <m/>
    <e v="#N/A"/>
    <e v="#N/A"/>
    <e v="#N/A"/>
    <e v="#N/A"/>
    <x v="10"/>
  </r>
  <r>
    <x v="1310"/>
    <n v="4"/>
    <x v="35"/>
    <x v="0"/>
    <s v="Lrx Reporting: Lrx District Manager"/>
    <m/>
    <s v="Wang"/>
    <m/>
    <e v="#N/A"/>
    <e v="#N/A"/>
    <e v="#N/A"/>
    <e v="#N/A"/>
    <x v="10"/>
  </r>
  <r>
    <x v="1311"/>
    <n v="6"/>
    <x v="35"/>
    <x v="0"/>
    <s v="Lrx Reporting: Lrx District Manager"/>
    <m/>
    <s v="Wang"/>
    <m/>
    <e v="#N/A"/>
    <e v="#N/A"/>
    <e v="#N/A"/>
    <e v="#N/A"/>
    <x v="10"/>
  </r>
  <r>
    <x v="1311"/>
    <n v="2"/>
    <x v="35"/>
    <x v="0"/>
    <s v="Lrx Reporting: Lrx District Manager neuer ReportInstaller"/>
    <m/>
    <s v="Wang"/>
    <m/>
    <e v="#N/A"/>
    <e v="#N/A"/>
    <e v="#N/A"/>
    <e v="#N/A"/>
    <x v="10"/>
  </r>
  <r>
    <x v="1312"/>
    <n v="6"/>
    <x v="35"/>
    <x v="0"/>
    <s v="Lrx Reporting: Lrx DM, Lrx SubNat Anpassungen"/>
    <m/>
    <s v="Wang"/>
    <m/>
    <e v="#N/A"/>
    <e v="#N/A"/>
    <e v="#N/A"/>
    <e v="#N/A"/>
    <x v="10"/>
  </r>
  <r>
    <x v="1312"/>
    <n v="1"/>
    <x v="35"/>
    <x v="0"/>
    <s v="imsPP2 Application ExportDefinition"/>
    <m/>
    <s v="Despotovitch"/>
    <m/>
    <e v="#N/A"/>
    <e v="#N/A"/>
    <e v="#N/A"/>
    <e v="#N/A"/>
    <x v="10"/>
  </r>
  <r>
    <x v="1313"/>
    <n v="6"/>
    <x v="35"/>
    <x v="0"/>
    <s v="IO: Powercharts Änderungsvorgaben weitere Charts"/>
    <m/>
    <s v="Schilly"/>
    <m/>
    <e v="#N/A"/>
    <e v="#N/A"/>
    <e v="#N/A"/>
    <e v="#N/A"/>
    <x v="10"/>
  </r>
  <r>
    <x v="1314"/>
    <n v="7"/>
    <x v="35"/>
    <x v="0"/>
    <s v="IO: Powercharts Änderungsvorgaben weitere Charts"/>
    <m/>
    <s v="Schilly"/>
    <m/>
    <e v="#N/A"/>
    <e v="#N/A"/>
    <e v="#N/A"/>
    <e v="#N/A"/>
    <x v="10"/>
  </r>
  <r>
    <x v="1315"/>
    <n v="1"/>
    <x v="35"/>
    <x v="0"/>
    <s v="imsPP2 Besprechung"/>
    <m/>
    <s v="Witsch"/>
    <m/>
    <e v="#N/A"/>
    <e v="#N/A"/>
    <e v="#N/A"/>
    <e v="#N/A"/>
    <x v="10"/>
  </r>
  <r>
    <x v="1315"/>
    <n v="1"/>
    <x v="35"/>
    <x v="0"/>
    <s v="Calculator Besprechung"/>
    <m/>
    <s v="Alexander"/>
    <m/>
    <e v="#N/A"/>
    <e v="#N/A"/>
    <e v="#N/A"/>
    <e v="#N/A"/>
    <x v="10"/>
  </r>
  <r>
    <x v="1315"/>
    <n v="1"/>
    <x v="35"/>
    <x v="0"/>
    <s v="imsPP2 Besprechung"/>
    <m/>
    <s v="Despotovitch"/>
    <m/>
    <e v="#N/A"/>
    <e v="#N/A"/>
    <e v="#N/A"/>
    <e v="#N/A"/>
    <x v="10"/>
  </r>
  <r>
    <x v="1315"/>
    <n v="2"/>
    <x v="35"/>
    <x v="0"/>
    <s v="imsPP2 Export Korrekturen"/>
    <m/>
    <s v="Despotovitch"/>
    <m/>
    <e v="#N/A"/>
    <e v="#N/A"/>
    <e v="#N/A"/>
    <e v="#N/A"/>
    <x v="10"/>
  </r>
  <r>
    <x v="1316"/>
    <n v="4"/>
    <x v="35"/>
    <x v="0"/>
    <s v="IO: Powercharts Änderungsvorgaben weitere Charts"/>
    <m/>
    <s v="Schilly"/>
    <m/>
    <e v="#N/A"/>
    <e v="#N/A"/>
    <e v="#N/A"/>
    <e v="#N/A"/>
    <x v="10"/>
  </r>
  <r>
    <x v="1316"/>
    <n v="4"/>
    <x v="35"/>
    <x v="0"/>
    <s v="imsPP2 Logging + Authentifizierung"/>
    <m/>
    <s v="Witsch"/>
    <m/>
    <e v="#N/A"/>
    <e v="#N/A"/>
    <e v="#N/A"/>
    <e v="#N/A"/>
    <x v="10"/>
  </r>
  <r>
    <x v="1317"/>
    <n v="1"/>
    <x v="35"/>
    <x v="0"/>
    <s v="imsPP2 Request für aktualisierte ExportDefintion"/>
    <m/>
    <s v="Despotovitch"/>
    <m/>
    <e v="#N/A"/>
    <e v="#N/A"/>
    <e v="#N/A"/>
    <e v="#N/A"/>
    <x v="10"/>
  </r>
  <r>
    <x v="1317"/>
    <n v="1"/>
    <x v="35"/>
    <x v="0"/>
    <s v="Lrx Reporting: Lrx Parameter Position Novartis"/>
    <m/>
    <s v="Wang"/>
    <m/>
    <e v="#N/A"/>
    <e v="#N/A"/>
    <e v="#N/A"/>
    <e v="#N/A"/>
    <x v="10"/>
  </r>
  <r>
    <x v="1317"/>
    <n v="3"/>
    <x v="35"/>
    <x v="0"/>
    <s v="imsPP2 Logging + Authentifizierung"/>
    <m/>
    <s v="Witsch"/>
    <m/>
    <e v="#N/A"/>
    <e v="#N/A"/>
    <e v="#N/A"/>
    <e v="#N/A"/>
    <x v="10"/>
  </r>
  <r>
    <x v="1317"/>
    <n v="2"/>
    <x v="35"/>
    <x v="0"/>
    <s v="imsPP Installation neues System auf Prod"/>
    <m/>
    <s v="Borchard"/>
    <m/>
    <e v="#N/A"/>
    <e v="#N/A"/>
    <e v="#N/A"/>
    <e v="#N/A"/>
    <x v="10"/>
  </r>
  <r>
    <x v="1318"/>
    <n v="1"/>
    <x v="35"/>
    <x v="0"/>
    <s v="imsPP Herstellung altes System Prod"/>
    <m/>
    <s v="Borchard"/>
    <m/>
    <e v="#N/A"/>
    <e v="#N/A"/>
    <e v="#N/A"/>
    <e v="#N/A"/>
    <x v="10"/>
  </r>
  <r>
    <x v="1318"/>
    <n v="3"/>
    <x v="35"/>
    <x v="0"/>
    <s v="imsPP Support Actual Month Problem für AXT"/>
    <m/>
    <s v="Hornbruch"/>
    <m/>
    <e v="#N/A"/>
    <e v="#N/A"/>
    <e v="#N/A"/>
    <e v="#N/A"/>
    <x v="10"/>
  </r>
  <r>
    <x v="1318"/>
    <n v="1"/>
    <x v="35"/>
    <x v="0"/>
    <s v="imsPP2 Logging + Authentifizierung"/>
    <m/>
    <s v="Witsch"/>
    <m/>
    <e v="#N/A"/>
    <e v="#N/A"/>
    <e v="#N/A"/>
    <e v="#N/A"/>
    <x v="10"/>
  </r>
  <r>
    <x v="1318"/>
    <n v="3"/>
    <x v="35"/>
    <x v="0"/>
    <s v="IO: Powercharts Änderungsvorgaben weitere Charts"/>
    <m/>
    <s v="Schilly"/>
    <m/>
    <e v="#N/A"/>
    <e v="#N/A"/>
    <e v="#N/A"/>
    <e v="#N/A"/>
    <x v="10"/>
  </r>
  <r>
    <x v="1319"/>
    <n v="2"/>
    <x v="35"/>
    <x v="0"/>
    <s v="imsPP Installation neues System auf Prod (Test wird doch durchgeführt)"/>
    <m/>
    <s v="Borchard"/>
    <m/>
    <e v="#N/A"/>
    <e v="#N/A"/>
    <e v="#N/A"/>
    <e v="#N/A"/>
    <x v="10"/>
  </r>
  <r>
    <x v="1319"/>
    <n v="3"/>
    <x v="35"/>
    <x v="0"/>
    <s v="imsPP Bugfixing Ascii Export"/>
    <m/>
    <s v="Borchard"/>
    <m/>
    <e v="#N/A"/>
    <e v="#N/A"/>
    <e v="#N/A"/>
    <e v="#N/A"/>
    <x v="10"/>
  </r>
  <r>
    <x v="1319"/>
    <n v="3"/>
    <x v="35"/>
    <x v="0"/>
    <s v="IO: Powercharts Änderungsvorgaben 2 Facts, 3 Facts nebeneinander"/>
    <m/>
    <s v="Schilly"/>
    <m/>
    <e v="#N/A"/>
    <e v="#N/A"/>
    <e v="#N/A"/>
    <e v="#N/A"/>
    <x v="10"/>
  </r>
  <r>
    <x v="1320"/>
    <n v="2"/>
    <x v="35"/>
    <x v="0"/>
    <s v="imsPP Bugfixing Ascii Export + Neuinstallation"/>
    <m/>
    <s v="Borchard"/>
    <m/>
    <e v="#N/A"/>
    <e v="#N/A"/>
    <e v="#N/A"/>
    <e v="#N/A"/>
    <x v="10"/>
  </r>
  <r>
    <x v="1320"/>
    <n v="3"/>
    <x v="35"/>
    <x v="0"/>
    <s v="imsPP2 Merge Produktion Auswahl Produktionen Typ P für M"/>
    <m/>
    <s v="Despotovitch"/>
    <m/>
    <e v="#N/A"/>
    <e v="#N/A"/>
    <e v="#N/A"/>
    <e v="#N/A"/>
    <x v="10"/>
  </r>
  <r>
    <x v="1321"/>
    <n v="1"/>
    <x v="35"/>
    <x v="0"/>
    <s v="Lrx Reporting: Besprechung Parameter und Namenskonventionen"/>
    <m/>
    <s v="Hildebrand"/>
    <m/>
    <e v="#N/A"/>
    <e v="#N/A"/>
    <e v="#N/A"/>
    <e v="#N/A"/>
    <x v="10"/>
  </r>
  <r>
    <x v="1321"/>
    <n v="5"/>
    <x v="35"/>
    <x v="0"/>
    <s v="imsPP2 ProductionDetail Dialog, Optimierungen"/>
    <m/>
    <s v="Witsch"/>
    <m/>
    <e v="#N/A"/>
    <e v="#N/A"/>
    <e v="#N/A"/>
    <e v="#N/A"/>
    <x v="10"/>
  </r>
  <r>
    <x v="1322"/>
    <n v="1"/>
    <x v="35"/>
    <x v="0"/>
    <s v="Powercharts, Datenbankdialog, Besprechungen, Planung"/>
    <m/>
    <s v="Voigt"/>
    <m/>
    <e v="#N/A"/>
    <e v="#N/A"/>
    <e v="#N/A"/>
    <e v="#N/A"/>
    <x v="10"/>
  </r>
  <r>
    <x v="1322"/>
    <n v="4"/>
    <x v="35"/>
    <x v="0"/>
    <s v="imsPP2 ProductionDetail Dialog, Anpassungen Merge bei Änderungen von ProductionUsed für Datenintegrität"/>
    <m/>
    <s v="Witsch"/>
    <m/>
    <e v="#N/A"/>
    <e v="#N/A"/>
    <e v="#N/A"/>
    <e v="#N/A"/>
    <x v="10"/>
  </r>
  <r>
    <x v="1322"/>
    <n v="3"/>
    <x v="35"/>
    <x v="0"/>
    <s v="imsPP2 Bugfixing: Bei Sortierung falsche Productionauswahl behoben"/>
    <m/>
    <s v="Witsch"/>
    <m/>
    <e v="#N/A"/>
    <e v="#N/A"/>
    <e v="#N/A"/>
    <e v="#N/A"/>
    <x v="10"/>
  </r>
  <r>
    <x v="1322"/>
    <n v="1"/>
    <x v="35"/>
    <x v="0"/>
    <s v="imsPP2: Benutzername mit Begrüßung wird eingesteuert"/>
    <m/>
    <s v="Witsch"/>
    <m/>
    <e v="#N/A"/>
    <e v="#N/A"/>
    <e v="#N/A"/>
    <e v="#N/A"/>
    <x v="10"/>
  </r>
  <r>
    <x v="1323"/>
    <n v="7"/>
    <x v="35"/>
    <x v="0"/>
    <s v="imsPP2: Export nur ReadyForProd, Gültigkeitsregeln Merge, Installation neues Update in Dev und Test"/>
    <m/>
    <s v="Witsch"/>
    <m/>
    <e v="#N/A"/>
    <e v="#N/A"/>
    <e v="#N/A"/>
    <e v="#N/A"/>
    <x v="10"/>
  </r>
  <r>
    <x v="1323"/>
    <n v="4"/>
    <x v="35"/>
    <x v="0"/>
    <s v="Lrx Reporting DM: Erweiterungen"/>
    <m/>
    <s v="Wang"/>
    <m/>
    <e v="#N/A"/>
    <e v="#N/A"/>
    <e v="#N/A"/>
    <e v="#N/A"/>
    <x v="10"/>
  </r>
  <r>
    <x v="1324"/>
    <n v="1"/>
    <x v="35"/>
    <x v="0"/>
    <s v="Lrx Reporting: SCM Meeting"/>
    <m/>
    <s v="Hildebrand"/>
    <m/>
    <e v="#N/A"/>
    <e v="#N/A"/>
    <e v="#N/A"/>
    <e v="#N/A"/>
    <x v="10"/>
  </r>
  <r>
    <x v="1324"/>
    <n v="2"/>
    <x v="35"/>
    <x v="0"/>
    <s v="NPA Kalkulator: Analyse + Angebot"/>
    <m/>
    <s v="Frenzel"/>
    <m/>
    <e v="#N/A"/>
    <e v="#N/A"/>
    <e v="#N/A"/>
    <e v="#N/A"/>
    <x v="10"/>
  </r>
  <r>
    <x v="1324"/>
    <n v="2"/>
    <x v="35"/>
    <x v="0"/>
    <s v="imsPP2: Meilenstein 5: ProductionUsed N"/>
    <m/>
    <s v="Despotovitch"/>
    <m/>
    <e v="#N/A"/>
    <e v="#N/A"/>
    <e v="#N/A"/>
    <e v="#N/A"/>
    <x v="10"/>
  </r>
  <r>
    <x v="1324"/>
    <n v="5"/>
    <x v="35"/>
    <x v="0"/>
    <s v="Lrx Reporting DM: Erweiterungen"/>
    <m/>
    <s v="Wang"/>
    <m/>
    <e v="#N/A"/>
    <e v="#N/A"/>
    <e v="#N/A"/>
    <e v="#N/A"/>
    <x v="10"/>
  </r>
  <r>
    <x v="1325"/>
    <n v="4"/>
    <x v="35"/>
    <x v="0"/>
    <s v="imsPP2: Meilenstein 5: Prio 9 + ProductionLevel entfernt, Exportfilter StudyCode"/>
    <m/>
    <s v="Despotovitch"/>
    <m/>
    <e v="#N/A"/>
    <e v="#N/A"/>
    <e v="#N/A"/>
    <e v="#N/A"/>
    <x v="10"/>
  </r>
  <r>
    <x v="1326"/>
    <n v="4"/>
    <x v="35"/>
    <x v="0"/>
    <s v="imsPP2: Meilenstein 5: Exportfilter StudyCode"/>
    <m/>
    <s v="Despotovitch"/>
    <m/>
    <e v="#N/A"/>
    <e v="#N/A"/>
    <e v="#N/A"/>
    <e v="#N/A"/>
    <x v="10"/>
  </r>
  <r>
    <x v="1327"/>
    <n v="2"/>
    <x v="35"/>
    <x v="0"/>
    <s v="Lrx Reporting: Osteoporosis Spain"/>
    <m/>
    <s v="Riebel"/>
    <m/>
    <e v="#N/A"/>
    <e v="#N/A"/>
    <e v="#N/A"/>
    <e v="#N/A"/>
    <x v="10"/>
  </r>
  <r>
    <x v="1327"/>
    <n v="1"/>
    <x v="35"/>
    <x v="0"/>
    <s v="Lrx Reporting: n Märkte N Datenbanken"/>
    <m/>
    <s v="Hildebrand"/>
    <m/>
    <e v="#N/A"/>
    <e v="#N/A"/>
    <e v="#N/A"/>
    <e v="#N/A"/>
    <x v="10"/>
  </r>
  <r>
    <x v="1327"/>
    <n v="1"/>
    <x v="35"/>
    <x v="0"/>
    <s v="imsPP2: StatusMeeting"/>
    <m/>
    <s v="Witsch"/>
    <m/>
    <e v="#N/A"/>
    <e v="#N/A"/>
    <e v="#N/A"/>
    <e v="#N/A"/>
    <x v="10"/>
  </r>
  <r>
    <x v="1327"/>
    <n v="4"/>
    <x v="35"/>
    <x v="0"/>
    <s v="Lrx Reporting: Umsetzung neue Namenskonvention RDL files"/>
    <m/>
    <s v="Hildebrand"/>
    <m/>
    <e v="#N/A"/>
    <e v="#N/A"/>
    <e v="#N/A"/>
    <e v="#N/A"/>
    <x v="10"/>
  </r>
  <r>
    <x v="1328"/>
    <n v="1"/>
    <x v="35"/>
    <x v="0"/>
    <s v="imsPP: Automatisches Löschen alte Produktionen"/>
    <m/>
    <s v="Witsch"/>
    <m/>
    <e v="#N/A"/>
    <e v="#N/A"/>
    <e v="#N/A"/>
    <e v="#N/A"/>
    <x v="10"/>
  </r>
  <r>
    <x v="1328"/>
    <n v="2"/>
    <x v="35"/>
    <x v="0"/>
    <s v="Lrx Reporting: imsPPTestKunde"/>
    <m/>
    <s v="Hildebrand"/>
    <m/>
    <e v="#N/A"/>
    <e v="#N/A"/>
    <e v="#N/A"/>
    <e v="#N/A"/>
    <x v="10"/>
  </r>
  <r>
    <x v="1328"/>
    <n v="2"/>
    <x v="35"/>
    <x v="0"/>
    <s v="imsPP: Import neue Production Data Korrekturen"/>
    <m/>
    <s v="Despotovitch"/>
    <m/>
    <e v="#N/A"/>
    <e v="#N/A"/>
    <e v="#N/A"/>
    <e v="#N/A"/>
    <x v="10"/>
  </r>
  <r>
    <x v="1328"/>
    <n v="2"/>
    <x v="35"/>
    <x v="0"/>
    <s v="imsPP: Meilenstein 5 Bugfixing"/>
    <m/>
    <s v="Witsch"/>
    <m/>
    <e v="#N/A"/>
    <e v="#N/A"/>
    <e v="#N/A"/>
    <e v="#N/A"/>
    <x v="10"/>
  </r>
  <r>
    <x v="1329"/>
    <n v="1"/>
    <x v="35"/>
    <x v="0"/>
    <s v="Lrx Reporting: imsPPTestKunde"/>
    <m/>
    <s v="Hildebrand"/>
    <m/>
    <e v="#N/A"/>
    <e v="#N/A"/>
    <e v="#N/A"/>
    <e v="#N/A"/>
    <x v="10"/>
  </r>
  <r>
    <x v="1329"/>
    <n v="1.5"/>
    <x v="35"/>
    <x v="0"/>
    <s v="Lrx Reporting: SCM Meeting"/>
    <m/>
    <s v="Hildebrand"/>
    <m/>
    <e v="#N/A"/>
    <e v="#N/A"/>
    <e v="#N/A"/>
    <e v="#N/A"/>
    <x v="10"/>
  </r>
  <r>
    <x v="1329"/>
    <n v="2"/>
    <x v="35"/>
    <x v="0"/>
    <s v="imsPP: neue Produkterkennung wegen neuer StudyCodes"/>
    <m/>
    <s v="Witsch"/>
    <m/>
    <e v="#N/A"/>
    <e v="#N/A"/>
    <e v="#N/A"/>
    <e v="#N/A"/>
    <x v="10"/>
  </r>
  <r>
    <x v="1329"/>
    <n v="2"/>
    <x v="35"/>
    <x v="0"/>
    <s v="imsPP2: Druckzeile, StudyCode Merge alle gleich,Output Only leer"/>
    <m/>
    <s v="Schwerdtner"/>
    <m/>
    <e v="#N/A"/>
    <e v="#N/A"/>
    <e v="#N/A"/>
    <e v="#N/A"/>
    <x v="10"/>
  </r>
  <r>
    <x v="1329"/>
    <n v="5"/>
    <x v="35"/>
    <x v="0"/>
    <s v="imsPP2: Production Filter erweitert"/>
    <m/>
    <s v="Schwerdtner"/>
    <m/>
    <e v="#N/A"/>
    <e v="#N/A"/>
    <e v="#N/A"/>
    <e v="#N/A"/>
    <x v="10"/>
  </r>
  <r>
    <x v="1330"/>
    <n v="3"/>
    <x v="35"/>
    <x v="0"/>
    <s v="imsPP: Automatisches Löschen alte Produktionen"/>
    <m/>
    <s v="Hornbruch"/>
    <m/>
    <e v="#N/A"/>
    <e v="#N/A"/>
    <e v="#N/A"/>
    <e v="#N/A"/>
    <x v="10"/>
  </r>
  <r>
    <x v="1331"/>
    <n v="1"/>
    <x v="35"/>
    <x v="0"/>
    <s v="imsPP2:Export PXPRCM49 false ersetzt duch N,"/>
    <m/>
    <s v="Despotovitch"/>
    <m/>
    <e v="#N/A"/>
    <e v="#N/A"/>
    <e v="#N/A"/>
    <e v="#N/A"/>
    <x v="10"/>
  </r>
  <r>
    <x v="1331"/>
    <n v="1"/>
    <x v="35"/>
    <x v="0"/>
    <s v="imsPP2:Export Merge &quot;Kinder fehlen&quot; Bug"/>
    <m/>
    <s v="Despotovitch"/>
    <m/>
    <e v="#N/A"/>
    <e v="#N/A"/>
    <e v="#N/A"/>
    <e v="#N/A"/>
    <x v="10"/>
  </r>
  <r>
    <x v="1331"/>
    <n v="0.5"/>
    <x v="35"/>
    <x v="0"/>
    <s v="Lrx Reporting: Administration Berechtigungen Spanien"/>
    <m/>
    <s v="Utsch"/>
    <m/>
    <e v="#N/A"/>
    <e v="#N/A"/>
    <e v="#N/A"/>
    <e v="#N/A"/>
    <x v="10"/>
  </r>
  <r>
    <x v="1331"/>
    <n v="4"/>
    <x v="35"/>
    <x v="0"/>
    <s v="Lrx Reporting: Parameter Konfiguration"/>
    <m/>
    <s v="Hildebrand"/>
    <m/>
    <e v="#N/A"/>
    <e v="#N/A"/>
    <e v="#N/A"/>
    <e v="#N/A"/>
    <x v="10"/>
  </r>
  <r>
    <x v="1332"/>
    <n v="2"/>
    <x v="35"/>
    <x v="0"/>
    <s v="Lrx Reporting: Parameter Konfiguration"/>
    <m/>
    <s v="Hildebrand"/>
    <m/>
    <e v="#N/A"/>
    <e v="#N/A"/>
    <e v="#N/A"/>
    <e v="#N/A"/>
    <x v="10"/>
  </r>
  <r>
    <x v="1333"/>
    <n v="4"/>
    <x v="35"/>
    <x v="0"/>
    <s v="Lrx Reporting: Parameter Konfiguration + Installation erster Prototyp"/>
    <m/>
    <s v="Hildebrand"/>
    <m/>
    <e v="#N/A"/>
    <e v="#N/A"/>
    <e v="#N/A"/>
    <e v="#N/A"/>
    <x v="10"/>
  </r>
  <r>
    <x v="1333"/>
    <n v="4"/>
    <x v="35"/>
    <x v="0"/>
    <s v="Lrx Reporting: District Manager"/>
    <m/>
    <s v="Wang"/>
    <m/>
    <e v="#N/A"/>
    <e v="#N/A"/>
    <e v="#N/A"/>
    <e v="#N/A"/>
    <x v="10"/>
  </r>
  <r>
    <x v="1334"/>
    <n v="2"/>
    <x v="35"/>
    <x v="0"/>
    <s v="Lrx Reporting: Parameter Konfiguration"/>
    <m/>
    <s v="Hildebrand"/>
    <m/>
    <e v="#N/A"/>
    <e v="#N/A"/>
    <e v="#N/A"/>
    <e v="#N/A"/>
    <x v="10"/>
  </r>
  <r>
    <x v="1334"/>
    <n v="4"/>
    <x v="35"/>
    <x v="0"/>
    <s v="imsPP2:Adminstrations Panel, Stammdaten"/>
    <m/>
    <s v="Despotovitch"/>
    <m/>
    <e v="#N/A"/>
    <e v="#N/A"/>
    <e v="#N/A"/>
    <e v="#N/A"/>
    <x v="10"/>
  </r>
  <r>
    <x v="1334"/>
    <n v="0.5"/>
    <x v="35"/>
    <x v="0"/>
    <s v="Lrx Reporting: Administration Berechtigungen Spanien"/>
    <m/>
    <s v="Utsch"/>
    <m/>
    <e v="#N/A"/>
    <e v="#N/A"/>
    <e v="#N/A"/>
    <e v="#N/A"/>
    <x v="10"/>
  </r>
  <r>
    <x v="1334"/>
    <n v="5"/>
    <x v="35"/>
    <x v="0"/>
    <s v="imsPP alt: neue Study Code Erkennung über dat-File"/>
    <m/>
    <s v="Borchard"/>
    <m/>
    <e v="#N/A"/>
    <e v="#N/A"/>
    <e v="#N/A"/>
    <e v="#N/A"/>
    <x v="10"/>
  </r>
  <r>
    <x v="1335"/>
    <n v="1.5"/>
    <x v="35"/>
    <x v="0"/>
    <s v="Lrx Reporting: Harvest meeting"/>
    <m/>
    <s v="Hildebrand"/>
    <m/>
    <e v="#N/A"/>
    <e v="#N/A"/>
    <e v="#N/A"/>
    <e v="#N/A"/>
    <x v="10"/>
  </r>
  <r>
    <x v="1335"/>
    <n v="7"/>
    <x v="35"/>
    <x v="0"/>
    <s v="Lrx Reporting: Parameter Konfiguration Prototyp 2"/>
    <m/>
    <s v="Hildebrand"/>
    <m/>
    <e v="#N/A"/>
    <e v="#N/A"/>
    <e v="#N/A"/>
    <e v="#N/A"/>
    <x v="10"/>
  </r>
  <r>
    <x v="1336"/>
    <n v="4"/>
    <x v="35"/>
    <x v="0"/>
    <s v="imsPP2:OutputChecks Filterfunktionen angepasst"/>
    <m/>
    <s v="Despotovitch"/>
    <m/>
    <e v="#N/A"/>
    <e v="#N/A"/>
    <e v="#N/A"/>
    <e v="#N/A"/>
    <x v="10"/>
  </r>
  <r>
    <x v="1337"/>
    <n v="2"/>
    <x v="35"/>
    <x v="0"/>
    <s v="Powercharts, Datenbank Verbindung zur Hosting Platform"/>
    <m/>
    <s v="Voigt"/>
    <m/>
    <e v="#N/A"/>
    <e v="#N/A"/>
    <e v="#N/A"/>
    <e v="#N/A"/>
    <x v="10"/>
  </r>
  <r>
    <x v="1337"/>
    <n v="3"/>
    <x v="35"/>
    <x v="0"/>
    <s v="imsPP2: Stammdatenverwaltung"/>
    <m/>
    <s v="Witsch"/>
    <m/>
    <e v="#N/A"/>
    <e v="#N/A"/>
    <e v="#N/A"/>
    <e v="#N/A"/>
    <x v="10"/>
  </r>
  <r>
    <x v="1337"/>
    <n v="1"/>
    <x v="35"/>
    <x v="0"/>
    <s v="Lrx Reporting: Reihenfolge Märkte, Anzeige Parameterbox Config Prototyp 2"/>
    <m/>
    <s v="Hildebrand"/>
    <m/>
    <e v="#N/A"/>
    <e v="#N/A"/>
    <e v="#N/A"/>
    <e v="#N/A"/>
    <x v="10"/>
  </r>
  <r>
    <x v="1338"/>
    <n v="2"/>
    <x v="35"/>
    <x v="0"/>
    <s v="imsPP2: Stammdatenverwaltung"/>
    <m/>
    <s v="Witsch"/>
    <m/>
    <e v="#N/A"/>
    <e v="#N/A"/>
    <e v="#N/A"/>
    <e v="#N/A"/>
    <x v="10"/>
  </r>
  <r>
    <x v="1338"/>
    <n v="5"/>
    <x v="35"/>
    <x v="0"/>
    <s v="Lrx Reporting DM: Neues Layout, neue Charts"/>
    <m/>
    <s v="Wang"/>
    <m/>
    <e v="#N/A"/>
    <e v="#N/A"/>
    <e v="#N/A"/>
    <e v="#N/A"/>
    <x v="10"/>
  </r>
  <r>
    <x v="1339"/>
    <n v="1"/>
    <x v="35"/>
    <x v="0"/>
    <s v="imsPP2: Korrektur Export: Normal Produktion Prodkey ergänzt"/>
    <m/>
    <s v="Despotovitch"/>
    <m/>
    <e v="#N/A"/>
    <e v="#N/A"/>
    <e v="#N/A"/>
    <e v="#N/A"/>
    <x v="10"/>
  </r>
  <r>
    <x v="1339"/>
    <n v="1"/>
    <x v="35"/>
    <x v="0"/>
    <s v="Lrx Reporting Novartis: Unterschiedliche Berichtshöhen Test und Produktion"/>
    <m/>
    <s v="Wang"/>
    <m/>
    <e v="#N/A"/>
    <e v="#N/A"/>
    <e v="#N/A"/>
    <e v="#N/A"/>
    <x v="10"/>
  </r>
  <r>
    <x v="1339"/>
    <n v="0.5"/>
    <x v="35"/>
    <x v="0"/>
    <s v="imsPP: Support PDS"/>
    <m/>
    <s v="Hornbruch"/>
    <m/>
    <e v="#N/A"/>
    <e v="#N/A"/>
    <e v="#N/A"/>
    <e v="#N/A"/>
    <x v="10"/>
  </r>
  <r>
    <x v="1339"/>
    <n v="1"/>
    <x v="35"/>
    <x v="0"/>
    <s v="Lrx Reporting DM: Installation neue Version"/>
    <m/>
    <s v="Wang"/>
    <m/>
    <e v="#N/A"/>
    <e v="#N/A"/>
    <e v="#N/A"/>
    <e v="#N/A"/>
    <x v="10"/>
  </r>
  <r>
    <x v="1339"/>
    <n v="2.5"/>
    <x v="35"/>
    <x v="0"/>
    <s v="Lrx Reporting SN: Config Prototype 2"/>
    <m/>
    <s v="Hildebrand"/>
    <m/>
    <e v="#N/A"/>
    <e v="#N/A"/>
    <e v="#N/A"/>
    <e v="#N/A"/>
    <x v="10"/>
  </r>
  <r>
    <x v="1340"/>
    <n v="4"/>
    <x v="35"/>
    <x v="0"/>
    <s v="imsPP2: Bugfixing Export, ProdListShowsRevenue + ZipOutput"/>
    <m/>
    <s v="Despotovitch"/>
    <m/>
    <e v="#N/A"/>
    <e v="#N/A"/>
    <e v="#N/A"/>
    <e v="#N/A"/>
    <x v="10"/>
  </r>
  <r>
    <x v="1340"/>
    <n v="1"/>
    <x v="35"/>
    <x v="0"/>
    <s v="Lrx Reporting SN: Config Prototype 2"/>
    <m/>
    <s v="Hildebrand"/>
    <m/>
    <e v="#N/A"/>
    <e v="#N/A"/>
    <e v="#N/A"/>
    <e v="#N/A"/>
    <x v="10"/>
  </r>
  <r>
    <x v="1341"/>
    <n v="1"/>
    <x v="35"/>
    <x v="0"/>
    <s v="Lrx Reporting SN: Vergleich Novartis &lt;-&gt; Testumgebung Ränder"/>
    <m/>
    <s v="Hildebrand/Wang"/>
    <m/>
    <e v="#N/A"/>
    <e v="#N/A"/>
    <e v="#N/A"/>
    <e v="#N/A"/>
    <x v="10"/>
  </r>
  <r>
    <x v="1341"/>
    <n v="2"/>
    <x v="35"/>
    <x v="0"/>
    <s v="Lrx Reporting NA + SN: Fertigstellung + Bereitstellung neue Versionen"/>
    <m/>
    <s v="Hildebrand/Wang"/>
    <m/>
    <e v="#N/A"/>
    <e v="#N/A"/>
    <e v="#N/A"/>
    <e v="#N/A"/>
    <x v="10"/>
  </r>
  <r>
    <x v="1341"/>
    <n v="1"/>
    <x v="35"/>
    <x v="0"/>
    <s v="imsPP2: Einfärbung OutputChecks nach Status"/>
    <m/>
    <s v="Witsch"/>
    <m/>
    <e v="#N/A"/>
    <e v="#N/A"/>
    <e v="#N/A"/>
    <e v="#N/A"/>
    <x v="10"/>
  </r>
  <r>
    <x v="1341"/>
    <n v="1"/>
    <x v="35"/>
    <x v="0"/>
    <s v="imsPP2: DatentypSonderstudieStudy Assignment Zusammenstellung fehlender Codes"/>
    <m/>
    <s v="Borchard"/>
    <m/>
    <e v="#N/A"/>
    <e v="#N/A"/>
    <e v="#N/A"/>
    <e v="#N/A"/>
    <x v="10"/>
  </r>
  <r>
    <x v="1341"/>
    <n v="2"/>
    <x v="35"/>
    <x v="0"/>
    <s v="imsPP alt: AsciiExport Bugfix"/>
    <m/>
    <s v="Hornbruch"/>
    <m/>
    <e v="#N/A"/>
    <e v="#N/A"/>
    <e v="#N/A"/>
    <e v="#N/A"/>
    <x v="10"/>
  </r>
  <r>
    <x v="1342"/>
    <n v="2"/>
    <x v="35"/>
    <x v="0"/>
    <s v="imsPP2:OutputChecks Filter: automatisches Zusammenklappen"/>
    <m/>
    <s v="Despotovitch"/>
    <m/>
    <e v="#N/A"/>
    <e v="#N/A"/>
    <e v="#N/A"/>
    <e v="#N/A"/>
    <x v="10"/>
  </r>
  <r>
    <x v="1343"/>
    <n v="4"/>
    <x v="35"/>
    <x v="0"/>
    <s v="imsPP2: Stammdatenverwaltung"/>
    <m/>
    <s v="Witsch"/>
    <m/>
    <e v="#N/A"/>
    <e v="#N/A"/>
    <e v="#N/A"/>
    <e v="#N/A"/>
    <x v="10"/>
  </r>
  <r>
    <x v="1344"/>
    <n v="3"/>
    <x v="35"/>
    <x v="0"/>
    <s v="imsPP2: Stammdatenverwaltung"/>
    <m/>
    <s v="Witsch"/>
    <m/>
    <e v="#N/A"/>
    <e v="#N/A"/>
    <e v="#N/A"/>
    <e v="#N/A"/>
    <x v="10"/>
  </r>
  <r>
    <x v="1344"/>
    <n v="2"/>
    <x v="35"/>
    <x v="0"/>
    <s v="imsPP2: Freigabedialog"/>
    <m/>
    <s v="Witsch"/>
    <m/>
    <e v="#N/A"/>
    <e v="#N/A"/>
    <e v="#N/A"/>
    <e v="#N/A"/>
    <x v="10"/>
  </r>
  <r>
    <x v="1344"/>
    <n v="1"/>
    <x v="35"/>
    <x v="0"/>
    <s v="Lrx Reporting NA Spain: Fertigstellung + Bereitstellung neue Versionen"/>
    <m/>
    <s v="Hildebrand"/>
    <m/>
    <e v="#N/A"/>
    <e v="#N/A"/>
    <e v="#N/A"/>
    <e v="#N/A"/>
    <x v="10"/>
  </r>
  <r>
    <x v="1345"/>
    <n v="4"/>
    <x v="35"/>
    <x v="0"/>
    <s v="imsPP2: neues Admin Panel + Freigabedialog"/>
    <m/>
    <s v="Witsch"/>
    <m/>
    <e v="#N/A"/>
    <e v="#N/A"/>
    <e v="#N/A"/>
    <e v="#N/A"/>
    <x v="10"/>
  </r>
  <r>
    <x v="1346"/>
    <n v="4"/>
    <x v="35"/>
    <x v="0"/>
    <s v="imsPP2: Admin Panel Bugfixes"/>
    <m/>
    <s v="Witsch"/>
    <m/>
    <e v="#N/A"/>
    <e v="#N/A"/>
    <e v="#N/A"/>
    <e v="#N/A"/>
    <x v="10"/>
  </r>
  <r>
    <x v="1347"/>
    <n v="3"/>
    <x v="35"/>
    <x v="0"/>
    <s v="imsPP2: Admin Panel  Bugfixes + Update Meilenstein 6"/>
    <m/>
    <s v="Witsch"/>
    <m/>
    <e v="#N/A"/>
    <e v="#N/A"/>
    <e v="#N/A"/>
    <e v="#N/A"/>
    <x v="10"/>
  </r>
  <r>
    <x v="1348"/>
    <n v="4"/>
    <x v="35"/>
    <x v="0"/>
    <s v="Powercharts 2012: neuer Datenbankdialog"/>
    <m/>
    <s v="Voigt"/>
    <m/>
    <e v="#N/A"/>
    <e v="#N/A"/>
    <e v="#N/A"/>
    <e v="#N/A"/>
    <x v="10"/>
  </r>
  <r>
    <x v="1349"/>
    <n v="1.5"/>
    <x v="35"/>
    <x v="0"/>
    <s v="Powercharts 2012: Statusmeeting"/>
    <m/>
    <s v="Voigt"/>
    <m/>
    <e v="#N/A"/>
    <e v="#N/A"/>
    <e v="#N/A"/>
    <e v="#N/A"/>
    <x v="10"/>
  </r>
  <r>
    <x v="1349"/>
    <n v="3"/>
    <x v="35"/>
    <x v="0"/>
    <s v="imsPP2: Statusmeeting + Besprechungen"/>
    <m/>
    <s v="Witsch"/>
    <m/>
    <e v="#N/A"/>
    <e v="#N/A"/>
    <e v="#N/A"/>
    <e v="#N/A"/>
    <x v="10"/>
  </r>
  <r>
    <x v="1349"/>
    <n v="1"/>
    <x v="35"/>
    <x v="0"/>
    <s v="imsPP2: neue Anforderungen, Vorbereitung Statusmeeting"/>
    <m/>
    <s v="Witsch"/>
    <m/>
    <e v="#N/A"/>
    <e v="#N/A"/>
    <e v="#N/A"/>
    <e v="#N/A"/>
    <x v="10"/>
  </r>
  <r>
    <x v="1349"/>
    <n v="1"/>
    <x v="35"/>
    <x v="0"/>
    <s v="Powercharts 2012: Period + Geo Dim"/>
    <m/>
    <s v="Spiegel"/>
    <m/>
    <e v="#N/A"/>
    <e v="#N/A"/>
    <e v="#N/A"/>
    <e v="#N/A"/>
    <x v="10"/>
  </r>
  <r>
    <x v="1350"/>
    <n v="6"/>
    <x v="35"/>
    <x v="0"/>
    <s v="Powercharts 2012: Anpassungen 1025er Datenbank"/>
    <m/>
    <s v="Spiegel"/>
    <m/>
    <e v="#N/A"/>
    <e v="#N/A"/>
    <e v="#N/A"/>
    <e v="#N/A"/>
    <x v="10"/>
  </r>
  <r>
    <x v="1351"/>
    <n v="1"/>
    <x v="35"/>
    <x v="0"/>
    <s v="Lrx Reporting: Home Link Parameters"/>
    <m/>
    <s v="Hildebrand"/>
    <m/>
    <e v="#N/A"/>
    <e v="#N/A"/>
    <e v="#N/A"/>
    <e v="#N/A"/>
    <x v="10"/>
  </r>
  <r>
    <x v="1351"/>
    <n v="5"/>
    <x v="35"/>
    <x v="0"/>
    <s v="Powercharts 2012: Anpassungen 1025er Datenbank"/>
    <m/>
    <s v="Spiegel"/>
    <m/>
    <e v="#N/A"/>
    <e v="#N/A"/>
    <e v="#N/A"/>
    <e v="#N/A"/>
    <x v="10"/>
  </r>
  <r>
    <x v="1352"/>
    <n v="7"/>
    <x v="35"/>
    <x v="0"/>
    <s v="Powercharts 2012: Anpassungen 1025er Datenbank"/>
    <m/>
    <s v="Spiegel"/>
    <m/>
    <e v="#N/A"/>
    <e v="#N/A"/>
    <e v="#N/A"/>
    <e v="#N/A"/>
    <x v="10"/>
  </r>
  <r>
    <x v="1353"/>
    <n v="3"/>
    <x v="35"/>
    <x v="0"/>
    <s v="Powercharts 2012: Anpassungen 1025er Datenbank"/>
    <m/>
    <s v="Spiegel"/>
    <m/>
    <e v="#N/A"/>
    <e v="#N/A"/>
    <e v="#N/A"/>
    <e v="#N/A"/>
    <x v="10"/>
  </r>
  <r>
    <x v="1354"/>
    <n v="5"/>
    <x v="35"/>
    <x v="0"/>
    <s v="Powercharts 2012: Anpassungen 1025er Datenbank"/>
    <m/>
    <s v="Spiegel"/>
    <m/>
    <e v="#N/A"/>
    <e v="#N/A"/>
    <e v="#N/A"/>
    <e v="#N/A"/>
    <x v="10"/>
  </r>
  <r>
    <x v="1355"/>
    <n v="3"/>
    <x v="35"/>
    <x v="0"/>
    <s v="imsPP2: Produktfreigabe, ActualMonth Dialog"/>
    <m/>
    <s v="Witsch"/>
    <m/>
    <e v="#N/A"/>
    <e v="#N/A"/>
    <e v="#N/A"/>
    <e v="#N/A"/>
    <x v="10"/>
  </r>
  <r>
    <x v="1356"/>
    <n v="4"/>
    <x v="35"/>
    <x v="0"/>
    <s v="imsPP2: neues Installationpackage für PP2 Service"/>
    <m/>
    <s v="Witsch"/>
    <m/>
    <e v="#N/A"/>
    <e v="#N/A"/>
    <e v="#N/A"/>
    <e v="#N/A"/>
    <x v="10"/>
  </r>
  <r>
    <x v="1356"/>
    <n v="6"/>
    <x v="35"/>
    <x v="0"/>
    <s v="imsPP2: Produktfreigabe, ActualMonth Dialog"/>
    <m/>
    <s v="Witsch"/>
    <m/>
    <e v="#N/A"/>
    <e v="#N/A"/>
    <e v="#N/A"/>
    <e v="#N/A"/>
    <x v="10"/>
  </r>
  <r>
    <x v="1356"/>
    <n v="1"/>
    <x v="35"/>
    <x v="0"/>
    <s v="Lrx Reporting: Home Link Parameters"/>
    <m/>
    <s v="Hildebrand"/>
    <m/>
    <e v="#N/A"/>
    <e v="#N/A"/>
    <e v="#N/A"/>
    <e v="#N/A"/>
    <x v="10"/>
  </r>
  <r>
    <x v="1356"/>
    <n v="2"/>
    <x v="35"/>
    <x v="0"/>
    <s v="imsPP2: Anpassungen Namenskonventionen"/>
    <m/>
    <s v="Witsch"/>
    <m/>
    <e v="#N/A"/>
    <e v="#N/A"/>
    <e v="#N/A"/>
    <e v="#N/A"/>
    <x v="10"/>
  </r>
  <r>
    <x v="1357"/>
    <n v="7"/>
    <x v="35"/>
    <x v="0"/>
    <s v="imsPP2: Dialog Neuer Produktionsplan, Produktfreigabe, ActualMonth, "/>
    <m/>
    <s v="Witsch"/>
    <m/>
    <e v="#N/A"/>
    <e v="#N/A"/>
    <e v="#N/A"/>
    <e v="#N/A"/>
    <x v="10"/>
  </r>
  <r>
    <x v="1358"/>
    <n v="1.5"/>
    <x v="35"/>
    <x v="0"/>
    <s v="Lrx Reporting: Support Novartis, Mundipharma"/>
    <m/>
    <s v="Hildebrand"/>
    <m/>
    <e v="#N/A"/>
    <e v="#N/A"/>
    <e v="#N/A"/>
    <e v="#N/A"/>
    <x v="10"/>
  </r>
  <r>
    <x v="1358"/>
    <n v="1"/>
    <x v="35"/>
    <x v="0"/>
    <s v="Lrx Reporting:  Parameter Übergabe per URL"/>
    <m/>
    <s v="Hildebrand"/>
    <m/>
    <e v="#N/A"/>
    <e v="#N/A"/>
    <e v="#N/A"/>
    <e v="#N/A"/>
    <x v="10"/>
  </r>
  <r>
    <x v="1358"/>
    <n v="1.5"/>
    <x v="35"/>
    <x v="0"/>
    <s v="Powercharts 2012: Besprechung Livemeeting"/>
    <m/>
    <s v="Spiegel"/>
    <m/>
    <e v="#N/A"/>
    <e v="#N/A"/>
    <e v="#N/A"/>
    <e v="#N/A"/>
    <x v="10"/>
  </r>
  <r>
    <x v="1358"/>
    <n v="3"/>
    <x v="35"/>
    <x v="0"/>
    <s v="imsPP2: Dialog Neuer Produktionsplan"/>
    <m/>
    <s v="Witsch"/>
    <m/>
    <e v="#N/A"/>
    <e v="#N/A"/>
    <e v="#N/A"/>
    <e v="#N/A"/>
    <x v="10"/>
  </r>
  <r>
    <x v="1358"/>
    <n v="4"/>
    <x v="35"/>
    <x v="0"/>
    <s v="imsPP2: neues Installationpackage für PP2 Service"/>
    <m/>
    <s v="Witsch"/>
    <m/>
    <e v="#N/A"/>
    <e v="#N/A"/>
    <e v="#N/A"/>
    <e v="#N/A"/>
    <x v="10"/>
  </r>
  <r>
    <x v="1359"/>
    <n v="1.5"/>
    <x v="35"/>
    <x v="0"/>
    <s v="Lrx Reporting: Livemeeting SCM"/>
    <m/>
    <s v="Hildebrand"/>
    <m/>
    <e v="#N/A"/>
    <e v="#N/A"/>
    <e v="#N/A"/>
    <e v="#N/A"/>
    <x v="10"/>
  </r>
  <r>
    <x v="1359"/>
    <n v="2"/>
    <x v="35"/>
    <x v="0"/>
    <s v="Lrx Reporting: Parameter Übergabe URL neue Versionen NA + SN"/>
    <m/>
    <s v="Hildebrand"/>
    <m/>
    <e v="#N/A"/>
    <e v="#N/A"/>
    <e v="#N/A"/>
    <e v="#N/A"/>
    <x v="10"/>
  </r>
  <r>
    <x v="1359"/>
    <n v="5"/>
    <x v="35"/>
    <x v="0"/>
    <s v="imsPP2: Production Export, neuer Exportstatus"/>
    <m/>
    <s v="Witsch"/>
    <m/>
    <e v="#N/A"/>
    <e v="#N/A"/>
    <e v="#N/A"/>
    <e v="#N/A"/>
    <x v="10"/>
  </r>
  <r>
    <x v="1360"/>
    <n v="1"/>
    <x v="35"/>
    <x v="0"/>
    <s v="Lrx Reporting: Telco Lrx DM Status"/>
    <m/>
    <s v="Wang"/>
    <m/>
    <e v="#N/A"/>
    <e v="#N/A"/>
    <e v="#N/A"/>
    <e v="#N/A"/>
    <x v="10"/>
  </r>
  <r>
    <x v="1360"/>
    <n v="5"/>
    <x v="35"/>
    <x v="0"/>
    <s v="imsPP2: Production Export, Merge Production ReadyForProd triggert Kinder ReadyForProd +  neues Setup"/>
    <m/>
    <s v="Witsch"/>
    <m/>
    <e v="#N/A"/>
    <e v="#N/A"/>
    <e v="#N/A"/>
    <e v="#N/A"/>
    <x v="10"/>
  </r>
  <r>
    <x v="1360"/>
    <n v="2"/>
    <x v="35"/>
    <x v="0"/>
    <s v="Lrx Reporting: IMS Core NA + SN URL "/>
    <m/>
    <s v="Hildebrand"/>
    <m/>
    <e v="#N/A"/>
    <e v="#N/A"/>
    <e v="#N/A"/>
    <e v="#N/A"/>
    <x v="10"/>
  </r>
  <r>
    <x v="1361"/>
    <n v="1"/>
    <x v="35"/>
    <x v="0"/>
    <s v="Lrx Reporting: IMS Core NA + SN URL "/>
    <m/>
    <s v="Hildebrand"/>
    <m/>
    <e v="#N/A"/>
    <e v="#N/A"/>
    <e v="#N/A"/>
    <e v="#N/A"/>
    <x v="10"/>
  </r>
  <r>
    <x v="1361"/>
    <n v="5"/>
    <x v="35"/>
    <x v="0"/>
    <s v="Powercharts 2012: Anpassungen 1025er Datenbank"/>
    <m/>
    <s v="Spiegel"/>
    <m/>
    <e v="#N/A"/>
    <e v="#N/A"/>
    <e v="#N/A"/>
    <e v="#N/A"/>
    <x v="10"/>
  </r>
  <r>
    <x v="1362"/>
    <n v="1"/>
    <x v="35"/>
    <x v="0"/>
    <s v="Lrx Reporting: IMS Core NA + SN URL neue Version"/>
    <m/>
    <s v="Hildebrand"/>
    <m/>
    <e v="#N/A"/>
    <e v="#N/A"/>
    <e v="#N/A"/>
    <e v="#N/A"/>
    <x v="10"/>
  </r>
  <r>
    <x v="1362"/>
    <n v="2"/>
    <x v="35"/>
    <x v="0"/>
    <s v="Lrx Reporting: Mundi Core NA + SN URL neue Version"/>
    <m/>
    <s v="Hildebrand"/>
    <m/>
    <e v="#N/A"/>
    <e v="#N/A"/>
    <e v="#N/A"/>
    <e v="#N/A"/>
    <x v="10"/>
  </r>
  <r>
    <x v="1362"/>
    <n v="1"/>
    <x v="35"/>
    <x v="0"/>
    <s v="imsPP2: Adhoc Vorgehensweise Adhoc Produktionen, ProductionKeyInfos aus Productionplan"/>
    <m/>
    <s v="Despotovitch"/>
    <m/>
    <e v="#N/A"/>
    <e v="#N/A"/>
    <e v="#N/A"/>
    <e v="#N/A"/>
    <x v="10"/>
  </r>
  <r>
    <x v="1362"/>
    <n v="4"/>
    <x v="35"/>
    <x v="0"/>
    <s v="Powercharts 2012: Anpassungen 1025er Datenbank"/>
    <m/>
    <s v="Spiegel"/>
    <m/>
    <e v="#N/A"/>
    <e v="#N/A"/>
    <e v="#N/A"/>
    <e v="#N/A"/>
    <x v="10"/>
  </r>
  <r>
    <x v="1363"/>
    <n v="5"/>
    <x v="35"/>
    <x v="0"/>
    <s v="Powercharts 2012: Anpassungen 1025er Datenbank"/>
    <m/>
    <s v="Spiegel"/>
    <m/>
    <e v="#N/A"/>
    <e v="#N/A"/>
    <e v="#N/A"/>
    <e v="#N/A"/>
    <x v="10"/>
  </r>
  <r>
    <x v="1364"/>
    <n v="1"/>
    <x v="35"/>
    <x v="0"/>
    <s v="Lrx Reporting: Mundi + IMS Parameterboxen Fix"/>
    <m/>
    <s v="Hildebrand"/>
    <m/>
    <e v="#N/A"/>
    <e v="#N/A"/>
    <e v="#N/A"/>
    <e v="#N/A"/>
    <x v="10"/>
  </r>
  <r>
    <x v="1364"/>
    <n v="5"/>
    <x v="35"/>
    <x v="0"/>
    <s v="Powercharts 2012: Anpassungen 1025er Datenbank"/>
    <m/>
    <s v="Spiegel"/>
    <m/>
    <e v="#N/A"/>
    <e v="#N/A"/>
    <e v="#N/A"/>
    <e v="#N/A"/>
    <x v="10"/>
  </r>
  <r>
    <x v="1365"/>
    <n v="2"/>
    <x v="35"/>
    <x v="0"/>
    <s v="imsPP2 Service Anpassungen"/>
    <m/>
    <s v="Witsch"/>
    <m/>
    <e v="#N/A"/>
    <e v="#N/A"/>
    <e v="#N/A"/>
    <e v="#N/A"/>
    <x v="10"/>
  </r>
  <r>
    <x v="1366"/>
    <n v="1"/>
    <x v="35"/>
    <x v="0"/>
    <s v="Lrx Reporting: Bugfixing Abgleich neuer Stand und alte Versionen"/>
    <m/>
    <s v="Wang"/>
    <m/>
    <e v="#N/A"/>
    <e v="#N/A"/>
    <e v="#N/A"/>
    <e v="#N/A"/>
    <x v="10"/>
  </r>
  <r>
    <x v="1366"/>
    <n v="7"/>
    <x v="35"/>
    <x v="0"/>
    <s v="imsPP2 Unterstützung AdhocProduktionen"/>
    <m/>
    <s v="Witsch"/>
    <m/>
    <e v="#N/A"/>
    <e v="#N/A"/>
    <e v="#N/A"/>
    <e v="#N/A"/>
    <x v="10"/>
  </r>
  <r>
    <x v="1367"/>
    <n v="8"/>
    <x v="35"/>
    <x v="0"/>
    <s v="imsPP2 Neuer Dialog Outputcheckzuordnung für Adhoc Produktionen"/>
    <m/>
    <s v="Witsch"/>
    <m/>
    <e v="#N/A"/>
    <e v="#N/A"/>
    <e v="#N/A"/>
    <e v="#N/A"/>
    <x v="10"/>
  </r>
  <r>
    <x v="1367"/>
    <n v="4"/>
    <x v="35"/>
    <x v="0"/>
    <s v="imsPP2 Systemtest neuer Service"/>
    <m/>
    <s v="Witsch"/>
    <m/>
    <e v="#N/A"/>
    <e v="#N/A"/>
    <e v="#N/A"/>
    <e v="#N/A"/>
    <x v="10"/>
  </r>
  <r>
    <x v="1368"/>
    <n v="4"/>
    <x v="35"/>
    <x v="0"/>
    <s v="imsPP2 Systemtest neuer Service"/>
    <m/>
    <s v="Witsch"/>
    <m/>
    <e v="#N/A"/>
    <e v="#N/A"/>
    <e v="#N/A"/>
    <e v="#N/A"/>
    <x v="10"/>
  </r>
  <r>
    <x v="1368"/>
    <n v="1"/>
    <x v="35"/>
    <x v="0"/>
    <s v="Lrx Reporting: Abgleich Mundi + IMS"/>
    <m/>
    <s v="Hildebrand"/>
    <m/>
    <e v="#N/A"/>
    <e v="#N/A"/>
    <e v="#N/A"/>
    <e v="#N/A"/>
    <x v="10"/>
  </r>
  <r>
    <x v="1368"/>
    <n v="2"/>
    <x v="35"/>
    <x v="0"/>
    <s v="Powercharts 2012: Sortierung YTD Perioden"/>
    <m/>
    <s v="Spiegel"/>
    <m/>
    <e v="#N/A"/>
    <e v="#N/A"/>
    <e v="#N/A"/>
    <e v="#N/A"/>
    <x v="10"/>
  </r>
  <r>
    <x v="1368"/>
    <n v="5"/>
    <x v="35"/>
    <x v="0"/>
    <s v="imsPP2: Zurodnung Adhoc Prod. + Config Dialog"/>
    <m/>
    <s v="Witsch"/>
    <m/>
    <e v="#N/A"/>
    <e v="#N/A"/>
    <e v="#N/A"/>
    <e v="#N/A"/>
    <x v="10"/>
  </r>
  <r>
    <x v="1368"/>
    <n v="1"/>
    <x v="35"/>
    <x v="0"/>
    <s v="imsPP2: neue AppBar"/>
    <m/>
    <s v="Witsch"/>
    <m/>
    <e v="#N/A"/>
    <e v="#N/A"/>
    <e v="#N/A"/>
    <e v="#N/A"/>
    <x v="10"/>
  </r>
  <r>
    <x v="1369"/>
    <n v="6"/>
    <x v="35"/>
    <x v="0"/>
    <s v="imsPP2: Adhoc Produktionen +  Zurodnung"/>
    <m/>
    <s v="Witsch"/>
    <m/>
    <e v="#N/A"/>
    <e v="#N/A"/>
    <e v="#N/A"/>
    <e v="#N/A"/>
    <x v="10"/>
  </r>
  <r>
    <x v="1370"/>
    <n v="6"/>
    <x v="35"/>
    <x v="0"/>
    <s v="imsPP2: Anpassung Filter Production Month OutputCheckView + Für AsciiExport markieren"/>
    <m/>
    <s v="Witsch"/>
    <m/>
    <e v="#N/A"/>
    <e v="#N/A"/>
    <e v="#N/A"/>
    <e v="#N/A"/>
    <x v="10"/>
  </r>
  <r>
    <x v="1371"/>
    <n v="5"/>
    <x v="35"/>
    <x v="0"/>
    <s v="imsPP2: Dialog AsciiExport markieren"/>
    <m/>
    <s v="Witsch"/>
    <m/>
    <e v="#N/A"/>
    <e v="#N/A"/>
    <e v="#N/A"/>
    <e v="#N/A"/>
    <x v="10"/>
  </r>
  <r>
    <x v="1372"/>
    <n v="5"/>
    <x v="35"/>
    <x v="0"/>
    <s v="imsPP2: Changes Flag für Adhoc Produktionen unsichtbar + Dialog AsciiExport markieren"/>
    <m/>
    <s v="Witsch"/>
    <m/>
    <e v="#N/A"/>
    <e v="#N/A"/>
    <e v="#N/A"/>
    <e v="#N/A"/>
    <x v="10"/>
  </r>
  <r>
    <x v="1372"/>
    <n v="1"/>
    <x v="35"/>
    <x v="0"/>
    <s v="imsPP2: Statusmeeting"/>
    <m/>
    <s v="Witsch"/>
    <m/>
    <e v="#N/A"/>
    <e v="#N/A"/>
    <e v="#N/A"/>
    <e v="#N/A"/>
    <x v="10"/>
  </r>
  <r>
    <x v="1373"/>
    <n v="4"/>
    <x v="35"/>
    <x v="0"/>
    <s v="imsPP2: Reporting Infrastruktur"/>
    <m/>
    <s v="Witsch"/>
    <m/>
    <e v="#N/A"/>
    <e v="#N/A"/>
    <e v="#N/A"/>
    <e v="#N/A"/>
    <x v="10"/>
  </r>
  <r>
    <x v="1374"/>
    <n v="6"/>
    <x v="35"/>
    <x v="0"/>
    <s v="imsPP2: Reporting Infrastruktur"/>
    <m/>
    <s v="Witsch"/>
    <m/>
    <e v="#N/A"/>
    <e v="#N/A"/>
    <e v="#N/A"/>
    <e v="#N/A"/>
    <x v="10"/>
  </r>
  <r>
    <x v="1375"/>
    <n v="4"/>
    <x v="35"/>
    <x v="0"/>
    <s v="Powercharts 2012: YTD +/- zum Vorjahr Korrekturen"/>
    <m/>
    <s v="Spiegel"/>
    <m/>
    <e v="#N/A"/>
    <e v="#N/A"/>
    <e v="#N/A"/>
    <e v="#N/A"/>
    <x v="10"/>
  </r>
  <r>
    <x v="1375"/>
    <n v="2"/>
    <x v="35"/>
    <x v="0"/>
    <s v="imsPP2: pp2Service Bugfixing"/>
    <m/>
    <s v="Hornbruch"/>
    <m/>
    <e v="#N/A"/>
    <e v="#N/A"/>
    <e v="#N/A"/>
    <e v="#N/A"/>
    <x v="10"/>
  </r>
  <r>
    <x v="1375"/>
    <n v="0.5"/>
    <x v="35"/>
    <x v="0"/>
    <s v="Tel: Besprechung"/>
    <m/>
    <s v="Pechstein"/>
    <m/>
    <e v="#N/A"/>
    <e v="#N/A"/>
    <e v="#N/A"/>
    <e v="#N/A"/>
    <x v="10"/>
  </r>
  <r>
    <x v="1376"/>
    <n v="2"/>
    <x v="35"/>
    <x v="0"/>
    <s v="imsPP: Support ffmssql104 Troubleshooting"/>
    <m/>
    <s v="Neumer"/>
    <m/>
    <e v="#N/A"/>
    <e v="#N/A"/>
    <e v="#N/A"/>
    <e v="#N/A"/>
    <x v="10"/>
  </r>
  <r>
    <x v="1376"/>
    <n v="0.5"/>
    <x v="35"/>
    <x v="0"/>
    <s v="imsPP: Exasol Masterfiles"/>
    <m/>
    <s v="Mohr"/>
    <m/>
    <e v="#N/A"/>
    <e v="#N/A"/>
    <e v="#N/A"/>
    <e v="#N/A"/>
    <x v="10"/>
  </r>
  <r>
    <x v="1376"/>
    <n v="3"/>
    <x v="35"/>
    <x v="0"/>
    <s v="imsPP2: Bugfixing pp2 Service"/>
    <m/>
    <s v="Hornbruch"/>
    <m/>
    <e v="#N/A"/>
    <e v="#N/A"/>
    <e v="#N/A"/>
    <e v="#N/A"/>
    <x v="10"/>
  </r>
  <r>
    <x v="1376"/>
    <n v="1"/>
    <x v="35"/>
    <x v="0"/>
    <s v="Powercharts 2012: Besprechung Livemeeting"/>
    <m/>
    <s v="Spiegel"/>
    <m/>
    <e v="#N/A"/>
    <e v="#N/A"/>
    <e v="#N/A"/>
    <e v="#N/A"/>
    <x v="10"/>
  </r>
  <r>
    <x v="1377"/>
    <n v="5"/>
    <x v="35"/>
    <x v="0"/>
    <s v="imsPP2: FilterStatus ProductionPlan"/>
    <m/>
    <s v="Witsch"/>
    <m/>
    <e v="#N/A"/>
    <e v="#N/A"/>
    <e v="#N/A"/>
    <e v="#N/A"/>
    <x v="10"/>
  </r>
  <r>
    <x v="1378"/>
    <n v="0.5"/>
    <x v="35"/>
    <x v="0"/>
    <s v="Lrx Reporting: Einchecken R1.00 NA + SN"/>
    <m/>
    <s v="Hildebrand"/>
    <m/>
    <e v="#N/A"/>
    <e v="#N/A"/>
    <e v="#N/A"/>
    <e v="#N/A"/>
    <x v="10"/>
  </r>
  <r>
    <x v="1378"/>
    <n v="4.5"/>
    <x v="35"/>
    <x v="0"/>
    <s v="imsPP2: FilterStatus Outputchecks"/>
    <m/>
    <s v="Witsch"/>
    <m/>
    <e v="#N/A"/>
    <e v="#N/A"/>
    <e v="#N/A"/>
    <e v="#N/A"/>
    <x v="10"/>
  </r>
  <r>
    <x v="1378"/>
    <n v="1"/>
    <x v="35"/>
    <x v="0"/>
    <s v="imsPP2: Installaton neue Version"/>
    <m/>
    <s v="Witsch"/>
    <m/>
    <e v="#N/A"/>
    <e v="#N/A"/>
    <e v="#N/A"/>
    <e v="#N/A"/>
    <x v="10"/>
  </r>
  <r>
    <x v="1379"/>
    <n v="1"/>
    <x v="35"/>
    <x v="0"/>
    <s v="Kartendaten Reporting Services Projektionen Recherche"/>
    <m/>
    <s v="Nadler"/>
    <m/>
    <e v="#N/A"/>
    <e v="#N/A"/>
    <e v="#N/A"/>
    <e v="#N/A"/>
    <x v="10"/>
  </r>
  <r>
    <x v="1379"/>
    <n v="1"/>
    <x v="35"/>
    <x v="0"/>
    <s v="imsPP2: Support"/>
    <m/>
    <s v="Hornbruch"/>
    <m/>
    <e v="#N/A"/>
    <e v="#N/A"/>
    <e v="#N/A"/>
    <e v="#N/A"/>
    <x v="10"/>
  </r>
  <r>
    <x v="1379"/>
    <n v="2"/>
    <x v="35"/>
    <x v="0"/>
    <s v="imsPP2: Export Änderungen + Installation Update"/>
    <m/>
    <s v="Despotovitch"/>
    <m/>
    <e v="#N/A"/>
    <e v="#N/A"/>
    <e v="#N/A"/>
    <e v="#N/A"/>
    <x v="10"/>
  </r>
  <r>
    <x v="1379"/>
    <n v="4"/>
    <x v="35"/>
    <x v="0"/>
    <s v="Powercharts 2012: Korrekturen wg. Notwendiger Marktbasis + Keyfact Charts"/>
    <m/>
    <s v="Spiegel"/>
    <m/>
    <e v="#N/A"/>
    <e v="#N/A"/>
    <e v="#N/A"/>
    <e v="#N/A"/>
    <x v="10"/>
  </r>
  <r>
    <x v="1380"/>
    <n v="7"/>
    <x v="35"/>
    <x v="0"/>
    <s v="Powercharts 2012: Erweiterung Attributfilter, Erweiterung Distribution Keyfact Chart"/>
    <m/>
    <s v="Spiegel"/>
    <m/>
    <e v="#N/A"/>
    <e v="#N/A"/>
    <e v="#N/A"/>
    <e v="#N/A"/>
    <x v="10"/>
  </r>
  <r>
    <x v="1381"/>
    <n v="1"/>
    <x v="35"/>
    <x v="0"/>
    <s v="Lrx Reporting: Einchecken Unterstützung Mario"/>
    <m/>
    <s v="Hildebrand"/>
    <m/>
    <e v="#N/A"/>
    <e v="#N/A"/>
    <e v="#N/A"/>
    <e v="#N/A"/>
    <x v="10"/>
  </r>
  <r>
    <x v="1381"/>
    <n v="1.5"/>
    <x v="35"/>
    <x v="0"/>
    <s v="Kostenkalkulator: Requirements Verfeinerung"/>
    <m/>
    <s v="Pechstein"/>
    <m/>
    <e v="#N/A"/>
    <e v="#N/A"/>
    <e v="#N/A"/>
    <e v="#N/A"/>
    <x v="10"/>
  </r>
  <r>
    <x v="1381"/>
    <n v="4"/>
    <x v="35"/>
    <x v="0"/>
    <s v="imsPP2: Prodesis Export FTPService"/>
    <m/>
    <s v="Witsch"/>
    <m/>
    <e v="#N/A"/>
    <e v="#N/A"/>
    <e v="#N/A"/>
    <e v="#N/A"/>
    <x v="10"/>
  </r>
  <r>
    <x v="1382"/>
    <n v="5"/>
    <x v="35"/>
    <x v="0"/>
    <s v="imsPP2: Prodesis Export FTPService"/>
    <m/>
    <s v="Witsch"/>
    <m/>
    <e v="#N/A"/>
    <e v="#N/A"/>
    <e v="#N/A"/>
    <e v="#N/A"/>
    <x v="10"/>
  </r>
  <r>
    <x v="1383"/>
    <n v="1"/>
    <x v="35"/>
    <x v="0"/>
    <s v="Kostenkalkulator: Meeting"/>
    <m/>
    <s v="Pechstein"/>
    <m/>
    <e v="#N/A"/>
    <e v="#N/A"/>
    <e v="#N/A"/>
    <e v="#N/A"/>
    <x v="10"/>
  </r>
  <r>
    <x v="1383"/>
    <n v="1"/>
    <x v="35"/>
    <x v="0"/>
    <s v="Powercharts 2012: Meeting"/>
    <m/>
    <s v="Spiegel"/>
    <m/>
    <e v="#N/A"/>
    <e v="#N/A"/>
    <e v="#N/A"/>
    <e v="#N/A"/>
    <x v="10"/>
  </r>
  <r>
    <x v="1383"/>
    <n v="1"/>
    <x v="35"/>
    <x v="0"/>
    <s v="Powercharts 2012: Durchschnittsverkaufspreis, PackSize Bug"/>
    <m/>
    <s v="Spiegel"/>
    <m/>
    <e v="#N/A"/>
    <e v="#N/A"/>
    <e v="#N/A"/>
    <e v="#N/A"/>
    <x v="10"/>
  </r>
  <r>
    <x v="1383"/>
    <n v="2.5"/>
    <x v="35"/>
    <x v="0"/>
    <s v="imsPP2: Meeting"/>
    <m/>
    <s v="Borchard"/>
    <m/>
    <e v="#N/A"/>
    <e v="#N/A"/>
    <e v="#N/A"/>
    <e v="#N/A"/>
    <x v="10"/>
  </r>
  <r>
    <x v="1384"/>
    <n v="1"/>
    <x v="35"/>
    <x v="0"/>
    <s v="imsPP2: Prodesis DropZone Besprechung und erste Tests"/>
    <m/>
    <s v="Scheppler"/>
    <m/>
    <e v="#N/A"/>
    <e v="#N/A"/>
    <e v="#N/A"/>
    <e v="#N/A"/>
    <x v="10"/>
  </r>
  <r>
    <x v="1385"/>
    <n v="6"/>
    <x v="35"/>
    <x v="0"/>
    <s v="imsPP2: ProdesisExport (Parallelisierung)"/>
    <m/>
    <s v="Witsch"/>
    <m/>
    <e v="#N/A"/>
    <e v="#N/A"/>
    <e v="#N/A"/>
    <e v="#N/A"/>
    <x v="10"/>
  </r>
  <r>
    <x v="1386"/>
    <n v="7"/>
    <x v="35"/>
    <x v="0"/>
    <s v="imsPP2: ProdesisExport (Parallelisierung)"/>
    <m/>
    <s v="Witsch"/>
    <m/>
    <e v="#N/A"/>
    <e v="#N/A"/>
    <e v="#N/A"/>
    <e v="#N/A"/>
    <x v="10"/>
  </r>
  <r>
    <x v="1387"/>
    <n v="2"/>
    <x v="35"/>
    <x v="0"/>
    <s v="imsPP2: FTP DropZone Connection Einrichtung"/>
    <m/>
    <s v="Witsch"/>
    <m/>
    <e v="#N/A"/>
    <e v="#N/A"/>
    <e v="#N/A"/>
    <e v="#N/A"/>
    <x v="11"/>
  </r>
  <r>
    <x v="1388"/>
    <n v="2"/>
    <x v="35"/>
    <x v="0"/>
    <s v="imsPP2: FTP DropZone Troubleshooting Entwicklungsumgebung"/>
    <m/>
    <s v="Witsch"/>
    <m/>
    <e v="#N/A"/>
    <e v="#N/A"/>
    <e v="#N/A"/>
    <e v="#N/A"/>
    <x v="11"/>
  </r>
  <r>
    <x v="1388"/>
    <n v="2"/>
    <x v="35"/>
    <x v="0"/>
    <s v="imsPP2: Test ProdesisExport (Parallelisierung)"/>
    <m/>
    <s v="Witsch"/>
    <m/>
    <e v="#N/A"/>
    <e v="#N/A"/>
    <e v="#N/A"/>
    <e v="#N/A"/>
    <x v="11"/>
  </r>
  <r>
    <x v="1388"/>
    <n v="2"/>
    <x v="35"/>
    <x v="0"/>
    <s v="Datenmodellierung NPA Kalkulator"/>
    <m/>
    <s v="Pechstein"/>
    <m/>
    <e v="#N/A"/>
    <e v="#N/A"/>
    <e v="#N/A"/>
    <e v="#N/A"/>
    <x v="11"/>
  </r>
  <r>
    <x v="1389"/>
    <n v="2"/>
    <x v="35"/>
    <x v="0"/>
    <s v="imsPP2: Test FtpService mit lokalem FTP Server"/>
    <m/>
    <s v="Witsch"/>
    <m/>
    <e v="#N/A"/>
    <e v="#N/A"/>
    <e v="#N/A"/>
    <e v="#N/A"/>
    <x v="11"/>
  </r>
  <r>
    <x v="1389"/>
    <n v="2"/>
    <x v="35"/>
    <x v="0"/>
    <s v="Erstellung Datenbank NPA Kalkulator"/>
    <m/>
    <s v="Pechstein"/>
    <m/>
    <e v="#N/A"/>
    <e v="#N/A"/>
    <e v="#N/A"/>
    <e v="#N/A"/>
    <x v="11"/>
  </r>
  <r>
    <x v="1389"/>
    <n v="3"/>
    <x v="35"/>
    <x v="0"/>
    <s v="imsPP2: Kopplung Ascii Export mit ProdesisTask"/>
    <m/>
    <s v="Witsch"/>
    <m/>
    <e v="#N/A"/>
    <e v="#N/A"/>
    <e v="#N/A"/>
    <e v="#N/A"/>
    <x v="11"/>
  </r>
  <r>
    <x v="1389"/>
    <n v="2"/>
    <x v="35"/>
    <x v="0"/>
    <s v="imsPP2: Reporting MonthlyProdInfo"/>
    <m/>
    <s v="Witsch"/>
    <m/>
    <e v="#N/A"/>
    <e v="#N/A"/>
    <e v="#N/A"/>
    <e v="#N/A"/>
    <x v="11"/>
  </r>
  <r>
    <x v="1390"/>
    <n v="6"/>
    <x v="35"/>
    <x v="0"/>
    <s v="imsPP2: Reporting Accounting"/>
    <m/>
    <s v="Witsch"/>
    <m/>
    <e v="#N/A"/>
    <e v="#N/A"/>
    <e v="#N/A"/>
    <e v="#N/A"/>
    <x v="11"/>
  </r>
  <r>
    <x v="1391"/>
    <n v="6"/>
    <x v="35"/>
    <x v="0"/>
    <s v="imsPP2: Reporting MonthlyProdInfo"/>
    <m/>
    <s v="Witsch"/>
    <m/>
    <e v="#N/A"/>
    <e v="#N/A"/>
    <e v="#N/A"/>
    <e v="#N/A"/>
    <x v="11"/>
  </r>
  <r>
    <x v="1391"/>
    <n v="1"/>
    <x v="35"/>
    <x v="0"/>
    <s v="Lrx Reporting: Help Page"/>
    <m/>
    <s v="Riebel"/>
    <m/>
    <e v="#N/A"/>
    <e v="#N/A"/>
    <e v="#N/A"/>
    <e v="#N/A"/>
    <x v="11"/>
  </r>
  <r>
    <x v="1392"/>
    <n v="3"/>
    <x v="35"/>
    <x v="0"/>
    <s v="imsPP2: Tests Ascii Export, Prodesis Export"/>
    <m/>
    <s v="Witsch"/>
    <m/>
    <e v="#N/A"/>
    <e v="#N/A"/>
    <e v="#N/A"/>
    <e v="#N/A"/>
    <x v="11"/>
  </r>
  <r>
    <x v="1392"/>
    <n v="6"/>
    <x v="35"/>
    <x v="0"/>
    <s v="imsPP2: Reporting  MonthlyRerpot + Accounting Report Test und Bugfixing"/>
    <m/>
    <s v="Witsch"/>
    <m/>
    <e v="#N/A"/>
    <e v="#N/A"/>
    <e v="#N/A"/>
    <e v="#N/A"/>
    <x v="11"/>
  </r>
  <r>
    <x v="1393"/>
    <n v="1"/>
    <x v="35"/>
    <x v="0"/>
    <s v="Lrx Reporting: Neue Version für Spanien"/>
    <m/>
    <s v="Hildebrand"/>
    <m/>
    <e v="#N/A"/>
    <e v="#N/A"/>
    <e v="#N/A"/>
    <e v="#N/A"/>
    <x v="11"/>
  </r>
  <r>
    <x v="1393"/>
    <n v="6"/>
    <x v="35"/>
    <x v="0"/>
    <s v="Powercharts 2012: Beschleunigung Oberflächen"/>
    <m/>
    <s v="Spiegel"/>
    <m/>
    <e v="#N/A"/>
    <e v="#N/A"/>
    <e v="#N/A"/>
    <e v="#N/A"/>
    <x v="11"/>
  </r>
  <r>
    <x v="1394"/>
    <n v="0.5"/>
    <x v="35"/>
    <x v="0"/>
    <s v="Lrx Reporting: Telefonmeeting BPNA"/>
    <m/>
    <s v="Hildebrand"/>
    <m/>
    <e v="#N/A"/>
    <e v="#N/A"/>
    <e v="#N/A"/>
    <e v="#N/A"/>
    <x v="11"/>
  </r>
  <r>
    <x v="1394"/>
    <n v="1"/>
    <x v="35"/>
    <x v="0"/>
    <s v="Powercharts 2012: Telefonmeeting"/>
    <m/>
    <s v="Spiegel"/>
    <m/>
    <e v="#N/A"/>
    <e v="#N/A"/>
    <e v="#N/A"/>
    <e v="#N/A"/>
    <x v="11"/>
  </r>
  <r>
    <x v="1394"/>
    <n v="4"/>
    <x v="35"/>
    <x v="0"/>
    <s v="Kostenkalkulator: NPA Datenbankschnittstelle"/>
    <m/>
    <s v="Pechstein"/>
    <m/>
    <e v="#N/A"/>
    <e v="#N/A"/>
    <e v="#N/A"/>
    <e v="#N/A"/>
    <x v="11"/>
  </r>
  <r>
    <x v="1394"/>
    <n v="2"/>
    <x v="35"/>
    <x v="0"/>
    <s v="imsPP2: Test, Bugfixing FTP Transfer"/>
    <m/>
    <s v="Witsch"/>
    <m/>
    <e v="#N/A"/>
    <e v="#N/A"/>
    <e v="#N/A"/>
    <e v="#N/A"/>
    <x v="11"/>
  </r>
  <r>
    <x v="1394"/>
    <n v="1.5"/>
    <x v="35"/>
    <x v="0"/>
    <s v="Lrx Reporting: Support BPNA Installation"/>
    <m/>
    <s v="Hildebrand"/>
    <m/>
    <e v="#N/A"/>
    <e v="#N/A"/>
    <e v="#N/A"/>
    <e v="#N/A"/>
    <x v="11"/>
  </r>
  <r>
    <x v="1395"/>
    <n v="2"/>
    <x v="35"/>
    <x v="0"/>
    <s v="imsPP2: Installation neue Version, neues Setup"/>
    <m/>
    <s v="Witsch"/>
    <m/>
    <e v="#N/A"/>
    <e v="#N/A"/>
    <e v="#N/A"/>
    <e v="#N/A"/>
    <x v="11"/>
  </r>
  <r>
    <x v="1396"/>
    <n v="3"/>
    <x v="35"/>
    <x v="0"/>
    <s v="Lrx Reporting NA: Englische Hilfeseite"/>
    <m/>
    <s v="Riebel"/>
    <m/>
    <e v="#N/A"/>
    <e v="#N/A"/>
    <e v="#N/A"/>
    <e v="#N/A"/>
    <x v="11"/>
  </r>
  <r>
    <x v="1396"/>
    <n v="2"/>
    <x v="35"/>
    <x v="0"/>
    <s v="Kostenkalkulator: Datenbankschnittstelle"/>
    <m/>
    <s v="Pechstein"/>
    <m/>
    <e v="#N/A"/>
    <e v="#N/A"/>
    <e v="#N/A"/>
    <e v="#N/A"/>
    <x v="11"/>
  </r>
  <r>
    <x v="1397"/>
    <n v="4"/>
    <x v="35"/>
    <x v="0"/>
    <s v="Lrx Reporting NA: Englische Hilfeseite"/>
    <m/>
    <s v="Riebel"/>
    <m/>
    <e v="#N/A"/>
    <e v="#N/A"/>
    <e v="#N/A"/>
    <e v="#N/A"/>
    <x v="11"/>
  </r>
  <r>
    <x v="1398"/>
    <n v="3"/>
    <x v="35"/>
    <x v="0"/>
    <s v="Lrx Reporting NA: Brandname Fokus + Number Formats"/>
    <m/>
    <s v="Riebel"/>
    <m/>
    <e v="#N/A"/>
    <e v="#N/A"/>
    <e v="#N/A"/>
    <e v="#N/A"/>
    <x v="11"/>
  </r>
  <r>
    <x v="1397"/>
    <n v="1"/>
    <x v="35"/>
    <x v="0"/>
    <s v="imsPP2: FTP Transfer Korrektur + Update"/>
    <m/>
    <s v="Witsch"/>
    <m/>
    <e v="#N/A"/>
    <e v="#N/A"/>
    <e v="#N/A"/>
    <e v="#N/A"/>
    <x v="11"/>
  </r>
  <r>
    <x v="1397"/>
    <n v="7"/>
    <x v="35"/>
    <x v="0"/>
    <s v="Powercharts 2012: Beschleunigung Oberflächen"/>
    <m/>
    <s v="Spiegel"/>
    <m/>
    <e v="#N/A"/>
    <e v="#N/A"/>
    <e v="#N/A"/>
    <e v="#N/A"/>
    <x v="11"/>
  </r>
  <r>
    <x v="1398"/>
    <n v="2"/>
    <x v="35"/>
    <x v="0"/>
    <s v="imsPP2: Test1-6 Support"/>
    <m/>
    <s v="Hornbruch"/>
    <m/>
    <e v="#N/A"/>
    <e v="#N/A"/>
    <e v="#N/A"/>
    <e v="#N/A"/>
    <x v="11"/>
  </r>
  <r>
    <x v="1398"/>
    <n v="6"/>
    <x v="35"/>
    <x v="0"/>
    <s v="Powercharts 2012: Beschleunigung Oberflächen"/>
    <m/>
    <s v="Spiegel"/>
    <m/>
    <e v="#N/A"/>
    <e v="#N/A"/>
    <e v="#N/A"/>
    <e v="#N/A"/>
    <x v="11"/>
  </r>
  <r>
    <x v="1399"/>
    <n v="4"/>
    <x v="35"/>
    <x v="0"/>
    <s v="Lrx Reporting: Neue Version für Spanien"/>
    <m/>
    <s v="Utsch"/>
    <m/>
    <e v="#N/A"/>
    <e v="#N/A"/>
    <e v="#N/A"/>
    <e v="#N/A"/>
    <x v="11"/>
  </r>
  <r>
    <x v="1399"/>
    <n v="2"/>
    <x v="35"/>
    <x v="0"/>
    <s v="Lrx Reporting: Installation, Supportanfrage Hosting Team"/>
    <m/>
    <s v="Hildebrand"/>
    <m/>
    <e v="#N/A"/>
    <e v="#N/A"/>
    <e v="#N/A"/>
    <e v="#N/A"/>
    <x v="11"/>
  </r>
  <r>
    <x v="1399"/>
    <n v="5"/>
    <x v="35"/>
    <x v="0"/>
    <s v="imsPP2: ProdesisExport Anpassungen Linien in getrennten Foldern"/>
    <m/>
    <s v="Witsch"/>
    <m/>
    <e v="#N/A"/>
    <e v="#N/A"/>
    <e v="#N/A"/>
    <e v="#N/A"/>
    <x v="11"/>
  </r>
  <r>
    <x v="1399"/>
    <n v="2"/>
    <x v="35"/>
    <x v="0"/>
    <s v="imsPP2: Reporting  Prodesis Export Test"/>
    <m/>
    <s v="Hornbruch"/>
    <m/>
    <e v="#N/A"/>
    <e v="#N/A"/>
    <e v="#N/A"/>
    <e v="#N/A"/>
    <x v="11"/>
  </r>
  <r>
    <x v="1400"/>
    <n v="2"/>
    <x v="35"/>
    <x v="0"/>
    <s v="Lrx Reporting: Installation, Help Links fixed + Reinstallation"/>
    <m/>
    <s v="Hildebrand"/>
    <m/>
    <e v="#N/A"/>
    <e v="#N/A"/>
    <e v="#N/A"/>
    <e v="#N/A"/>
    <x v="11"/>
  </r>
  <r>
    <x v="1400"/>
    <n v="1"/>
    <x v="35"/>
    <x v="0"/>
    <s v="Powercharts 2012: Neue Installation mit beschleunigten Oberflächen"/>
    <m/>
    <s v="Spiegel"/>
    <m/>
    <e v="#N/A"/>
    <e v="#N/A"/>
    <e v="#N/A"/>
    <e v="#N/A"/>
    <x v="11"/>
  </r>
  <r>
    <x v="1400"/>
    <n v="2"/>
    <x v="35"/>
    <x v="0"/>
    <s v="Lrx Reporting: Installation Spanien + Bugfixing"/>
    <m/>
    <s v="Utsch"/>
    <m/>
    <e v="#N/A"/>
    <e v="#N/A"/>
    <e v="#N/A"/>
    <e v="#N/A"/>
    <x v="11"/>
  </r>
  <r>
    <x v="1400"/>
    <n v="2"/>
    <x v="35"/>
    <x v="0"/>
    <s v="Powercharts 2012: Neue Marktdialog für Marktentwicklung SM/VO"/>
    <m/>
    <s v="Spiegel"/>
    <m/>
    <e v="#N/A"/>
    <e v="#N/A"/>
    <e v="#N/A"/>
    <e v="#N/A"/>
    <x v="11"/>
  </r>
  <r>
    <x v="1400"/>
    <n v="1"/>
    <x v="35"/>
    <x v="0"/>
    <s v="imsPP2: Telefonmeeting Non Standard Produktionen"/>
    <m/>
    <s v="Witsch"/>
    <m/>
    <e v="#N/A"/>
    <e v="#N/A"/>
    <e v="#N/A"/>
    <e v="#N/A"/>
    <x v="11"/>
  </r>
  <r>
    <x v="1401"/>
    <n v="1"/>
    <x v="35"/>
    <x v="0"/>
    <s v="Powercharts 2012: Besprechung neue Funktionen"/>
    <m/>
    <s v="Voigt"/>
    <m/>
    <e v="#N/A"/>
    <e v="#N/A"/>
    <e v="#N/A"/>
    <e v="#N/A"/>
    <x v="11"/>
  </r>
  <r>
    <x v="1401"/>
    <n v="1"/>
    <x v="35"/>
    <x v="0"/>
    <s v="LRxTD_Core_BPNA_R01.01_Source, neues Package"/>
    <m/>
    <s v="Hildebrand"/>
    <m/>
    <e v="#N/A"/>
    <e v="#N/A"/>
    <e v="#N/A"/>
    <e v="#N/A"/>
    <x v="11"/>
  </r>
  <r>
    <x v="1401"/>
    <n v="1"/>
    <x v="35"/>
    <x v="0"/>
    <s v="imsPP2: Installation neue Version + Bugfixes Service"/>
    <m/>
    <s v="Witsch"/>
    <m/>
    <e v="#N/A"/>
    <e v="#N/A"/>
    <e v="#N/A"/>
    <e v="#N/A"/>
    <x v="11"/>
  </r>
  <r>
    <x v="1401"/>
    <n v="4"/>
    <x v="35"/>
    <x v="0"/>
    <s v="Kostenkalkulator: Oberfläche NPA Kalkulator"/>
    <m/>
    <s v="Pechstein"/>
    <m/>
    <e v="#N/A"/>
    <e v="#N/A"/>
    <e v="#N/A"/>
    <e v="#N/A"/>
    <x v="11"/>
  </r>
  <r>
    <x v="1402"/>
    <n v="1.5"/>
    <x v="35"/>
    <x v="0"/>
    <s v="imsPP2: AdminPanel, ProductionDetailView Anpassungen Prodesisname + NonStandard"/>
    <m/>
    <s v="Witsch"/>
    <m/>
    <e v="#N/A"/>
    <e v="#N/A"/>
    <e v="#N/A"/>
    <e v="#N/A"/>
    <x v="11"/>
  </r>
  <r>
    <x v="1403"/>
    <n v="3"/>
    <x v="35"/>
    <x v="0"/>
    <s v="Kostenkalkulator: Oberfläche NPA Kalkulator"/>
    <m/>
    <s v="Pechstein"/>
    <m/>
    <e v="#N/A"/>
    <e v="#N/A"/>
    <e v="#N/A"/>
    <e v="#N/A"/>
    <x v="11"/>
  </r>
  <r>
    <x v="1403"/>
    <n v="1"/>
    <x v="35"/>
    <x v="0"/>
    <s v="Powercharts 2012: Support Installation"/>
    <m/>
    <s v="Spiegel"/>
    <m/>
    <e v="#N/A"/>
    <e v="#N/A"/>
    <e v="#N/A"/>
    <e v="#N/A"/>
    <x v="11"/>
  </r>
  <r>
    <x v="1403"/>
    <n v="1"/>
    <x v="35"/>
    <x v="0"/>
    <s v="Lrx Reporting DM: Installation neue Version"/>
    <m/>
    <s v="Wang"/>
    <m/>
    <e v="#N/A"/>
    <e v="#N/A"/>
    <e v="#N/A"/>
    <e v="#N/A"/>
    <x v="11"/>
  </r>
  <r>
    <x v="1403"/>
    <n v="1"/>
    <x v="35"/>
    <x v="0"/>
    <s v="Lrx Reporting DM: Besprechung"/>
    <m/>
    <s v="Wang"/>
    <m/>
    <e v="#N/A"/>
    <e v="#N/A"/>
    <e v="#N/A"/>
    <e v="#N/A"/>
    <x v="11"/>
  </r>
  <r>
    <x v="1404"/>
    <n v="5"/>
    <x v="35"/>
    <x v="0"/>
    <s v="Bettenupdate 2013"/>
    <m/>
    <s v="Runkel"/>
    <m/>
    <e v="#N/A"/>
    <e v="#N/A"/>
    <e v="#N/A"/>
    <e v="#N/A"/>
    <x v="11"/>
  </r>
  <r>
    <x v="1404"/>
    <n v="1"/>
    <x v="35"/>
    <x v="0"/>
    <s v="Kostenkalkulator: Rechungsreport angelegt"/>
    <m/>
    <s v="Pechstein"/>
    <m/>
    <e v="#N/A"/>
    <e v="#N/A"/>
    <e v="#N/A"/>
    <e v="#N/A"/>
    <x v="11"/>
  </r>
  <r>
    <x v="1404"/>
    <n v="2"/>
    <x v="35"/>
    <x v="0"/>
    <s v="Lrx Reporting DM: Neue Anforderungen"/>
    <m/>
    <s v="Wang"/>
    <m/>
    <e v="#N/A"/>
    <e v="#N/A"/>
    <e v="#N/A"/>
    <e v="#N/A"/>
    <x v="11"/>
  </r>
  <r>
    <x v="1404"/>
    <n v="5"/>
    <x v="35"/>
    <x v="0"/>
    <s v="imsPP2: Ascii Export Non Standard Produktionen + Test"/>
    <m/>
    <s v="Witsch"/>
    <m/>
    <e v="#N/A"/>
    <e v="#N/A"/>
    <e v="#N/A"/>
    <e v="#N/A"/>
    <x v="11"/>
  </r>
  <r>
    <x v="1405"/>
    <n v="5"/>
    <x v="35"/>
    <x v="0"/>
    <s v="Bettenupdate 2013"/>
    <m/>
    <s v="Runkel"/>
    <m/>
    <e v="#N/A"/>
    <e v="#N/A"/>
    <e v="#N/A"/>
    <e v="#N/A"/>
    <x v="11"/>
  </r>
  <r>
    <x v="1405"/>
    <n v="1"/>
    <x v="35"/>
    <x v="0"/>
    <s v="BPNA fehlender BrandName Parameter, neue Verison für Kunde IMS"/>
    <m/>
    <s v="Hildebrand"/>
    <m/>
    <e v="#N/A"/>
    <e v="#N/A"/>
    <e v="#N/A"/>
    <e v="#N/A"/>
    <x v="11"/>
  </r>
  <r>
    <x v="1405"/>
    <n v="4"/>
    <x v="35"/>
    <x v="0"/>
    <s v="Lrx Reporting DM: Neue Anforderungen, Evaluierung, erste Tests"/>
    <m/>
    <s v="Wang"/>
    <m/>
    <e v="#N/A"/>
    <e v="#N/A"/>
    <e v="#N/A"/>
    <e v="#N/A"/>
    <x v="11"/>
  </r>
  <r>
    <x v="1405"/>
    <n v="1"/>
    <x v="35"/>
    <x v="0"/>
    <s v="Kostenkalkulator: Berechungsmodell"/>
    <m/>
    <s v="Pechstein"/>
    <m/>
    <e v="#N/A"/>
    <e v="#N/A"/>
    <e v="#N/A"/>
    <e v="#N/A"/>
    <x v="11"/>
  </r>
  <r>
    <x v="1406"/>
    <n v="2"/>
    <x v="35"/>
    <x v="0"/>
    <s v="Kostenkalkulator: Abrechnungsformular"/>
    <m/>
    <s v="Pechstein"/>
    <m/>
    <e v="#N/A"/>
    <e v="#N/A"/>
    <e v="#N/A"/>
    <e v="#N/A"/>
    <x v="11"/>
  </r>
  <r>
    <x v="1406"/>
    <n v="1"/>
    <x v="35"/>
    <x v="0"/>
    <s v="imsPP2: Installation neue Version, NonStandard Produktionen"/>
    <m/>
    <s v="Witsch"/>
    <m/>
    <e v="#N/A"/>
    <e v="#N/A"/>
    <e v="#N/A"/>
    <e v="#N/A"/>
    <x v="11"/>
  </r>
  <r>
    <x v="1406"/>
    <n v="4"/>
    <x v="35"/>
    <x v="0"/>
    <s v="Lrx Reporting DM: WinLost Prototype"/>
    <m/>
    <s v="Wang"/>
    <m/>
    <e v="#N/A"/>
    <e v="#N/A"/>
    <e v="#N/A"/>
    <e v="#N/A"/>
    <x v="11"/>
  </r>
  <r>
    <x v="1406"/>
    <n v="1"/>
    <x v="35"/>
    <x v="0"/>
    <s v="Powercharts 2012: Installations Support"/>
    <m/>
    <s v="Spiegel"/>
    <m/>
    <e v="#N/A"/>
    <e v="#N/A"/>
    <e v="#N/A"/>
    <e v="#N/A"/>
    <x v="11"/>
  </r>
  <r>
    <x v="1406"/>
    <n v="1"/>
    <x v="35"/>
    <x v="0"/>
    <s v="Kostenkalkulator: Berechnungsmodell NPA"/>
    <m/>
    <s v="Pechstein"/>
    <m/>
    <e v="#N/A"/>
    <e v="#N/A"/>
    <e v="#N/A"/>
    <e v="#N/A"/>
    <x v="11"/>
  </r>
  <r>
    <x v="1407"/>
    <n v="2"/>
    <x v="35"/>
    <x v="0"/>
    <s v="Kostenkalkulator: Abrechnungsformular"/>
    <m/>
    <s v="Pechstein"/>
    <m/>
    <e v="#N/A"/>
    <e v="#N/A"/>
    <e v="#N/A"/>
    <e v="#N/A"/>
    <x v="11"/>
  </r>
  <r>
    <x v="1407"/>
    <n v="1"/>
    <x v="35"/>
    <x v="0"/>
    <s v="imsPP2: Telefonmeeting  PP2 Erweiterungen"/>
    <m/>
    <s v="Despotovitch"/>
    <m/>
    <e v="#N/A"/>
    <e v="#N/A"/>
    <e v="#N/A"/>
    <e v="#N/A"/>
    <x v="11"/>
  </r>
  <r>
    <x v="1407"/>
    <n v="3"/>
    <x v="35"/>
    <x v="0"/>
    <s v="Lrx Reporting DM: WinLost Prototype"/>
    <m/>
    <s v="Wang"/>
    <m/>
    <e v="#N/A"/>
    <e v="#N/A"/>
    <e v="#N/A"/>
    <e v="#N/A"/>
    <x v="11"/>
  </r>
  <r>
    <x v="1407"/>
    <n v="2"/>
    <x v="35"/>
    <x v="0"/>
    <s v="Kostenkalkulator: Berechnungsmodell NPA"/>
    <m/>
    <s v="Pechstein"/>
    <m/>
    <e v="#N/A"/>
    <e v="#N/A"/>
    <e v="#N/A"/>
    <e v="#N/A"/>
    <x v="11"/>
  </r>
  <r>
    <x v="1408"/>
    <n v="4"/>
    <x v="35"/>
    <x v="0"/>
    <s v="Kostenkalkulator: Oberfläche Anpassungen"/>
    <m/>
    <s v="Pechstein"/>
    <m/>
    <e v="#N/A"/>
    <e v="#N/A"/>
    <e v="#N/A"/>
    <e v="#N/A"/>
    <x v="11"/>
  </r>
  <r>
    <x v="1408"/>
    <n v="4"/>
    <x v="35"/>
    <x v="0"/>
    <s v="Lrx Reporting DM: WinLoss"/>
    <m/>
    <s v="Wang"/>
    <m/>
    <e v="#N/A"/>
    <e v="#N/A"/>
    <e v="#N/A"/>
    <e v="#N/A"/>
    <x v="11"/>
  </r>
  <r>
    <x v="1408"/>
    <n v="1.5"/>
    <x v="35"/>
    <x v="0"/>
    <s v="Kostenkalkulator: Berechnungsmodell NPA"/>
    <m/>
    <s v="Pechstein"/>
    <m/>
    <e v="#N/A"/>
    <e v="#N/A"/>
    <e v="#N/A"/>
    <e v="#N/A"/>
    <x v="11"/>
  </r>
  <r>
    <x v="1409"/>
    <n v="2"/>
    <x v="35"/>
    <x v="0"/>
    <s v="Lrx Reporting DM: WinLoss"/>
    <m/>
    <s v="Wang"/>
    <m/>
    <e v="#N/A"/>
    <e v="#N/A"/>
    <e v="#N/A"/>
    <e v="#N/A"/>
    <x v="11"/>
  </r>
  <r>
    <x v="1409"/>
    <n v="4"/>
    <x v="35"/>
    <x v="0"/>
    <s v="Lrx Reporting DM: WinLoss + Win, Loss, Netto Selectors + PopWindow finished"/>
    <m/>
    <s v="Wang"/>
    <m/>
    <e v="#N/A"/>
    <e v="#N/A"/>
    <e v="#N/A"/>
    <e v="#N/A"/>
    <x v="11"/>
  </r>
  <r>
    <x v="1409"/>
    <n v="1"/>
    <x v="35"/>
    <x v="0"/>
    <s v="Kostenkalkulator: Anpassung Berechnungsmodell"/>
    <m/>
    <s v="Pechstein"/>
    <m/>
    <e v="#N/A"/>
    <e v="#N/A"/>
    <e v="#N/A"/>
    <e v="#N/A"/>
    <x v="11"/>
  </r>
  <r>
    <x v="1410"/>
    <n v="1"/>
    <x v="35"/>
    <x v="0"/>
    <s v="BPNA fehlender BrandName Parameter, neue Verison für Kunde IMS"/>
    <m/>
    <s v="Hildebrand"/>
    <m/>
    <e v="#N/A"/>
    <e v="#N/A"/>
    <e v="#N/A"/>
    <e v="#N/A"/>
    <x v="11"/>
  </r>
  <r>
    <x v="1410"/>
    <n v="6"/>
    <x v="35"/>
    <x v="0"/>
    <s v="Powercharts 2012: Market Slicer auf allen Folien"/>
    <m/>
    <s v="Spiegel"/>
    <m/>
    <e v="#N/A"/>
    <e v="#N/A"/>
    <e v="#N/A"/>
    <e v="#N/A"/>
    <x v="11"/>
  </r>
  <r>
    <x v="1410"/>
    <n v="6"/>
    <x v="35"/>
    <x v="0"/>
    <s v="Lrx Reporting DM: Neue Anforderungen"/>
    <m/>
    <s v="Wang"/>
    <m/>
    <e v="#N/A"/>
    <e v="#N/A"/>
    <e v="#N/A"/>
    <e v="#N/A"/>
    <x v="11"/>
  </r>
  <r>
    <x v="1411"/>
    <n v="6"/>
    <x v="35"/>
    <x v="0"/>
    <s v="Lrx Reporting DM: Neue Anforderungen"/>
    <m/>
    <s v="Wang"/>
    <m/>
    <e v="#N/A"/>
    <e v="#N/A"/>
    <e v="#N/A"/>
    <e v="#N/A"/>
    <x v="11"/>
  </r>
  <r>
    <x v="1411"/>
    <n v="2"/>
    <x v="35"/>
    <x v="0"/>
    <s v="Powercharts 2012: Market Slicer auf allen Folien"/>
    <m/>
    <s v="Spiegel"/>
    <m/>
    <e v="#N/A"/>
    <e v="#N/A"/>
    <e v="#N/A"/>
    <e v="#N/A"/>
    <x v="11"/>
  </r>
  <r>
    <x v="1411"/>
    <n v="2"/>
    <x v="35"/>
    <x v="0"/>
    <s v="imsPP2: Fix: Prodesisname speichert nicht + neue Installation"/>
    <m/>
    <s v="Hornbruch"/>
    <m/>
    <e v="#N/A"/>
    <e v="#N/A"/>
    <e v="#N/A"/>
    <e v="#N/A"/>
    <x v="11"/>
  </r>
  <r>
    <x v="1411"/>
    <n v="1"/>
    <x v="35"/>
    <x v="0"/>
    <s v="Kostenkalkulator: PDF Ausdruck"/>
    <m/>
    <s v="Pechstein"/>
    <m/>
    <e v="#N/A"/>
    <e v="#N/A"/>
    <e v="#N/A"/>
    <e v="#N/A"/>
    <x v="11"/>
  </r>
  <r>
    <x v="1412"/>
    <n v="1"/>
    <x v="35"/>
    <x v="0"/>
    <s v="imsPP2: Vorlage Excel File Datenpflege Produktionen"/>
    <m/>
    <s v="Despotovitch"/>
    <m/>
    <e v="#N/A"/>
    <e v="#N/A"/>
    <e v="#N/A"/>
    <e v="#N/A"/>
    <x v="11"/>
  </r>
  <r>
    <x v="1412"/>
    <n v="6"/>
    <x v="35"/>
    <x v="0"/>
    <s v="Lrx Reporting DM: Neue Anforderungen"/>
    <m/>
    <s v="Wang"/>
    <m/>
    <e v="#N/A"/>
    <e v="#N/A"/>
    <e v="#N/A"/>
    <e v="#N/A"/>
    <x v="11"/>
  </r>
  <r>
    <x v="1412"/>
    <n v="1"/>
    <x v="35"/>
    <x v="0"/>
    <s v="Kostenkalkulator: Oberflächenverfeinerung"/>
    <m/>
    <s v="Pechstein"/>
    <m/>
    <e v="#N/A"/>
    <e v="#N/A"/>
    <e v="#N/A"/>
    <e v="#N/A"/>
    <x v="11"/>
  </r>
  <r>
    <x v="1413"/>
    <n v="1"/>
    <x v="35"/>
    <x v="0"/>
    <s v="Lrx Reporting DM: Neue Version installiert"/>
    <m/>
    <s v="Wang"/>
    <m/>
    <e v="#N/A"/>
    <e v="#N/A"/>
    <e v="#N/A"/>
    <e v="#N/A"/>
    <x v="11"/>
  </r>
  <r>
    <x v="1414"/>
    <n v="2"/>
    <x v="35"/>
    <x v="0"/>
    <s v="Kostenkalkulator: Oberflächenverfeinerung + Neue Installation"/>
    <m/>
    <s v="Pechstein"/>
    <m/>
    <e v="#N/A"/>
    <e v="#N/A"/>
    <e v="#N/A"/>
    <e v="#N/A"/>
    <x v="11"/>
  </r>
  <r>
    <x v="1415"/>
    <n v="5"/>
    <x v="35"/>
    <x v="0"/>
    <s v="Powercharts 2012: Veränderungsraten"/>
    <m/>
    <s v="Spiegel"/>
    <m/>
    <e v="#N/A"/>
    <e v="#N/A"/>
    <e v="#N/A"/>
    <e v="#N/A"/>
    <x v="11"/>
  </r>
  <r>
    <x v="1415"/>
    <n v="1"/>
    <x v="35"/>
    <x v="0"/>
    <s v="imsPP2: Exportspalte bearbeitbar"/>
    <m/>
    <s v="Despotovitch"/>
    <m/>
    <e v="#N/A"/>
    <e v="#N/A"/>
    <e v="#N/A"/>
    <e v="#N/A"/>
    <x v="11"/>
  </r>
  <r>
    <x v="1415"/>
    <n v="1"/>
    <x v="35"/>
    <x v="0"/>
    <s v="imsPP2: Production ABNEOSU Prodesis Support"/>
    <m/>
    <s v="Hornbruch"/>
    <m/>
    <e v="#N/A"/>
    <e v="#N/A"/>
    <e v="#N/A"/>
    <e v="#N/A"/>
    <x v="11"/>
  </r>
  <r>
    <x v="1416"/>
    <n v="6"/>
    <x v="35"/>
    <x v="0"/>
    <s v="Powercharts 2012: Veränderungsraten"/>
    <m/>
    <s v="Spiegel"/>
    <m/>
    <e v="#N/A"/>
    <e v="#N/A"/>
    <e v="#N/A"/>
    <e v="#N/A"/>
    <x v="11"/>
  </r>
  <r>
    <x v="1417"/>
    <n v="6"/>
    <x v="35"/>
    <x v="0"/>
    <s v="Powercharts 2012: Veränderungsraten"/>
    <m/>
    <s v="Spiegel"/>
    <m/>
    <e v="#N/A"/>
    <e v="#N/A"/>
    <e v="#N/A"/>
    <e v="#N/A"/>
    <x v="11"/>
  </r>
  <r>
    <x v="1418"/>
    <n v="4"/>
    <x v="35"/>
    <x v="0"/>
    <s v="imsPP2: Kunde Berater Abhängigkeit"/>
    <m/>
    <s v="Despotovitch"/>
    <m/>
    <e v="#N/A"/>
    <e v="#N/A"/>
    <e v="#N/A"/>
    <e v="#N/A"/>
    <x v="11"/>
  </r>
  <r>
    <x v="1418"/>
    <n v="4"/>
    <x v="35"/>
    <x v="0"/>
    <s v="Powercharts 2012: Veränderungsraten"/>
    <m/>
    <s v="Spiegel"/>
    <m/>
    <e v="#N/A"/>
    <e v="#N/A"/>
    <e v="#N/A"/>
    <e v="#N/A"/>
    <x v="11"/>
  </r>
  <r>
    <x v="1419"/>
    <n v="2"/>
    <x v="35"/>
    <x v="0"/>
    <s v="imsPP2: Kunde Berater Abhängigkeit"/>
    <m/>
    <s v="Despotovitch"/>
    <m/>
    <e v="#N/A"/>
    <e v="#N/A"/>
    <e v="#N/A"/>
    <e v="#N/A"/>
    <x v="11"/>
  </r>
  <r>
    <x v="1419"/>
    <n v="1"/>
    <x v="35"/>
    <x v="0"/>
    <s v="imsPP2: Administration View: neue Kunden Berater Beziehung"/>
    <m/>
    <s v="Despotovitch"/>
    <m/>
    <e v="#N/A"/>
    <e v="#N/A"/>
    <e v="#N/A"/>
    <e v="#N/A"/>
    <x v="11"/>
  </r>
  <r>
    <x v="1419"/>
    <n v="0.5"/>
    <x v="35"/>
    <x v="0"/>
    <s v="Powercharts 2012: Meeting Test"/>
    <m/>
    <s v="Voigt"/>
    <m/>
    <e v="#N/A"/>
    <e v="#N/A"/>
    <e v="#N/A"/>
    <e v="#N/A"/>
    <x v="11"/>
  </r>
  <r>
    <x v="1419"/>
    <n v="4"/>
    <x v="35"/>
    <x v="0"/>
    <s v="Powercharts 2012: Veränderungsraten"/>
    <m/>
    <s v="Spiegel"/>
    <m/>
    <e v="#N/A"/>
    <e v="#N/A"/>
    <e v="#N/A"/>
    <e v="#N/A"/>
    <x v="11"/>
  </r>
  <r>
    <x v="1420"/>
    <n v="8"/>
    <x v="35"/>
    <x v="0"/>
    <s v="Powercharts 2012: Veränderungsraten"/>
    <m/>
    <s v="Spiegel"/>
    <m/>
    <e v="#N/A"/>
    <e v="#N/A"/>
    <e v="#N/A"/>
    <e v="#N/A"/>
    <x v="11"/>
  </r>
  <r>
    <x v="1421"/>
    <n v="2"/>
    <x v="35"/>
    <x v="0"/>
    <s v="Powercharts 2012: Tests + Installationsfile"/>
    <m/>
    <s v="Spiegel"/>
    <m/>
    <e v="#N/A"/>
    <e v="#N/A"/>
    <e v="#N/A"/>
    <e v="#N/A"/>
    <x v="11"/>
  </r>
  <r>
    <x v="1421"/>
    <n v="3"/>
    <x v="35"/>
    <x v="0"/>
    <s v="Sapping 12 stellige IFA Nummer, Bugfix + neues Setup"/>
    <m/>
    <s v="Borchard"/>
    <m/>
    <e v="#N/A"/>
    <e v="#N/A"/>
    <e v="#N/A"/>
    <e v="#N/A"/>
    <x v="11"/>
  </r>
  <r>
    <x v="1421"/>
    <n v="2"/>
    <x v="35"/>
    <x v="0"/>
    <s v="Powercharts 2012: Korrektur Marktanteilsveränderungsrate"/>
    <m/>
    <s v="Spiegel"/>
    <m/>
    <e v="#N/A"/>
    <e v="#N/A"/>
    <e v="#N/A"/>
    <e v="#N/A"/>
    <x v="11"/>
  </r>
  <r>
    <x v="1422"/>
    <n v="4"/>
    <x v="35"/>
    <x v="0"/>
    <s v="Kostenkalkulator: Einbindung PDF NPA Abrechnung"/>
    <m/>
    <s v="Pechstein"/>
    <m/>
    <e v="#N/A"/>
    <e v="#N/A"/>
    <e v="#N/A"/>
    <e v="#N/A"/>
    <x v="11"/>
  </r>
  <r>
    <x v="1422"/>
    <n v="1"/>
    <x v="35"/>
    <x v="0"/>
    <s v="imsPP2: Zuordnungsdialog"/>
    <m/>
    <s v="Voigt"/>
    <m/>
    <e v="#N/A"/>
    <e v="#N/A"/>
    <e v="#N/A"/>
    <e v="#N/A"/>
    <x v="11"/>
  </r>
  <r>
    <x v="1422"/>
    <n v="2"/>
    <x v="35"/>
    <x v="0"/>
    <s v="Kostenkalkulator: Einbindung PDF NPA Abrechnung"/>
    <m/>
    <s v="Pechstein"/>
    <m/>
    <e v="#N/A"/>
    <e v="#N/A"/>
    <e v="#N/A"/>
    <e v="#N/A"/>
    <x v="11"/>
  </r>
  <r>
    <x v="1422"/>
    <n v="2"/>
    <x v="35"/>
    <x v="0"/>
    <s v="imsPP2: neue Suchfunktion für Berater, Kunde, Prodesis + Line"/>
    <m/>
    <s v="Despotovitch"/>
    <m/>
    <e v="#N/A"/>
    <e v="#N/A"/>
    <e v="#N/A"/>
    <e v="#N/A"/>
    <x v="11"/>
  </r>
  <r>
    <x v="1423"/>
    <n v="1"/>
    <x v="35"/>
    <x v="0"/>
    <s v="Sapping 12 stellige IFA Nummer, su Bugfix + neues Setup"/>
    <m/>
    <s v="Borchard"/>
    <m/>
    <e v="#N/A"/>
    <e v="#N/A"/>
    <e v="#N/A"/>
    <e v="#N/A"/>
    <x v="11"/>
  </r>
  <r>
    <x v="1423"/>
    <n v="1"/>
    <x v="35"/>
    <x v="0"/>
    <s v="Kostenkalkulator: Einbindung Support SL Konfigurator zur Benutzer Installation "/>
    <m/>
    <s v="Pechstein"/>
    <m/>
    <e v="#N/A"/>
    <e v="#N/A"/>
    <e v="#N/A"/>
    <e v="#N/A"/>
    <x v="11"/>
  </r>
  <r>
    <x v="1423"/>
    <n v="3"/>
    <x v="35"/>
    <x v="0"/>
    <s v="Kostenkalkulator: Einbindung PDF NPA Abrechnung"/>
    <m/>
    <s v="Pechstein"/>
    <m/>
    <e v="#N/A"/>
    <e v="#N/A"/>
    <e v="#N/A"/>
    <e v="#N/A"/>
    <x v="11"/>
  </r>
  <r>
    <x v="1423"/>
    <n v="2"/>
    <x v="35"/>
    <x v="0"/>
    <s v="imsPP2: Dummy Kunde + Berater + ReportId eindeutig"/>
    <m/>
    <s v="Despotovitch"/>
    <m/>
    <e v="#N/A"/>
    <e v="#N/A"/>
    <e v="#N/A"/>
    <e v="#N/A"/>
    <x v="11"/>
  </r>
  <r>
    <x v="1424"/>
    <n v="1"/>
    <x v="35"/>
    <x v="0"/>
    <s v="Kostenkalkulator: SL Prekonfigurator "/>
    <m/>
    <s v="Pechstein"/>
    <m/>
    <e v="#N/A"/>
    <e v="#N/A"/>
    <e v="#N/A"/>
    <e v="#N/A"/>
    <x v="11"/>
  </r>
  <r>
    <x v="1424"/>
    <n v="4"/>
    <x v="35"/>
    <x v="0"/>
    <s v="imsPP2: neue Gültigkeitsregeln für ProdKey und ReportId fertiggestellt"/>
    <m/>
    <s v="Despotovitch"/>
    <m/>
    <e v="#N/A"/>
    <e v="#N/A"/>
    <e v="#N/A"/>
    <e v="#N/A"/>
    <x v="11"/>
  </r>
  <r>
    <x v="1425"/>
    <n v="7"/>
    <x v="35"/>
    <x v="0"/>
    <s v="imsPP2: Status Beschriftung + Bugfixing"/>
    <m/>
    <s v="Despotovitch"/>
    <m/>
    <e v="#N/A"/>
    <e v="#N/A"/>
    <e v="#N/A"/>
    <e v="#N/A"/>
    <x v="11"/>
  </r>
  <r>
    <x v="1426"/>
    <n v="3"/>
    <x v="35"/>
    <x v="0"/>
    <s v="imsPP2: ProdesisExport Bugfixing + neues Setup"/>
    <m/>
    <s v="Hornbruch"/>
    <m/>
    <e v="#N/A"/>
    <e v="#N/A"/>
    <e v="#N/A"/>
    <e v="#N/A"/>
    <x v="11"/>
  </r>
  <r>
    <x v="1426"/>
    <n v="1"/>
    <x v="35"/>
    <x v="0"/>
    <s v="Sapping SOR All Fachrichtung Analyse"/>
    <m/>
    <s v="Borchard"/>
    <m/>
    <e v="#N/A"/>
    <e v="#N/A"/>
    <e v="#N/A"/>
    <e v="#N/A"/>
    <x v="11"/>
  </r>
  <r>
    <x v="1426"/>
    <n v="4"/>
    <x v="35"/>
    <x v="0"/>
    <s v="Kostenkalkulator: NPA Kostenkalkulator Funktion automatischer Datenbankname"/>
    <m/>
    <s v="Pechstein"/>
    <m/>
    <e v="#N/A"/>
    <e v="#N/A"/>
    <e v="#N/A"/>
    <e v="#N/A"/>
    <x v="11"/>
  </r>
  <r>
    <x v="1427"/>
    <n v="4"/>
    <x v="35"/>
    <x v="0"/>
    <s v="Kostenkalkulator: DPM PSN Kalkulator Überarbeitung Konzept"/>
    <m/>
    <s v="Pechstein"/>
    <m/>
    <e v="#N/A"/>
    <e v="#N/A"/>
    <e v="#N/A"/>
    <e v="#N/A"/>
    <x v="11"/>
  </r>
  <r>
    <x v="1428"/>
    <n v="1.5"/>
    <x v="35"/>
    <x v="0"/>
    <s v="imsPP2: Besprechung 2000er Cubes Replacement, Powerpivot"/>
    <m/>
    <s v="Borchard"/>
    <m/>
    <e v="#N/A"/>
    <e v="#N/A"/>
    <e v="#N/A"/>
    <e v="#N/A"/>
    <x v="11"/>
  </r>
  <r>
    <x v="1428"/>
    <n v="2"/>
    <x v="35"/>
    <x v="0"/>
    <s v="imsPP2: Besprechung 2000er Cubes Replacement, Powerpivot"/>
    <m/>
    <s v="Despotovitch"/>
    <m/>
    <e v="#N/A"/>
    <e v="#N/A"/>
    <e v="#N/A"/>
    <e v="#N/A"/>
    <x v="11"/>
  </r>
  <r>
    <x v="1428"/>
    <n v="1"/>
    <x v="35"/>
    <x v="0"/>
    <s v="Kostenkalkulator: DPM PSN Meeting"/>
    <m/>
    <s v="Pechstein"/>
    <m/>
    <e v="#N/A"/>
    <e v="#N/A"/>
    <e v="#N/A"/>
    <e v="#N/A"/>
    <x v="11"/>
  </r>
  <r>
    <x v="1428"/>
    <n v="1.5"/>
    <x v="35"/>
    <x v="0"/>
    <s v="Sapping SOR All Fachrichtung Analyse"/>
    <m/>
    <s v="Borchard"/>
    <m/>
    <e v="#N/A"/>
    <e v="#N/A"/>
    <e v="#N/A"/>
    <e v="#N/A"/>
    <x v="11"/>
  </r>
  <r>
    <x v="1429"/>
    <n v="2"/>
    <x v="35"/>
    <x v="0"/>
    <s v="Sapping Wochendaten"/>
    <m/>
    <s v="Borchard"/>
    <m/>
    <e v="#N/A"/>
    <e v="#N/A"/>
    <e v="#N/A"/>
    <e v="#N/A"/>
    <x v="11"/>
  </r>
  <r>
    <x v="1429"/>
    <n v="2"/>
    <x v="35"/>
    <x v="0"/>
    <s v="Kostenkalkulator: NPA Rechnungsformular angepasst"/>
    <m/>
    <s v="Pechstein"/>
    <m/>
    <e v="#N/A"/>
    <e v="#N/A"/>
    <e v="#N/A"/>
    <e v="#N/A"/>
    <x v="11"/>
  </r>
  <r>
    <x v="1429"/>
    <n v="1"/>
    <x v="35"/>
    <x v="0"/>
    <s v="Kostenkalkulator: NPA Manuelle Felder"/>
    <m/>
    <s v="Pechstein"/>
    <m/>
    <e v="#N/A"/>
    <e v="#N/A"/>
    <e v="#N/A"/>
    <e v="#N/A"/>
    <x v="11"/>
  </r>
  <r>
    <x v="1429"/>
    <n v="2"/>
    <x v="35"/>
    <x v="0"/>
    <s v="Sapping SOR All Fachrichtung"/>
    <m/>
    <s v="Borchard"/>
    <m/>
    <e v="#N/A"/>
    <e v="#N/A"/>
    <e v="#N/A"/>
    <e v="#N/A"/>
    <x v="11"/>
  </r>
  <r>
    <x v="1429"/>
    <n v="4"/>
    <x v="35"/>
    <x v="0"/>
    <s v="imsPP2: neue Produkterkennung für Adhoc Produktionen"/>
    <m/>
    <s v="Despotovitch"/>
    <m/>
    <e v="#N/A"/>
    <e v="#N/A"/>
    <e v="#N/A"/>
    <e v="#N/A"/>
    <x v="11"/>
  </r>
  <r>
    <x v="1430"/>
    <n v="4"/>
    <x v="35"/>
    <x v="0"/>
    <s v="imsPP2: Stammdatenpflege Integration in ProductionDetails"/>
    <m/>
    <s v="Despotovitch"/>
    <m/>
    <e v="#N/A"/>
    <e v="#N/A"/>
    <e v="#N/A"/>
    <e v="#N/A"/>
    <x v="11"/>
  </r>
  <r>
    <x v="1430"/>
    <n v="2"/>
    <x v="35"/>
    <x v="0"/>
    <s v="imsPP2: ExportBug"/>
    <m/>
    <s v="Despotovitch"/>
    <m/>
    <e v="#N/A"/>
    <e v="#N/A"/>
    <e v="#N/A"/>
    <e v="#N/A"/>
    <x v="11"/>
  </r>
  <r>
    <x v="1430"/>
    <n v="2"/>
    <x v="35"/>
    <x v="0"/>
    <s v="imsPP2: Update Production Bug"/>
    <m/>
    <s v="Despotovitch"/>
    <m/>
    <e v="#N/A"/>
    <e v="#N/A"/>
    <e v="#N/A"/>
    <e v="#N/A"/>
    <x v="11"/>
  </r>
  <r>
    <x v="1430"/>
    <n v="3"/>
    <x v="35"/>
    <x v="0"/>
    <s v="imsPP2: AsciiExport Sonder Ordner"/>
    <m/>
    <s v="Despotovitch"/>
    <m/>
    <e v="#N/A"/>
    <e v="#N/A"/>
    <e v="#N/A"/>
    <e v="#N/A"/>
    <x v="11"/>
  </r>
  <r>
    <x v="1431"/>
    <n v="1.5"/>
    <x v="35"/>
    <x v="0"/>
    <s v="Kostenkalkulator: Installation neue Version, Überprüfung Report Server"/>
    <m/>
    <s v="Pechstein"/>
    <m/>
    <e v="#N/A"/>
    <e v="#N/A"/>
    <e v="#N/A"/>
    <e v="#N/A"/>
    <x v="11"/>
  </r>
  <r>
    <x v="1431"/>
    <n v="1"/>
    <x v="35"/>
    <x v="0"/>
    <s v="imsPP2: Tests neue Produkterkennung für Adhoc Produktionen"/>
    <m/>
    <s v="Despotovitch"/>
    <m/>
    <e v="#N/A"/>
    <e v="#N/A"/>
    <e v="#N/A"/>
    <e v="#N/A"/>
    <x v="11"/>
  </r>
  <r>
    <x v="1431"/>
    <n v="6"/>
    <x v="35"/>
    <x v="0"/>
    <s v="imsPP2: Stammdatenpflege Integration ProductionDetails heraus"/>
    <m/>
    <s v="Despotovitch"/>
    <m/>
    <e v="#N/A"/>
    <e v="#N/A"/>
    <e v="#N/A"/>
    <e v="#N/A"/>
    <x v="11"/>
  </r>
  <r>
    <x v="1432"/>
    <n v="2"/>
    <x v="35"/>
    <x v="0"/>
    <s v="imsPP2: service &quot;Anschubser&quot; Fehleranalyse"/>
    <m/>
    <s v="Böhm"/>
    <m/>
    <e v="#N/A"/>
    <e v="#N/A"/>
    <e v="#N/A"/>
    <e v="#N/A"/>
    <x v="11"/>
  </r>
  <r>
    <x v="1432"/>
    <n v="2"/>
    <x v="35"/>
    <x v="0"/>
    <s v="imsPP2: ProductionDetails Leereingabe für Prodesis + Line"/>
    <m/>
    <s v="Despotovitch"/>
    <m/>
    <e v="#N/A"/>
    <e v="#N/A"/>
    <e v="#N/A"/>
    <e v="#N/A"/>
    <x v="11"/>
  </r>
  <r>
    <x v="1432"/>
    <n v="2"/>
    <x v="35"/>
    <x v="0"/>
    <s v="Powercharts: 64-bit erste Tests"/>
    <m/>
    <s v="Voigt"/>
    <m/>
    <e v="#N/A"/>
    <e v="#N/A"/>
    <e v="#N/A"/>
    <e v="#N/A"/>
    <x v="11"/>
  </r>
  <r>
    <x v="1433"/>
    <n v="6"/>
    <x v="35"/>
    <x v="0"/>
    <s v="imsPP2: Gruppensicht Productions"/>
    <m/>
    <s v="Despotovitch"/>
    <m/>
    <e v="#N/A"/>
    <e v="#N/A"/>
    <e v="#N/A"/>
    <e v="#N/A"/>
    <x v="11"/>
  </r>
  <r>
    <x v="1433"/>
    <n v="2"/>
    <x v="35"/>
    <x v="0"/>
    <s v="imsPP2: ProductionPlanExport Anpassungen"/>
    <m/>
    <s v="Despotovitch"/>
    <m/>
    <e v="#N/A"/>
    <e v="#N/A"/>
    <e v="#N/A"/>
    <e v="#N/A"/>
    <x v="11"/>
  </r>
  <r>
    <x v="1434"/>
    <n v="8"/>
    <x v="35"/>
    <x v="0"/>
    <s v="Powercharts: 64-bit Testumgebung Einrichtung + Tests"/>
    <m/>
    <s v="Voigt"/>
    <m/>
    <e v="#N/A"/>
    <e v="#N/A"/>
    <e v="#N/A"/>
    <e v="#N/A"/>
    <x v="11"/>
  </r>
  <r>
    <x v="1435"/>
    <n v="6"/>
    <x v="35"/>
    <x v="0"/>
    <s v="imsPP2: Automation Systemtest"/>
    <m/>
    <s v="Witsch"/>
    <m/>
    <e v="#N/A"/>
    <e v="#N/A"/>
    <e v="#N/A"/>
    <e v="#N/A"/>
    <x v="11"/>
  </r>
  <r>
    <x v="1435"/>
    <n v="4"/>
    <x v="35"/>
    <x v="0"/>
    <s v="imsPP2: Spaltenfixierung (Einfrierung)"/>
    <m/>
    <s v="Despotovitch"/>
    <m/>
    <e v="#N/A"/>
    <e v="#N/A"/>
    <e v="#N/A"/>
    <e v="#N/A"/>
    <x v="11"/>
  </r>
  <r>
    <x v="1436"/>
    <n v="6"/>
    <x v="35"/>
    <x v="0"/>
    <s v="imsPP2: Gruppensicht Productions fertiggestellt"/>
    <m/>
    <s v="Despotovitch"/>
    <m/>
    <e v="#N/A"/>
    <e v="#N/A"/>
    <e v="#N/A"/>
    <e v="#N/A"/>
    <x v="11"/>
  </r>
  <r>
    <x v="1436"/>
    <n v="1"/>
    <x v="35"/>
    <x v="0"/>
    <s v="imsPP2: Studyfilter im Report"/>
    <m/>
    <s v="Despotovitch"/>
    <m/>
    <e v="#N/A"/>
    <e v="#N/A"/>
    <e v="#N/A"/>
    <e v="#N/A"/>
    <x v="11"/>
  </r>
  <r>
    <x v="1437"/>
    <n v="2"/>
    <x v="35"/>
    <x v="0"/>
    <s v="Sapping SOR All Fachrichtung Bugfixing"/>
    <m/>
    <s v="Borchard"/>
    <m/>
    <e v="#N/A"/>
    <e v="#N/A"/>
    <e v="#N/A"/>
    <e v="#N/A"/>
    <x v="11"/>
  </r>
  <r>
    <x v="1437"/>
    <n v="1"/>
    <x v="35"/>
    <x v="0"/>
    <s v="Serveradministration Backups ffmssql010 wegen Neuinstallation"/>
    <m/>
    <s v="Borchard"/>
    <m/>
    <e v="#N/A"/>
    <e v="#N/A"/>
    <e v="#N/A"/>
    <e v="#N/A"/>
    <x v="11"/>
  </r>
  <r>
    <x v="1437"/>
    <n v="4"/>
    <x v="35"/>
    <x v="0"/>
    <s v="imsPP2: Production Detail Dialog Umstellung Feldreihenfolge"/>
    <m/>
    <s v="Despotovitch"/>
    <m/>
    <e v="#N/A"/>
    <e v="#N/A"/>
    <e v="#N/A"/>
    <e v="#N/A"/>
    <x v="11"/>
  </r>
  <r>
    <x v="1437"/>
    <n v="1"/>
    <x v="35"/>
    <x v="0"/>
    <s v="Kostenkalkulator: Scrollfunktion in NPA Kalkulator"/>
    <m/>
    <s v="Pechstein"/>
    <m/>
    <e v="#N/A"/>
    <e v="#N/A"/>
    <e v="#N/A"/>
    <e v="#N/A"/>
    <x v="11"/>
  </r>
  <r>
    <x v="1438"/>
    <n v="4"/>
    <x v="35"/>
    <x v="0"/>
    <s v="Sapping SOR All Fachrichtung Bugfixing"/>
    <m/>
    <s v="Borchard"/>
    <m/>
    <e v="#N/A"/>
    <e v="#N/A"/>
    <e v="#N/A"/>
    <e v="#N/A"/>
    <x v="11"/>
  </r>
  <r>
    <x v="1438"/>
    <n v="2"/>
    <x v="35"/>
    <x v="0"/>
    <s v="Powercharts: Veränderungsraten Analyse 3 Facts nebeneinander"/>
    <m/>
    <s v="Voigt"/>
    <m/>
    <e v="#N/A"/>
    <e v="#N/A"/>
    <e v="#N/A"/>
    <e v="#N/A"/>
    <x v="11"/>
  </r>
  <r>
    <x v="1438"/>
    <n v="2"/>
    <x v="35"/>
    <x v="0"/>
    <s v="imsPP2: Copy, New Status Funktion"/>
    <m/>
    <s v="Despotovitch"/>
    <m/>
    <e v="#N/A"/>
    <e v="#N/A"/>
    <e v="#N/A"/>
    <e v="#N/A"/>
    <x v="11"/>
  </r>
  <r>
    <x v="1439"/>
    <n v="1"/>
    <x v="35"/>
    <x v="0"/>
    <s v="imsPP2: Copy, New Status Funktion"/>
    <m/>
    <s v="Despotovitch"/>
    <m/>
    <e v="#N/A"/>
    <e v="#N/A"/>
    <e v="#N/A"/>
    <e v="#N/A"/>
    <x v="11"/>
  </r>
  <r>
    <x v="1440"/>
    <n v="2"/>
    <x v="35"/>
    <x v="0"/>
    <s v="imsPP2: Evaluierung Powerpivot als Ersatz für Cubeerstellung"/>
    <m/>
    <s v="Borchard"/>
    <m/>
    <e v="#N/A"/>
    <e v="#N/A"/>
    <e v="#N/A"/>
    <e v="#N/A"/>
    <x v="11"/>
  </r>
  <r>
    <x v="1440"/>
    <n v="4"/>
    <x v="35"/>
    <x v="0"/>
    <s v="imsPP2: Automation Systemtest"/>
    <m/>
    <s v="Witsch"/>
    <m/>
    <e v="#N/A"/>
    <e v="#N/A"/>
    <e v="#N/A"/>
    <e v="#N/A"/>
    <x v="11"/>
  </r>
  <r>
    <x v="1440"/>
    <n v="1"/>
    <x v="35"/>
    <x v="0"/>
    <s v="imsPP2: Copy, New Status Funktion"/>
    <m/>
    <s v="Despotovitch"/>
    <m/>
    <e v="#N/A"/>
    <e v="#N/A"/>
    <e v="#N/A"/>
    <e v="#N/A"/>
    <x v="11"/>
  </r>
  <r>
    <x v="1441"/>
    <n v="2"/>
    <x v="35"/>
    <x v="0"/>
    <s v="Kostenkalkulator: Datenanbindung neue Felder NPA Kalkulator"/>
    <m/>
    <s v="Pechstein"/>
    <m/>
    <e v="#N/A"/>
    <e v="#N/A"/>
    <e v="#N/A"/>
    <e v="#N/A"/>
    <x v="11"/>
  </r>
  <r>
    <x v="1441"/>
    <n v="3"/>
    <x v="35"/>
    <x v="0"/>
    <s v="Serveradministration + Troubleshooting nach Wiederherstellung Datenbankserver"/>
    <m/>
    <s v="Borchard"/>
    <m/>
    <e v="#N/A"/>
    <e v="#N/A"/>
    <e v="#N/A"/>
    <e v="#N/A"/>
    <x v="11"/>
  </r>
  <r>
    <x v="1442"/>
    <n v="1"/>
    <x v="35"/>
    <x v="0"/>
    <s v="BBH, PP2, CostCalculator Test nach SP2 Update"/>
    <m/>
    <s v="Borchard"/>
    <m/>
    <e v="#N/A"/>
    <e v="#N/A"/>
    <e v="#N/A"/>
    <e v="#N/A"/>
    <x v="11"/>
  </r>
  <r>
    <x v="1442"/>
    <n v="7"/>
    <x v="35"/>
    <x v="0"/>
    <s v="imsPP2: Erstellung neuer Produktionsplan Regelwerk K,M,P,I + N für Q,M,HJ und J"/>
    <m/>
    <s v="Despotovitch"/>
    <m/>
    <e v="#N/A"/>
    <e v="#N/A"/>
    <e v="#N/A"/>
    <e v="#N/A"/>
    <x v="11"/>
  </r>
  <r>
    <x v="1442"/>
    <n v="1"/>
    <x v="35"/>
    <x v="0"/>
    <s v="imsPP2: Versionierung ProductionExport"/>
    <m/>
    <s v="Despotovitch"/>
    <m/>
    <e v="#N/A"/>
    <e v="#N/A"/>
    <e v="#N/A"/>
    <e v="#N/A"/>
    <x v="11"/>
  </r>
  <r>
    <x v="1443"/>
    <n v="3"/>
    <x v="35"/>
    <x v="0"/>
    <s v="imsPP2: Usereingaben Validierung + kleinere Änderungen Beschriftungen etc."/>
    <m/>
    <s v="Despotovitch"/>
    <m/>
    <e v="#N/A"/>
    <e v="#N/A"/>
    <e v="#N/A"/>
    <e v="#N/A"/>
    <x v="11"/>
  </r>
  <r>
    <x v="1443"/>
    <n v="5"/>
    <x v="35"/>
    <x v="0"/>
    <s v="imsPP2: Excel Bericht SA SMP New Productions"/>
    <m/>
    <s v="Despotovitch"/>
    <m/>
    <e v="#N/A"/>
    <e v="#N/A"/>
    <e v="#N/A"/>
    <e v="#N/A"/>
    <x v="11"/>
  </r>
  <r>
    <x v="1444"/>
    <n v="4"/>
    <x v="35"/>
    <x v="0"/>
    <s v="imsPP2: Berater zum Kunden bearbeitbar"/>
    <m/>
    <s v="Despotovitch"/>
    <m/>
    <e v="#N/A"/>
    <e v="#N/A"/>
    <e v="#N/A"/>
    <e v="#N/A"/>
    <x v="11"/>
  </r>
  <r>
    <x v="1444"/>
    <n v="2"/>
    <x v="35"/>
    <x v="0"/>
    <s v="imsPP2: Dialog Akuteller Monat entfernt + in OutputChecks verschoben"/>
    <m/>
    <s v="Despotovitch"/>
    <m/>
    <e v="#N/A"/>
    <e v="#N/A"/>
    <e v="#N/A"/>
    <e v="#N/A"/>
    <x v="11"/>
  </r>
  <r>
    <x v="1444"/>
    <n v="2"/>
    <x v="35"/>
    <x v="0"/>
    <s v="imsPP2: Implementierung Copy New Logik Produktionsplan"/>
    <m/>
    <s v="Despotovitch"/>
    <m/>
    <e v="#N/A"/>
    <e v="#N/A"/>
    <e v="#N/A"/>
    <e v="#N/A"/>
    <x v="11"/>
  </r>
  <r>
    <x v="1444"/>
    <n v="1.5"/>
    <x v="35"/>
    <x v="0"/>
    <s v="imsPP2: Versionierung ProductionExport"/>
    <m/>
    <s v="Despotovitch"/>
    <m/>
    <e v="#N/A"/>
    <e v="#N/A"/>
    <e v="#N/A"/>
    <e v="#N/A"/>
    <x v="11"/>
  </r>
  <r>
    <x v="1445"/>
    <n v="7"/>
    <x v="35"/>
    <x v="0"/>
    <s v="Kostenkalkulator: neue Homepage für Kunden und Kalkulator Auswahl"/>
    <m/>
    <s v="Pechstein"/>
    <m/>
    <e v="#N/A"/>
    <e v="#N/A"/>
    <e v="#N/A"/>
    <e v="#N/A"/>
    <x v="11"/>
  </r>
  <r>
    <x v="1445"/>
    <n v="2"/>
    <x v="35"/>
    <x v="0"/>
    <s v="imsPP2: Versionierung ProductionExport"/>
    <m/>
    <s v="Despotovitch"/>
    <m/>
    <e v="#N/A"/>
    <e v="#N/A"/>
    <e v="#N/A"/>
    <e v="#N/A"/>
    <x v="11"/>
  </r>
  <r>
    <x v="1446"/>
    <n v="1"/>
    <x v="35"/>
    <x v="0"/>
    <s v="Powercharts: Datenbankzugriff Support"/>
    <m/>
    <s v="Netz"/>
    <m/>
    <e v="#N/A"/>
    <e v="#N/A"/>
    <e v="#N/A"/>
    <e v="#N/A"/>
    <x v="11"/>
  </r>
  <r>
    <x v="1446"/>
    <n v="1"/>
    <x v="35"/>
    <x v="0"/>
    <s v="BBH: Support nach Neuinstallation"/>
    <m/>
    <s v="Borchard"/>
    <m/>
    <e v="#N/A"/>
    <e v="#N/A"/>
    <e v="#N/A"/>
    <e v="#N/A"/>
    <x v="11"/>
  </r>
  <r>
    <x v="1446"/>
    <n v="4"/>
    <x v="35"/>
    <x v="0"/>
    <s v="imsPP2: Eingefrorene Spalten"/>
    <m/>
    <s v="Despotovitch"/>
    <m/>
    <e v="#N/A"/>
    <e v="#N/A"/>
    <e v="#N/A"/>
    <e v="#N/A"/>
    <x v="11"/>
  </r>
  <r>
    <x v="1446"/>
    <n v="2"/>
    <x v="35"/>
    <x v="0"/>
    <s v="imsPP2: NewSaSmpProductionsReport"/>
    <m/>
    <s v="Despotovitch"/>
    <m/>
    <e v="#N/A"/>
    <e v="#N/A"/>
    <e v="#N/A"/>
    <e v="#N/A"/>
    <x v="11"/>
  </r>
  <r>
    <x v="1447"/>
    <n v="6"/>
    <x v="35"/>
    <x v="0"/>
    <s v="imsPP2: Anpassung Produktiondialog und Abgleich mit Listenansicht"/>
    <m/>
    <s v="Despotovitch"/>
    <m/>
    <e v="#N/A"/>
    <e v="#N/A"/>
    <e v="#N/A"/>
    <e v="#N/A"/>
    <x v="11"/>
  </r>
  <r>
    <x v="1447"/>
    <n v="3"/>
    <x v="35"/>
    <x v="0"/>
    <s v="imsPP2: Einrichtung neue Installation + Test"/>
    <m/>
    <s v="Despotovitch"/>
    <m/>
    <e v="#N/A"/>
    <e v="#N/A"/>
    <e v="#N/A"/>
    <e v="#N/A"/>
    <x v="11"/>
  </r>
  <r>
    <x v="1448"/>
    <n v="3"/>
    <x v="35"/>
    <x v="0"/>
    <s v="Kostenkalkulator: BenutzerValidierung Einstiegsseite + Anpassungen Rechnungsreport"/>
    <m/>
    <s v="Pechstein"/>
    <m/>
    <e v="#N/A"/>
    <e v="#N/A"/>
    <e v="#N/A"/>
    <e v="#N/A"/>
    <x v="11"/>
  </r>
  <r>
    <x v="1448"/>
    <n v="1"/>
    <x v="35"/>
    <x v="0"/>
    <s v="Kostenkalkulator: Installation neue Version, Test"/>
    <m/>
    <s v="Pechstein"/>
    <m/>
    <e v="#N/A"/>
    <e v="#N/A"/>
    <e v="#N/A"/>
    <e v="#N/A"/>
    <x v="11"/>
  </r>
  <r>
    <x v="1449"/>
    <n v="6"/>
    <x v="35"/>
    <x v="0"/>
    <s v="Kostenkalkulator: DPM PSN Datenmodellierung"/>
    <m/>
    <s v="Pechstein"/>
    <m/>
    <e v="#N/A"/>
    <e v="#N/A"/>
    <e v="#N/A"/>
    <e v="#N/A"/>
    <x v="11"/>
  </r>
  <r>
    <x v="1450"/>
    <n v="3"/>
    <x v="35"/>
    <x v="0"/>
    <s v="Lrx Reporting: BPNA WinLoss Switch Details Sub Window Bug"/>
    <m/>
    <s v="Hildebrand"/>
    <m/>
    <e v="#N/A"/>
    <e v="#N/A"/>
    <e v="#N/A"/>
    <e v="#N/A"/>
    <x v="11"/>
  </r>
  <r>
    <x v="1450"/>
    <n v="4"/>
    <x v="35"/>
    <x v="0"/>
    <s v="imsPP2:  Powerpivot Excel 2013 Einrichtung, erste Tests"/>
    <m/>
    <s v="Borchard"/>
    <m/>
    <e v="#N/A"/>
    <e v="#N/A"/>
    <e v="#N/A"/>
    <e v="#N/A"/>
    <x v="11"/>
  </r>
  <r>
    <x v="1450"/>
    <n v="2"/>
    <x v="35"/>
    <x v="0"/>
    <s v="Kostenkalkulator: DPM PSN Tabellenerstellung"/>
    <m/>
    <s v="Pechstein"/>
    <m/>
    <e v="#N/A"/>
    <e v="#N/A"/>
    <e v="#N/A"/>
    <e v="#N/A"/>
    <x v="11"/>
  </r>
  <r>
    <x v="1451"/>
    <n v="1"/>
    <x v="35"/>
    <x v="0"/>
    <s v="Lrx Reporting: BPNA WinLoss Switch Details Sub Window Bug"/>
    <m/>
    <s v="Riebel"/>
    <m/>
    <e v="#N/A"/>
    <e v="#N/A"/>
    <e v="#N/A"/>
    <e v="#N/A"/>
    <x v="11"/>
  </r>
  <r>
    <x v="1451"/>
    <n v="3"/>
    <x v="35"/>
    <x v="0"/>
    <s v="Lrx Reporting BPNA: Update, Test für Testkunden IMS, unzureichende Testdaten vorhanden"/>
    <m/>
    <s v="Riebel"/>
    <m/>
    <e v="#N/A"/>
    <e v="#N/A"/>
    <e v="#N/A"/>
    <e v="#N/A"/>
    <x v="11"/>
  </r>
  <r>
    <x v="1451"/>
    <n v="2"/>
    <x v="35"/>
    <x v="0"/>
    <s v="imsPP2:  Powerpivot Excel 2013 Einrichtung weitere Tests"/>
    <m/>
    <s v="Borchard"/>
    <m/>
    <e v="#N/A"/>
    <e v="#N/A"/>
    <e v="#N/A"/>
    <e v="#N/A"/>
    <x v="11"/>
  </r>
  <r>
    <x v="1452"/>
    <n v="1"/>
    <x v="35"/>
    <x v="0"/>
    <s v="Lrx Reporting BPNA: Einspielen und Test neue Version für Spanien"/>
    <m/>
    <s v="Riebel"/>
    <m/>
    <e v="#N/A"/>
    <e v="#N/A"/>
    <e v="#N/A"/>
    <e v="#N/A"/>
    <x v="11"/>
  </r>
  <r>
    <x v="1452"/>
    <n v="1.5"/>
    <x v="35"/>
    <x v="0"/>
    <s v="Lrx Reporting BPNA: Fix Ausrichtung &quot;-&quot;, Test  Update, Versionsverwaltung"/>
    <m/>
    <s v="Riebel"/>
    <m/>
    <e v="#N/A"/>
    <e v="#N/A"/>
    <e v="#N/A"/>
    <e v="#N/A"/>
    <x v="11"/>
  </r>
  <r>
    <x v="1452"/>
    <n v="6"/>
    <x v="35"/>
    <x v="0"/>
    <s v="imsPP2:  Powerpivot Cubeerstellung Ersatz für local cubes"/>
    <m/>
    <s v="Borchard"/>
    <m/>
    <e v="#N/A"/>
    <e v="#N/A"/>
    <e v="#N/A"/>
    <e v="#N/A"/>
    <x v="11"/>
  </r>
  <r>
    <x v="1453"/>
    <n v="1"/>
    <x v="35"/>
    <x v="0"/>
    <s v="Lrx Reporting BPNA: Administration "/>
    <m/>
    <s v="Bucknell"/>
    <m/>
    <e v="#N/A"/>
    <e v="#N/A"/>
    <e v="#N/A"/>
    <e v="#N/A"/>
    <x v="11"/>
  </r>
  <r>
    <x v="1453"/>
    <n v="1"/>
    <x v="35"/>
    <x v="0"/>
    <s v="Powercharts: Support Security"/>
    <m/>
    <s v="Netz"/>
    <m/>
    <e v="#N/A"/>
    <e v="#N/A"/>
    <e v="#N/A"/>
    <e v="#N/A"/>
    <x v="11"/>
  </r>
  <r>
    <x v="1453"/>
    <n v="6"/>
    <x v="35"/>
    <x v="0"/>
    <s v="imsPP2:  Powerpivot Cubeerstellung Ersatz für local cubes"/>
    <m/>
    <s v="Borchard"/>
    <m/>
    <e v="#N/A"/>
    <e v="#N/A"/>
    <e v="#N/A"/>
    <e v="#N/A"/>
    <x v="11"/>
  </r>
  <r>
    <x v="1454"/>
    <n v="2"/>
    <x v="35"/>
    <x v="0"/>
    <s v="Kostenkalkulator: DPM PSN Viewerstellung (Oberfläche)"/>
    <m/>
    <s v="Pechstein"/>
    <m/>
    <e v="#N/A"/>
    <e v="#N/A"/>
    <e v="#N/A"/>
    <e v="#N/A"/>
    <x v="11"/>
  </r>
  <r>
    <x v="1454"/>
    <n v="4"/>
    <x v="35"/>
    <x v="0"/>
    <s v="imsPP2:  Powerpivot Cubeerstellung Ersatz für local cubes"/>
    <m/>
    <s v="Despotovitch"/>
    <m/>
    <e v="#N/A"/>
    <e v="#N/A"/>
    <e v="#N/A"/>
    <e v="#N/A"/>
    <x v="11"/>
  </r>
  <r>
    <x v="1455"/>
    <n v="2"/>
    <x v="35"/>
    <x v="0"/>
    <s v="imsPP2:  Powerpivot Cubeerstellung Ersatz für local cubes"/>
    <m/>
    <s v="Despotovitch"/>
    <m/>
    <e v="#N/A"/>
    <e v="#N/A"/>
    <e v="#N/A"/>
    <e v="#N/A"/>
    <x v="11"/>
  </r>
  <r>
    <x v="1456"/>
    <n v="6"/>
    <x v="35"/>
    <x v="0"/>
    <s v="imsPP2:  Powerpivot Cubeerstellung Ersatz für local cubes"/>
    <m/>
    <s v="Despotovitch"/>
    <m/>
    <e v="#N/A"/>
    <e v="#N/A"/>
    <e v="#N/A"/>
    <e v="#N/A"/>
    <x v="11"/>
  </r>
  <r>
    <x v="1457"/>
    <n v="6"/>
    <x v="35"/>
    <x v="0"/>
    <s v="Kostenkalkulator: DPM PSN Datenzugriffslogik"/>
    <m/>
    <s v="Pechstein"/>
    <m/>
    <e v="#N/A"/>
    <e v="#N/A"/>
    <e v="#N/A"/>
    <e v="#N/A"/>
    <x v="11"/>
  </r>
  <r>
    <x v="1458"/>
    <n v="2"/>
    <x v="35"/>
    <x v="0"/>
    <s v="Powercharts: Datenbankzugriff Support"/>
    <m/>
    <s v="Netz"/>
    <m/>
    <e v="#N/A"/>
    <e v="#N/A"/>
    <e v="#N/A"/>
    <e v="#N/A"/>
    <x v="11"/>
  </r>
  <r>
    <x v="1458"/>
    <n v="4"/>
    <x v="35"/>
    <x v="0"/>
    <s v="imsPP2:  Powerpivot Cubeerstellung Systemtests"/>
    <m/>
    <s v="Despotovitch"/>
    <m/>
    <e v="#N/A"/>
    <e v="#N/A"/>
    <e v="#N/A"/>
    <e v="#N/A"/>
    <x v="11"/>
  </r>
  <r>
    <x v="1459"/>
    <n v="2"/>
    <x v="35"/>
    <x v="0"/>
    <s v="imsPP2:  Powerpivot Cubetest Evaluierung"/>
    <m/>
    <s v="Despotovitch"/>
    <m/>
    <e v="#N/A"/>
    <e v="#N/A"/>
    <e v="#N/A"/>
    <e v="#N/A"/>
    <x v="11"/>
  </r>
  <r>
    <x v="1460"/>
    <n v="1"/>
    <x v="35"/>
    <x v="0"/>
    <s v="Kostenkalkulator: DPM PSN ViewModel"/>
    <m/>
    <s v="Pechstein"/>
    <m/>
    <e v="#N/A"/>
    <e v="#N/A"/>
    <e v="#N/A"/>
    <e v="#N/A"/>
    <x v="11"/>
  </r>
  <r>
    <x v="1460"/>
    <n v="1"/>
    <x v="35"/>
    <x v="0"/>
    <s v="imsPP2:  RVMBASU2"/>
    <m/>
    <s v="Hornbruch"/>
    <m/>
    <e v="#N/A"/>
    <e v="#N/A"/>
    <e v="#N/A"/>
    <e v="#N/A"/>
    <x v="11"/>
  </r>
  <r>
    <x v="1461"/>
    <n v="3"/>
    <x v="35"/>
    <x v="0"/>
    <s v="imsPP2:  RVMBASU2, Fehleranalyse + Bugfixing"/>
    <m/>
    <s v="Hornbruch"/>
    <m/>
    <e v="#N/A"/>
    <e v="#N/A"/>
    <e v="#N/A"/>
    <e v="#N/A"/>
    <x v="11"/>
  </r>
  <r>
    <x v="1461"/>
    <n v="4"/>
    <x v="35"/>
    <x v="0"/>
    <s v="Kostenkalkulator: DPM PSN Testdaten, Datenmodell Änderungen"/>
    <m/>
    <s v="Pechstein"/>
    <m/>
    <e v="#N/A"/>
    <e v="#N/A"/>
    <e v="#N/A"/>
    <e v="#N/A"/>
    <x v="11"/>
  </r>
  <r>
    <x v="1462"/>
    <n v="1"/>
    <x v="35"/>
    <x v="0"/>
    <s v="imsPP2:  RVMBASU2, Umstellung 2005 Treiber auf 2008"/>
    <m/>
    <s v="Hornbruch"/>
    <m/>
    <e v="#N/A"/>
    <e v="#N/A"/>
    <e v="#N/A"/>
    <e v="#N/A"/>
    <x v="11"/>
  </r>
  <r>
    <x v="1462"/>
    <n v="1"/>
    <x v="35"/>
    <x v="0"/>
    <s v="Sapping: Zähleinheiten"/>
    <m/>
    <s v="Günther"/>
    <m/>
    <e v="#N/A"/>
    <e v="#N/A"/>
    <e v="#N/A"/>
    <e v="#N/A"/>
    <x v="11"/>
  </r>
  <r>
    <x v="1462"/>
    <n v="1"/>
    <x v="35"/>
    <x v="0"/>
    <s v="Sapping:  Abklärung + Registrierung component one flexgrid"/>
    <m/>
    <s v="Borchard"/>
    <m/>
    <e v="#N/A"/>
    <e v="#N/A"/>
    <e v="#N/A"/>
    <e v="#N/A"/>
    <x v="11"/>
  </r>
  <r>
    <x v="1462"/>
    <n v="1"/>
    <x v="35"/>
    <x v="0"/>
    <s v="Powercharts 2012: Testdesign_Chart7.pch, Bug Analyse"/>
    <m/>
    <s v="Netz"/>
    <m/>
    <e v="#N/A"/>
    <e v="#N/A"/>
    <e v="#N/A"/>
    <e v="#N/A"/>
    <x v="11"/>
  </r>
  <r>
    <x v="1462"/>
    <n v="1"/>
    <x v="35"/>
    <x v="0"/>
    <s v="Kostenkalkulator: DPM PSN Testdaten Import"/>
    <m/>
    <s v="Pechstein"/>
    <m/>
    <e v="#N/A"/>
    <e v="#N/A"/>
    <e v="#N/A"/>
    <e v="#N/A"/>
    <x v="11"/>
  </r>
  <r>
    <x v="1462"/>
    <n v="1"/>
    <x v="35"/>
    <x v="0"/>
    <s v="imsPP2:  Einfrieren Outputchecks + RVMBASU2 Sonder Ordner"/>
    <m/>
    <s v="Hornbruch"/>
    <m/>
    <e v="#N/A"/>
    <e v="#N/A"/>
    <e v="#N/A"/>
    <e v="#N/A"/>
    <x v="11"/>
  </r>
  <r>
    <x v="1463"/>
    <n v="4"/>
    <x v="35"/>
    <x v="0"/>
    <s v="Powercharts 2012: Korrekturen Distribution Keyfacts"/>
    <m/>
    <s v="Netz"/>
    <m/>
    <e v="#N/A"/>
    <e v="#N/A"/>
    <e v="#N/A"/>
    <e v="#N/A"/>
    <x v="11"/>
  </r>
  <r>
    <x v="1463"/>
    <n v="2"/>
    <x v="35"/>
    <x v="0"/>
    <s v="imsPP2:  Cubetest"/>
    <m/>
    <s v="Hornbruch"/>
    <m/>
    <e v="#N/A"/>
    <e v="#N/A"/>
    <e v="#N/A"/>
    <e v="#N/A"/>
    <x v="11"/>
  </r>
  <r>
    <x v="1464"/>
    <n v="6"/>
    <x v="35"/>
    <x v="0"/>
    <s v="imsPP2:  Cubetest Powerpivot"/>
    <m/>
    <s v="Despotovitch"/>
    <m/>
    <e v="#N/A"/>
    <e v="#N/A"/>
    <e v="#N/A"/>
    <e v="#N/A"/>
    <x v="11"/>
  </r>
  <r>
    <x v="1465"/>
    <n v="3"/>
    <x v="35"/>
    <x v="0"/>
    <s v="imsPP2: RVMBASU2 Sonder Ordner"/>
    <m/>
    <s v="Hornbruch"/>
    <m/>
    <e v="#N/A"/>
    <e v="#N/A"/>
    <e v="#N/A"/>
    <e v="#N/A"/>
    <x v="11"/>
  </r>
  <r>
    <x v="1465"/>
    <n v="3"/>
    <x v="35"/>
    <x v="0"/>
    <s v="imsPP2:  Cubetest"/>
    <m/>
    <s v="Despotovitch"/>
    <m/>
    <e v="#N/A"/>
    <e v="#N/A"/>
    <e v="#N/A"/>
    <e v="#N/A"/>
    <x v="11"/>
  </r>
  <r>
    <x v="1466"/>
    <n v="6"/>
    <x v="35"/>
    <x v="0"/>
    <s v="imsPP2:  Cubetest"/>
    <m/>
    <s v="Despotovitch"/>
    <m/>
    <e v="#N/A"/>
    <e v="#N/A"/>
    <e v="#N/A"/>
    <e v="#N/A"/>
    <x v="11"/>
  </r>
  <r>
    <x v="1467"/>
    <n v="8"/>
    <x v="35"/>
    <x v="0"/>
    <s v="Kostenkalkulator: DPM PSN BenutzerInterface"/>
    <m/>
    <s v="Pechstein"/>
    <m/>
    <e v="#N/A"/>
    <e v="#N/A"/>
    <e v="#N/A"/>
    <e v="#N/A"/>
    <x v="11"/>
  </r>
  <r>
    <x v="1468"/>
    <n v="6"/>
    <x v="35"/>
    <x v="0"/>
    <s v="imsPP2:  Cubetest"/>
    <m/>
    <s v="Despotovitch"/>
    <m/>
    <e v="#N/A"/>
    <e v="#N/A"/>
    <e v="#N/A"/>
    <e v="#N/A"/>
    <x v="11"/>
  </r>
  <r>
    <x v="1469"/>
    <n v="8"/>
    <x v="35"/>
    <x v="0"/>
    <s v="Kostenkalkulator: DPM PSN BenutzerInterface"/>
    <m/>
    <s v="Pechstein"/>
    <m/>
    <e v="#N/A"/>
    <e v="#N/A"/>
    <e v="#N/A"/>
    <e v="#N/A"/>
    <x v="11"/>
  </r>
  <r>
    <x v="1470"/>
    <n v="1"/>
    <x v="35"/>
    <x v="0"/>
    <s v="Kostenkalkulator: DPM PSN Zwischenversion erstellen + Installation"/>
    <m/>
    <s v="Pechstein"/>
    <m/>
    <e v="#N/A"/>
    <e v="#N/A"/>
    <e v="#N/A"/>
    <e v="#N/A"/>
    <x v="11"/>
  </r>
  <r>
    <x v="1470"/>
    <n v="2"/>
    <x v="35"/>
    <x v="0"/>
    <s v="imsPP2:  ftpService Bugfixing"/>
    <m/>
    <s v="Despotovitch"/>
    <m/>
    <e v="#N/A"/>
    <e v="#N/A"/>
    <e v="#N/A"/>
    <e v="#N/A"/>
    <x v="11"/>
  </r>
  <r>
    <x v="1470"/>
    <n v="1"/>
    <x v="35"/>
    <x v="0"/>
    <s v="Sapping: Zähleinheiten"/>
    <m/>
    <s v="Günther"/>
    <m/>
    <e v="#N/A"/>
    <e v="#N/A"/>
    <e v="#N/A"/>
    <e v="#N/A"/>
    <x v="11"/>
  </r>
  <r>
    <x v="1471"/>
    <n v="8"/>
    <x v="35"/>
    <x v="0"/>
    <s v="imsPP2:  Cubeerstellung + Cubetest Integration"/>
    <m/>
    <s v="Despotovitch"/>
    <m/>
    <e v="#N/A"/>
    <e v="#N/A"/>
    <e v="#N/A"/>
    <e v="#N/A"/>
    <x v="11"/>
  </r>
  <r>
    <x v="1472"/>
    <n v="1"/>
    <x v="35"/>
    <x v="0"/>
    <s v="imsPP2:  Unterstützung Outputcheckcs Tests"/>
    <m/>
    <s v="Despotovitch"/>
    <m/>
    <e v="#N/A"/>
    <e v="#N/A"/>
    <e v="#N/A"/>
    <e v="#N/A"/>
    <x v="11"/>
  </r>
  <r>
    <x v="1472"/>
    <n v="6"/>
    <x v="35"/>
    <x v="0"/>
    <s v="Powercharts: Unterstützung Saisons"/>
    <m/>
    <s v="Netz"/>
    <m/>
    <e v="#N/A"/>
    <e v="#N/A"/>
    <e v="#N/A"/>
    <e v="#N/A"/>
    <x v="11"/>
  </r>
  <r>
    <x v="1473"/>
    <n v="5"/>
    <x v="35"/>
    <x v="0"/>
    <s v="Powercharts: 3 Facts nebeneinander, Apothekenmarkt Gesamt, Micro 4 Facts untereinander"/>
    <m/>
    <s v="Netz"/>
    <m/>
    <e v="#N/A"/>
    <e v="#N/A"/>
    <e v="#N/A"/>
    <e v="#N/A"/>
    <x v="11"/>
  </r>
  <r>
    <x v="1474"/>
    <n v="1"/>
    <x v="35"/>
    <x v="0"/>
    <s v="Powercharts 2012: Evaluierung internal, customer account usage"/>
    <m/>
    <s v="Weileder"/>
    <m/>
    <e v="#N/A"/>
    <e v="#N/A"/>
    <e v="#N/A"/>
    <e v="#N/A"/>
    <x v="11"/>
  </r>
  <r>
    <x v="1474"/>
    <n v="7"/>
    <x v="35"/>
    <x v="0"/>
    <s v="Powercharts: Win7 Upgrade"/>
    <m/>
    <s v="Voigt"/>
    <m/>
    <e v="#N/A"/>
    <e v="#N/A"/>
    <e v="#N/A"/>
    <e v="#N/A"/>
    <x v="11"/>
  </r>
  <r>
    <x v="1475"/>
    <n v="8"/>
    <x v="35"/>
    <x v="0"/>
    <s v="Powercharts: Win7 Upgrade"/>
    <m/>
    <s v="Voigt"/>
    <m/>
    <e v="#N/A"/>
    <e v="#N/A"/>
    <e v="#N/A"/>
    <e v="#N/A"/>
    <x v="11"/>
  </r>
  <r>
    <x v="1476"/>
    <n v="5"/>
    <x v="35"/>
    <x v="0"/>
    <s v="Powercharts: Win7 Upgrade"/>
    <m/>
    <s v="Voigt"/>
    <m/>
    <e v="#N/A"/>
    <e v="#N/A"/>
    <e v="#N/A"/>
    <e v="#N/A"/>
    <x v="11"/>
  </r>
  <r>
    <x v="1476"/>
    <n v="2"/>
    <x v="35"/>
    <x v="0"/>
    <s v="Administration: Troubleshooting Anmeldung"/>
    <m/>
    <s v="Borchard"/>
    <m/>
    <e v="#N/A"/>
    <e v="#N/A"/>
    <e v="#N/A"/>
    <e v="#N/A"/>
    <x v="11"/>
  </r>
  <r>
    <x v="1477"/>
    <n v="5"/>
    <x v="35"/>
    <x v="0"/>
    <s v="imsPP2:  Einrichtung WebServer ffmssql015 + Installation PP2"/>
    <m/>
    <s v="Borchard"/>
    <m/>
    <e v="#N/A"/>
    <e v="#N/A"/>
    <e v="#N/A"/>
    <e v="#N/A"/>
    <x v="11"/>
  </r>
  <r>
    <x v="1477"/>
    <n v="1"/>
    <x v="35"/>
    <x v="0"/>
    <s v="Powercharts: Win7 Installationsprogramm"/>
    <m/>
    <s v="Voigt"/>
    <m/>
    <e v="#N/A"/>
    <e v="#N/A"/>
    <e v="#N/A"/>
    <e v="#N/A"/>
    <x v="11"/>
  </r>
  <r>
    <x v="1478"/>
    <n v="3"/>
    <x v="35"/>
    <x v="0"/>
    <s v="imsPP2:  Einrichtung WebServer ffmssql015 + Installation PP2"/>
    <m/>
    <s v="Borchard"/>
    <m/>
    <e v="#N/A"/>
    <e v="#N/A"/>
    <e v="#N/A"/>
    <e v="#N/A"/>
    <x v="11"/>
  </r>
  <r>
    <x v="1478"/>
    <n v="1"/>
    <x v="35"/>
    <x v="0"/>
    <s v="Administration: Troubleshooting Anmeldung"/>
    <m/>
    <s v="Borchard"/>
    <m/>
    <e v="#N/A"/>
    <e v="#N/A"/>
    <e v="#N/A"/>
    <e v="#N/A"/>
    <x v="11"/>
  </r>
  <r>
    <x v="1478"/>
    <n v="3"/>
    <x v="35"/>
    <x v="0"/>
    <s v="imsPP2:  Anpassung an Windows 2008 Server"/>
    <m/>
    <s v="Borchard"/>
    <m/>
    <e v="#N/A"/>
    <e v="#N/A"/>
    <e v="#N/A"/>
    <e v="#N/A"/>
    <x v="11"/>
  </r>
  <r>
    <x v="1478"/>
    <n v="1"/>
    <x v="35"/>
    <x v="0"/>
    <s v="imsPP2:  Log Dialog "/>
    <m/>
    <s v="Despotovitch"/>
    <m/>
    <e v="#N/A"/>
    <e v="#N/A"/>
    <e v="#N/A"/>
    <e v="#N/A"/>
    <x v="11"/>
  </r>
  <r>
    <x v="1479"/>
    <n v="1.5"/>
    <x v="35"/>
    <x v="0"/>
    <s v="imsPP2:  Log Dialog "/>
    <m/>
    <s v="Despotovitch"/>
    <m/>
    <e v="#N/A"/>
    <e v="#N/A"/>
    <e v="#N/A"/>
    <e v="#N/A"/>
    <x v="11"/>
  </r>
  <r>
    <x v="1480"/>
    <n v="1"/>
    <x v="35"/>
    <x v="0"/>
    <s v="imsPP2:  Log Dialog "/>
    <m/>
    <s v="Despotovitch"/>
    <m/>
    <e v="#N/A"/>
    <e v="#N/A"/>
    <e v="#N/A"/>
    <e v="#N/A"/>
    <x v="11"/>
  </r>
  <r>
    <x v="1480"/>
    <n v="2"/>
    <x v="35"/>
    <x v="0"/>
    <s v="imsPP2:  Fehlersuche Workbook Erstellung Hang"/>
    <m/>
    <s v="Borchard"/>
    <m/>
    <e v="#N/A"/>
    <e v="#N/A"/>
    <e v="#N/A"/>
    <e v="#N/A"/>
    <x v="11"/>
  </r>
  <r>
    <x v="1481"/>
    <n v="1"/>
    <x v="35"/>
    <x v="0"/>
    <s v="Powercharts: 2215 Geo Bug"/>
    <m/>
    <s v="Voigt"/>
    <m/>
    <e v="#N/A"/>
    <e v="#N/A"/>
    <e v="#N/A"/>
    <e v="#N/A"/>
    <x v="11"/>
  </r>
  <r>
    <x v="1481"/>
    <n v="6"/>
    <x v="35"/>
    <x v="0"/>
    <s v="imsPP2:  Powerpivot Cubeerstellung"/>
    <m/>
    <s v="Borchard"/>
    <m/>
    <e v="#N/A"/>
    <e v="#N/A"/>
    <e v="#N/A"/>
    <e v="#N/A"/>
    <x v="11"/>
  </r>
  <r>
    <x v="1482"/>
    <n v="1.5"/>
    <x v="35"/>
    <x v="0"/>
    <s v="imsPP2:  Log Dialog "/>
    <m/>
    <s v="Despotovitch"/>
    <m/>
    <e v="#N/A"/>
    <e v="#N/A"/>
    <e v="#N/A"/>
    <e v="#N/A"/>
    <x v="11"/>
  </r>
  <r>
    <x v="1482"/>
    <n v="1.5"/>
    <x v="35"/>
    <x v="0"/>
    <s v="Kostenkalkulator: Besprechung"/>
    <m/>
    <s v="Pechstein"/>
    <m/>
    <e v="#N/A"/>
    <e v="#N/A"/>
    <e v="#N/A"/>
    <e v="#N/A"/>
    <x v="11"/>
  </r>
  <r>
    <x v="1482"/>
    <n v="4"/>
    <x v="35"/>
    <x v="0"/>
    <s v="imsPP2:  Besprechung + Test"/>
    <m/>
    <s v="Borchard"/>
    <m/>
    <e v="#N/A"/>
    <e v="#N/A"/>
    <e v="#N/A"/>
    <e v="#N/A"/>
    <x v="11"/>
  </r>
  <r>
    <x v="1482"/>
    <n v="1.5"/>
    <x v="35"/>
    <x v="0"/>
    <s v="Kostenkalkulator: Update DPMPSN Kalkulator"/>
    <m/>
    <s v="Pechstein"/>
    <m/>
    <e v="#N/A"/>
    <e v="#N/A"/>
    <e v="#N/A"/>
    <e v="#N/A"/>
    <x v="11"/>
  </r>
  <r>
    <x v="1483"/>
    <n v="6"/>
    <x v="35"/>
    <x v="0"/>
    <s v="imsPP2:  IFA Nummer PZN7 auf PZN12"/>
    <m/>
    <s v="Borchard"/>
    <m/>
    <e v="#N/A"/>
    <e v="#N/A"/>
    <e v="#N/A"/>
    <e v="#N/A"/>
    <x v="11"/>
  </r>
  <r>
    <x v="1483"/>
    <n v="3"/>
    <x v="35"/>
    <x v="0"/>
    <s v="imsPP2:  Subterritory Builder Eisal"/>
    <m/>
    <s v="Burger"/>
    <m/>
    <e v="#N/A"/>
    <e v="#N/A"/>
    <e v="#N/A"/>
    <e v="#N/A"/>
    <x v="11"/>
  </r>
  <r>
    <x v="1484"/>
    <n v="2"/>
    <x v="35"/>
    <x v="0"/>
    <s v="imsPP2:  Cubeerstellung UniqueName auf mehrere Spalten verteilen"/>
    <m/>
    <s v="Borchard"/>
    <m/>
    <e v="#N/A"/>
    <e v="#N/A"/>
    <e v="#N/A"/>
    <e v="#N/A"/>
    <x v="11"/>
  </r>
  <r>
    <x v="1484"/>
    <n v="3"/>
    <x v="35"/>
    <x v="0"/>
    <s v="Kostenkalkulator: Datenmodellierung DPMPSN"/>
    <m/>
    <s v="Pechstein"/>
    <m/>
    <e v="#N/A"/>
    <e v="#N/A"/>
    <e v="#N/A"/>
    <e v="#N/A"/>
    <x v="11"/>
  </r>
  <r>
    <x v="1485"/>
    <n v="1.5"/>
    <x v="35"/>
    <x v="0"/>
    <s v="imsPP2:  ChecklistView Anpassungen"/>
    <m/>
    <s v="Despotovitch"/>
    <m/>
    <e v="#N/A"/>
    <e v="#N/A"/>
    <e v="#N/A"/>
    <e v="#N/A"/>
    <x v="11"/>
  </r>
  <r>
    <x v="1486"/>
    <n v="1.5"/>
    <x v="35"/>
    <x v="0"/>
    <s v="imsPP2:  SA/SMP Produktionen"/>
    <m/>
    <s v="Despotovitch"/>
    <m/>
    <e v="#N/A"/>
    <e v="#N/A"/>
    <e v="#N/A"/>
    <e v="#N/A"/>
    <x v="11"/>
  </r>
  <r>
    <x v="1487"/>
    <n v="1"/>
    <x v="35"/>
    <x v="0"/>
    <s v="Kostenkalkulator: DPMPSN Datenbearbeitung wg. Neuem Schlüssel ExistingLicense"/>
    <m/>
    <s v="Pechstein"/>
    <m/>
    <e v="#N/A"/>
    <e v="#N/A"/>
    <e v="#N/A"/>
    <e v="#N/A"/>
    <x v="11"/>
  </r>
  <r>
    <x v="1488"/>
    <n v="3"/>
    <x v="35"/>
    <x v="0"/>
    <s v="Kostenkalkulator: DPMPSN Datenbearbeitung wg. Neuem Schlüssel ExistingLicense"/>
    <m/>
    <s v="Pechstein"/>
    <m/>
    <e v="#N/A"/>
    <e v="#N/A"/>
    <e v="#N/A"/>
    <e v="#N/A"/>
    <x v="11"/>
  </r>
  <r>
    <x v="1488"/>
    <n v="1"/>
    <x v="35"/>
    <x v="0"/>
    <s v="imsPP2:  SA/SMP Produktionen"/>
    <m/>
    <s v="Despotovitch"/>
    <m/>
    <e v="#N/A"/>
    <e v="#N/A"/>
    <e v="#N/A"/>
    <e v="#N/A"/>
    <x v="11"/>
  </r>
  <r>
    <x v="1489"/>
    <n v="2"/>
    <x v="35"/>
    <x v="0"/>
    <s v="imsPP2:  Powerpivot: Level 0-4 Hierarchien in Geo Dim"/>
    <m/>
    <s v="Despotovitch"/>
    <m/>
    <e v="#N/A"/>
    <e v="#N/A"/>
    <e v="#N/A"/>
    <e v="#N/A"/>
    <x v="11"/>
  </r>
  <r>
    <x v="1490"/>
    <n v="2"/>
    <x v="35"/>
    <x v="0"/>
    <s v="imsPP2:  SA/SMP Produktionen"/>
    <m/>
    <s v="Despotovitch"/>
    <m/>
    <e v="#N/A"/>
    <e v="#N/A"/>
    <e v="#N/A"/>
    <e v="#N/A"/>
    <x v="11"/>
  </r>
  <r>
    <x v="1490"/>
    <n v="2"/>
    <x v="35"/>
    <x v="0"/>
    <s v="imsPP2:  Powerpivot: Level 0-4 Hierarchien in Geo Dim"/>
    <m/>
    <s v="Despotovitch"/>
    <m/>
    <e v="#N/A"/>
    <e v="#N/A"/>
    <e v="#N/A"/>
    <e v="#N/A"/>
    <x v="11"/>
  </r>
  <r>
    <x v="1491"/>
    <n v="1"/>
    <x v="35"/>
    <x v="0"/>
    <s v="imsPP2:  Powerpivot Cube Test: Hinzufügen Measure Dim"/>
    <m/>
    <s v="Despotovitch"/>
    <m/>
    <e v="#N/A"/>
    <e v="#N/A"/>
    <e v="#N/A"/>
    <e v="#N/A"/>
    <x v="11"/>
  </r>
  <r>
    <x v="1491"/>
    <n v="1"/>
    <x v="35"/>
    <x v="0"/>
    <s v="Kostenkalkulator: DPMPSN Existing License Datenmodell"/>
    <m/>
    <s v="Pechstein"/>
    <m/>
    <e v="#N/A"/>
    <e v="#N/A"/>
    <e v="#N/A"/>
    <e v="#N/A"/>
    <x v="11"/>
  </r>
  <r>
    <x v="1492"/>
    <n v="1.5"/>
    <x v="35"/>
    <x v="0"/>
    <s v="imsPP2:  Powerpivot Cube Test: Hinzufügen Measure Dim"/>
    <m/>
    <s v="Despotovitch"/>
    <m/>
    <e v="#N/A"/>
    <e v="#N/A"/>
    <e v="#N/A"/>
    <e v="#N/A"/>
    <x v="11"/>
  </r>
  <r>
    <x v="1492"/>
    <n v="1"/>
    <x v="35"/>
    <x v="0"/>
    <s v="Kostenkalkulator: DPMPSN Existing License Datenmodell"/>
    <m/>
    <s v="Pechstein"/>
    <m/>
    <e v="#N/A"/>
    <e v="#N/A"/>
    <e v="#N/A"/>
    <e v="#N/A"/>
    <x v="11"/>
  </r>
  <r>
    <x v="1492"/>
    <n v="1"/>
    <x v="35"/>
    <x v="0"/>
    <s v="Kostenkalkulator: DPMPSN neues Abrechnungsformular"/>
    <m/>
    <s v="Pechstein"/>
    <m/>
    <e v="#N/A"/>
    <e v="#N/A"/>
    <e v="#N/A"/>
    <e v="#N/A"/>
    <x v="11"/>
  </r>
  <r>
    <x v="1492"/>
    <n v="1"/>
    <x v="35"/>
    <x v="0"/>
    <s v="Kostenkalkulator: NPA Berechungsbug"/>
    <m/>
    <s v="Pechstein"/>
    <m/>
    <e v="#N/A"/>
    <e v="#N/A"/>
    <e v="#N/A"/>
    <e v="#N/A"/>
    <x v="11"/>
  </r>
  <r>
    <x v="1493"/>
    <n v="1.5"/>
    <x v="35"/>
    <x v="0"/>
    <s v="imsPP2:  Unterstützung Geo Hierarchie"/>
    <m/>
    <s v="Borchard"/>
    <m/>
    <e v="#N/A"/>
    <e v="#N/A"/>
    <e v="#N/A"/>
    <e v="#N/A"/>
    <x v="11"/>
  </r>
  <r>
    <x v="1493"/>
    <n v="5"/>
    <x v="35"/>
    <x v="0"/>
    <s v="Kostenkalkulator: DPMPSN neuer Angebotsreport"/>
    <m/>
    <s v="Pechstein"/>
    <m/>
    <e v="#N/A"/>
    <e v="#N/A"/>
    <e v="#N/A"/>
    <e v="#N/A"/>
    <x v="11"/>
  </r>
  <r>
    <x v="1493"/>
    <n v="2"/>
    <x v="35"/>
    <x v="0"/>
    <s v="Kostenkalkulator: NPA Überarbeitung Angebotsreport"/>
    <m/>
    <s v="Pechstein"/>
    <m/>
    <e v="#N/A"/>
    <e v="#N/A"/>
    <e v="#N/A"/>
    <e v="#N/A"/>
    <x v="11"/>
  </r>
  <r>
    <x v="1494"/>
    <n v="1"/>
    <x v="35"/>
    <x v="0"/>
    <s v="Kostenkalkulator: NPA Atc Bug"/>
    <m/>
    <s v="Pechstein"/>
    <m/>
    <e v="#N/A"/>
    <e v="#N/A"/>
    <e v="#N/A"/>
    <e v="#N/A"/>
    <x v="11"/>
  </r>
  <r>
    <x v="1495"/>
    <n v="1"/>
    <x v="35"/>
    <x v="0"/>
    <s v="Kostenkalkulator: Anpassung Anforderungen aus UAT Dokument"/>
    <m/>
    <s v="Pechstein"/>
    <m/>
    <e v="#N/A"/>
    <e v="#N/A"/>
    <e v="#N/A"/>
    <e v="#N/A"/>
    <x v="11"/>
  </r>
  <r>
    <x v="1496"/>
    <n v="0.5"/>
    <x v="35"/>
    <x v="0"/>
    <s v="imsPP:  Hochsetzen von ActualMonth auf 201304"/>
    <m/>
    <s v="Hornbruch"/>
    <m/>
    <e v="#N/A"/>
    <e v="#N/A"/>
    <e v="#N/A"/>
    <e v="#N/A"/>
    <x v="11"/>
  </r>
  <r>
    <x v="1496"/>
    <n v="1"/>
    <x v="35"/>
    <x v="0"/>
    <s v="BBH: Loggingmöglichkeiten SSRS"/>
    <m/>
    <s v="Borchard S."/>
    <m/>
    <e v="#N/A"/>
    <e v="#N/A"/>
    <e v="#N/A"/>
    <e v="#N/A"/>
    <x v="11"/>
  </r>
  <r>
    <x v="1496"/>
    <n v="1"/>
    <x v="35"/>
    <x v="0"/>
    <s v="Powercharts: Aufwandsprüfung für neue Anforderungen"/>
    <m/>
    <s v="Netz"/>
    <m/>
    <e v="#N/A"/>
    <e v="#N/A"/>
    <e v="#N/A"/>
    <e v="#N/A"/>
    <x v="11"/>
  </r>
  <r>
    <x v="1496"/>
    <n v="1"/>
    <x v="35"/>
    <x v="0"/>
    <s v="imsPP2:  Überprüfung Accountingdaten PZN7 -&gt; PZN12"/>
    <m/>
    <s v="Borchard"/>
    <m/>
    <e v="#N/A"/>
    <e v="#N/A"/>
    <e v="#N/A"/>
    <e v="#N/A"/>
    <x v="11"/>
  </r>
  <r>
    <x v="1497"/>
    <n v="2"/>
    <x v="35"/>
    <x v="0"/>
    <s v="imsPP2:  Bugfixing 6a-&gt;6s"/>
    <m/>
    <s v="Borchard"/>
    <m/>
    <e v="#N/A"/>
    <e v="#N/A"/>
    <e v="#N/A"/>
    <e v="#N/A"/>
    <x v="11"/>
  </r>
  <r>
    <x v="1497"/>
    <n v="1"/>
    <x v="35"/>
    <x v="0"/>
    <s v="imsPP2:  Support Systemtest"/>
    <m/>
    <s v="Despotovic"/>
    <m/>
    <e v="#N/A"/>
    <e v="#N/A"/>
    <e v="#N/A"/>
    <e v="#N/A"/>
    <x v="11"/>
  </r>
  <r>
    <x v="1497"/>
    <n v="2"/>
    <x v="35"/>
    <x v="0"/>
    <s v="imsPP2:  Accounting"/>
    <m/>
    <s v="Despotovic"/>
    <m/>
    <e v="#N/A"/>
    <e v="#N/A"/>
    <e v="#N/A"/>
    <e v="#N/A"/>
    <x v="11"/>
  </r>
  <r>
    <x v="1497"/>
    <n v="2"/>
    <x v="35"/>
    <x v="0"/>
    <s v="imsPP2:  Powerpivot Cubeerstelleung + Test Systemtest"/>
    <m/>
    <s v="Despotovic"/>
    <m/>
    <e v="#N/A"/>
    <e v="#N/A"/>
    <e v="#N/A"/>
    <e v="#N/A"/>
    <x v="11"/>
  </r>
  <r>
    <x v="1497"/>
    <n v="1"/>
    <x v="35"/>
    <x v="0"/>
    <s v="imsPP2: Systemupdate"/>
    <m/>
    <s v="Despotovic"/>
    <m/>
    <e v="#N/A"/>
    <e v="#N/A"/>
    <e v="#N/A"/>
    <e v="#N/A"/>
    <x v="11"/>
  </r>
  <r>
    <x v="1497"/>
    <n v="3"/>
    <x v="35"/>
    <x v="0"/>
    <s v="imsPP2: neue Features Powerpivot Systemtest"/>
    <m/>
    <s v="Despotovic"/>
    <m/>
    <e v="#N/A"/>
    <e v="#N/A"/>
    <e v="#N/A"/>
    <e v="#N/A"/>
    <x v="11"/>
  </r>
  <r>
    <x v="1498"/>
    <n v="2"/>
    <x v="35"/>
    <x v="0"/>
    <s v="imsPP2: Bugfixing ProdesisExport"/>
    <m/>
    <s v="Despotovic"/>
    <m/>
    <e v="#N/A"/>
    <e v="#N/A"/>
    <e v="#N/A"/>
    <e v="#N/A"/>
    <x v="11"/>
  </r>
  <r>
    <x v="1498"/>
    <n v="2"/>
    <x v="35"/>
    <x v="0"/>
    <s v="imsPP2: Bigfixing ProdesisFileTransfer neuer Server"/>
    <m/>
    <s v="Despotovic"/>
    <m/>
    <e v="#N/A"/>
    <e v="#N/A"/>
    <e v="#N/A"/>
    <e v="#N/A"/>
    <x v="11"/>
  </r>
  <r>
    <x v="1498"/>
    <n v="1"/>
    <x v="35"/>
    <x v="0"/>
    <s v="imsPP2: Systemupdate"/>
    <m/>
    <s v="Despotovic"/>
    <m/>
    <e v="#N/A"/>
    <e v="#N/A"/>
    <e v="#N/A"/>
    <e v="#N/A"/>
    <x v="11"/>
  </r>
  <r>
    <x v="1498"/>
    <n v="3"/>
    <x v="35"/>
    <x v="0"/>
    <s v="imsPP2: Überarbeitung Logging (mehr Details)"/>
    <m/>
    <s v="Despotovic"/>
    <m/>
    <e v="#N/A"/>
    <e v="#N/A"/>
    <e v="#N/A"/>
    <e v="#N/A"/>
    <x v="11"/>
  </r>
  <r>
    <x v="1499"/>
    <n v="3"/>
    <x v="35"/>
    <x v="0"/>
    <s v="imsPP2: Fix Prodesisversand http Proxy"/>
    <m/>
    <s v="Despotovic"/>
    <m/>
    <e v="#N/A"/>
    <e v="#N/A"/>
    <e v="#N/A"/>
    <e v="#N/A"/>
    <x v="11"/>
  </r>
  <r>
    <x v="1499"/>
    <n v="1"/>
    <x v="35"/>
    <x v="0"/>
    <s v="Kostenkalkulator: NPA neues Berichtsformular"/>
    <m/>
    <s v="Pechstein"/>
    <m/>
    <e v="#N/A"/>
    <e v="#N/A"/>
    <e v="#N/A"/>
    <e v="#N/A"/>
    <x v="11"/>
  </r>
  <r>
    <x v="1499"/>
    <n v="1"/>
    <x v="35"/>
    <x v="0"/>
    <s v="Powercharts: 28P Territory Structure Fehler"/>
    <m/>
    <s v="Netz"/>
    <m/>
    <e v="#N/A"/>
    <e v="#N/A"/>
    <e v="#N/A"/>
    <e v="#N/A"/>
    <x v="11"/>
  </r>
  <r>
    <x v="1500"/>
    <n v="2"/>
    <x v="35"/>
    <x v="0"/>
    <s v="imsPP2: ReportId Eindeutigkeit entfernt"/>
    <m/>
    <s v="Despotovic"/>
    <m/>
    <e v="#N/A"/>
    <e v="#N/A"/>
    <e v="#N/A"/>
    <e v="#N/A"/>
    <x v="11"/>
  </r>
  <r>
    <x v="1500"/>
    <n v="1"/>
    <x v="35"/>
    <x v="0"/>
    <s v="imsPP2: neue Version eingespielt"/>
    <m/>
    <s v="Despotovic"/>
    <m/>
    <e v="#N/A"/>
    <e v="#N/A"/>
    <e v="#N/A"/>
    <e v="#N/A"/>
    <x v="11"/>
  </r>
  <r>
    <x v="1500"/>
    <n v="2"/>
    <x v="35"/>
    <x v="0"/>
    <s v="Kostenkalkulator: Anpassung Anforderungen aus UAT Dokument"/>
    <m/>
    <s v="Pechstein"/>
    <m/>
    <e v="#N/A"/>
    <e v="#N/A"/>
    <e v="#N/A"/>
    <e v="#N/A"/>
    <x v="11"/>
  </r>
  <r>
    <x v="1501"/>
    <n v="2"/>
    <x v="35"/>
    <x v="0"/>
    <s v="Powercharts: Microcharts "/>
    <m/>
    <s v="Netz"/>
    <m/>
    <e v="#N/A"/>
    <e v="#N/A"/>
    <e v="#N/A"/>
    <e v="#N/A"/>
    <x v="11"/>
  </r>
  <r>
    <x v="1501"/>
    <n v="0.5"/>
    <x v="35"/>
    <x v="0"/>
    <s v="imsPP2: Telefonmeeting"/>
    <m/>
    <s v="Despotovic"/>
    <m/>
    <e v="#N/A"/>
    <e v="#N/A"/>
    <e v="#N/A"/>
    <e v="#N/A"/>
    <x v="11"/>
  </r>
  <r>
    <x v="1501"/>
    <n v="3"/>
    <x v="35"/>
    <x v="0"/>
    <s v="Kostenkalkulator: DPMPSN Berechnungsdaten"/>
    <m/>
    <s v="Pechstein"/>
    <m/>
    <e v="#N/A"/>
    <e v="#N/A"/>
    <e v="#N/A"/>
    <e v="#N/A"/>
    <x v="11"/>
  </r>
  <r>
    <x v="1502"/>
    <n v="5"/>
    <x v="35"/>
    <x v="0"/>
    <s v="Kostenkalkulator: DPMPSN Berechnungsdaten"/>
    <m/>
    <s v="Pechstein"/>
    <m/>
    <e v="#N/A"/>
    <e v="#N/A"/>
    <e v="#N/A"/>
    <e v="#N/A"/>
    <x v="11"/>
  </r>
  <r>
    <x v="1502"/>
    <n v="3"/>
    <x v="35"/>
    <x v="0"/>
    <s v="Powercharts: 3 Facts nebeneinander"/>
    <m/>
    <s v="Schilly"/>
    <m/>
    <e v="#N/A"/>
    <e v="#N/A"/>
    <e v="#N/A"/>
    <e v="#N/A"/>
    <x v="11"/>
  </r>
  <r>
    <x v="1503"/>
    <n v="6"/>
    <x v="35"/>
    <x v="0"/>
    <s v="Powercharts: Marktanteilsentwicklung SM Euro + Pack"/>
    <m/>
    <s v="Netz"/>
    <m/>
    <e v="#N/A"/>
    <e v="#N/A"/>
    <e v="#N/A"/>
    <e v="#N/A"/>
    <x v="11"/>
  </r>
  <r>
    <x v="1504"/>
    <n v="0.5"/>
    <x v="35"/>
    <x v="0"/>
    <s v="imsPP2: Support Update Datenbank"/>
    <m/>
    <s v="Despotovic"/>
    <m/>
    <e v="#N/A"/>
    <e v="#N/A"/>
    <e v="#N/A"/>
    <e v="#N/A"/>
    <x v="11"/>
  </r>
  <r>
    <x v="1504"/>
    <n v="4"/>
    <x v="35"/>
    <x v="0"/>
    <s v="Powercharts: Marktanteilsentwicklung SM Euro + Pack"/>
    <m/>
    <s v="Netz"/>
    <m/>
    <e v="#N/A"/>
    <e v="#N/A"/>
    <e v="#N/A"/>
    <e v="#N/A"/>
    <x v="11"/>
  </r>
  <r>
    <x v="1504"/>
    <n v="4"/>
    <x v="35"/>
    <x v="0"/>
    <s v="Powercharts: Apothekenmarkt Absatzveränderung"/>
    <m/>
    <s v="Netz"/>
    <m/>
    <e v="#N/A"/>
    <e v="#N/A"/>
    <e v="#N/A"/>
    <e v="#N/A"/>
    <x v="11"/>
  </r>
  <r>
    <x v="1505"/>
    <n v="2"/>
    <x v="35"/>
    <x v="0"/>
    <s v="Powercharts: Datalabels Formatierung"/>
    <m/>
    <s v="Netz"/>
    <m/>
    <e v="#N/A"/>
    <e v="#N/A"/>
    <e v="#N/A"/>
    <e v="#N/A"/>
    <x v="11"/>
  </r>
  <r>
    <x v="1505"/>
    <n v="0.5"/>
    <x v="35"/>
    <x v="0"/>
    <s v="imsPP2: Support Datenpflege"/>
    <m/>
    <s v="Despotovic"/>
    <m/>
    <e v="#N/A"/>
    <e v="#N/A"/>
    <e v="#N/A"/>
    <e v="#N/A"/>
    <x v="11"/>
  </r>
  <r>
    <x v="1505"/>
    <n v="1"/>
    <x v="35"/>
    <x v="0"/>
    <s v="imsPP2: Support Datenpflege"/>
    <m/>
    <s v="Despotovic"/>
    <m/>
    <e v="#N/A"/>
    <e v="#N/A"/>
    <e v="#N/A"/>
    <e v="#N/A"/>
    <x v="11"/>
  </r>
  <r>
    <x v="1505"/>
    <n v="3"/>
    <x v="35"/>
    <x v="0"/>
    <s v="imsPP2: Eindeutigkeit ReportId und Unixmaschine in Produktionspflege"/>
    <m/>
    <s v="Despotovic"/>
    <m/>
    <e v="#N/A"/>
    <e v="#N/A"/>
    <e v="#N/A"/>
    <e v="#N/A"/>
    <x v="11"/>
  </r>
  <r>
    <x v="1505"/>
    <n v="2"/>
    <x v="35"/>
    <x v="0"/>
    <s v="imsPP2: Systemupdate + Support Datenpflege"/>
    <m/>
    <s v="Despotovic"/>
    <m/>
    <e v="#N/A"/>
    <e v="#N/A"/>
    <e v="#N/A"/>
    <e v="#N/A"/>
    <x v="11"/>
  </r>
  <r>
    <x v="1506"/>
    <n v="1"/>
    <x v="35"/>
    <x v="0"/>
    <s v="imsPP2: Support Datenpflege"/>
    <m/>
    <s v="Despotovic"/>
    <m/>
    <e v="#N/A"/>
    <e v="#N/A"/>
    <e v="#N/A"/>
    <e v="#N/A"/>
    <x v="11"/>
  </r>
  <r>
    <x v="1506"/>
    <n v="5"/>
    <x v="35"/>
    <x v="0"/>
    <s v="Sapping: Zähleinheiten"/>
    <m/>
    <s v="Günther"/>
    <m/>
    <e v="#N/A"/>
    <e v="#N/A"/>
    <e v="#N/A"/>
    <e v="#N/A"/>
    <x v="11"/>
  </r>
  <r>
    <x v="1506"/>
    <n v="2"/>
    <x v="35"/>
    <x v="0"/>
    <s v="Powercharts: Datalabels Formatierung"/>
    <m/>
    <s v="Netz"/>
    <m/>
    <e v="#N/A"/>
    <e v="#N/A"/>
    <e v="#N/A"/>
    <e v="#N/A"/>
    <x v="11"/>
  </r>
  <r>
    <x v="1506"/>
    <n v="2"/>
    <x v="35"/>
    <x v="0"/>
    <s v="Powercharts: Linechart Formatierung und Korrektur für 2215 DB"/>
    <m/>
    <s v="Netz"/>
    <m/>
    <e v="#N/A"/>
    <e v="#N/A"/>
    <e v="#N/A"/>
    <e v="#N/A"/>
    <x v="11"/>
  </r>
  <r>
    <x v="1507"/>
    <n v="2"/>
    <x v="35"/>
    <x v="0"/>
    <s v="imsPP2: Support Test Vorbereitung"/>
    <m/>
    <s v="Despotovic"/>
    <m/>
    <e v="#N/A"/>
    <e v="#N/A"/>
    <e v="#N/A"/>
    <e v="#N/A"/>
    <x v="11"/>
  </r>
  <r>
    <x v="1507"/>
    <n v="4"/>
    <x v="35"/>
    <x v="0"/>
    <s v="imsPP2: Support Test "/>
    <m/>
    <s v="Despotovic"/>
    <m/>
    <e v="#N/A"/>
    <e v="#N/A"/>
    <e v="#N/A"/>
    <e v="#N/A"/>
    <x v="11"/>
  </r>
  <r>
    <x v="1508"/>
    <n v="2"/>
    <x v="35"/>
    <x v="0"/>
    <s v="Kostenkalkulator: Installation neue Version inkl. Basispreisberechnung"/>
    <m/>
    <s v="Pechstein"/>
    <m/>
    <e v="#N/A"/>
    <e v="#N/A"/>
    <e v="#N/A"/>
    <e v="#N/A"/>
    <x v="11"/>
  </r>
  <r>
    <x v="1508"/>
    <n v="2"/>
    <x v="35"/>
    <x v="0"/>
    <s v="imsPP2: Logging Bugfixing"/>
    <m/>
    <s v="Borchard"/>
    <m/>
    <e v="#N/A"/>
    <e v="#N/A"/>
    <e v="#N/A"/>
    <e v="#N/A"/>
    <x v="11"/>
  </r>
  <r>
    <x v="1509"/>
    <n v="2"/>
    <x v="35"/>
    <x v="0"/>
    <s v="Kostenkalkulator: Installation neue Version inkl. Basispreisberechnung"/>
    <m/>
    <s v="Pechstein"/>
    <m/>
    <e v="#N/A"/>
    <e v="#N/A"/>
    <e v="#N/A"/>
    <e v="#N/A"/>
    <x v="11"/>
  </r>
  <r>
    <x v="1510"/>
    <n v="1"/>
    <x v="35"/>
    <x v="0"/>
    <s v="imsPP2: Ignore + Prodesis Zip"/>
    <m/>
    <s v="Borchard"/>
    <m/>
    <e v="#N/A"/>
    <e v="#N/A"/>
    <e v="#N/A"/>
    <e v="#N/A"/>
    <x v="11"/>
  </r>
  <r>
    <x v="1511"/>
    <n v="2"/>
    <x v="35"/>
    <x v="0"/>
    <s v="imsPP2: Ignore + Prodesis Zip"/>
    <m/>
    <s v="Borchard"/>
    <m/>
    <e v="#N/A"/>
    <e v="#N/A"/>
    <e v="#N/A"/>
    <e v="#N/A"/>
    <x v="11"/>
  </r>
  <r>
    <x v="1511"/>
    <n v="1"/>
    <x v="35"/>
    <x v="0"/>
    <s v="Powercharts: Bug PTRS8R_DE_M_Bionorica_2220 "/>
    <m/>
    <s v="Netz"/>
    <m/>
    <e v="#N/A"/>
    <e v="#N/A"/>
    <e v="#N/A"/>
    <e v="#N/A"/>
    <x v="11"/>
  </r>
  <r>
    <x v="1511"/>
    <n v="0.5"/>
    <x v="35"/>
    <x v="0"/>
    <s v="imsPP2: Besprechung Ignore + Prodesis Zip"/>
    <m/>
    <s v="Despotovic"/>
    <m/>
    <e v="#N/A"/>
    <e v="#N/A"/>
    <e v="#N/A"/>
    <e v="#N/A"/>
    <x v="11"/>
  </r>
  <r>
    <x v="1511"/>
    <n v="4"/>
    <x v="35"/>
    <x v="0"/>
    <s v="imsPP2: Ignore + Prodesis Zip"/>
    <m/>
    <s v="Despotovic"/>
    <m/>
    <e v="#N/A"/>
    <e v="#N/A"/>
    <e v="#N/A"/>
    <e v="#N/A"/>
    <x v="11"/>
  </r>
  <r>
    <x v="1512"/>
    <n v="3"/>
    <x v="35"/>
    <x v="0"/>
    <s v="imsPP2: Ignore + Prodesis Zip"/>
    <m/>
    <s v="Despotovic"/>
    <m/>
    <e v="#N/A"/>
    <e v="#N/A"/>
    <e v="#N/A"/>
    <e v="#N/A"/>
    <x v="11"/>
  </r>
  <r>
    <x v="1513"/>
    <n v="2"/>
    <x v="35"/>
    <x v="0"/>
    <s v="imsPP2: ProductionUsed Default"/>
    <m/>
    <s v="Despotovic"/>
    <m/>
    <e v="#N/A"/>
    <e v="#N/A"/>
    <e v="#N/A"/>
    <e v="#N/A"/>
    <x v="11"/>
  </r>
  <r>
    <x v="1513"/>
    <n v="2"/>
    <x v="35"/>
    <x v="0"/>
    <s v="imsPP2: Ignore + Prodesis Zip + erste Tests"/>
    <m/>
    <s v="Despotovic"/>
    <m/>
    <e v="#N/A"/>
    <e v="#N/A"/>
    <e v="#N/A"/>
    <e v="#N/A"/>
    <x v="11"/>
  </r>
  <r>
    <x v="1513"/>
    <n v="4"/>
    <x v="35"/>
    <x v="0"/>
    <s v="imsPP2: Refresh SA/SMP Checklist"/>
    <m/>
    <s v="Despotovic"/>
    <m/>
    <e v="#N/A"/>
    <e v="#N/A"/>
    <e v="#N/A"/>
    <e v="#N/A"/>
    <x v="11"/>
  </r>
  <r>
    <x v="1514"/>
    <n v="1"/>
    <x v="35"/>
    <x v="0"/>
    <s v="imsPP2: Support Silverlight"/>
    <m/>
    <s v="Gütig"/>
    <m/>
    <e v="#N/A"/>
    <e v="#N/A"/>
    <e v="#N/A"/>
    <e v="#N/A"/>
    <x v="11"/>
  </r>
  <r>
    <x v="1514"/>
    <n v="1"/>
    <x v="35"/>
    <x v="0"/>
    <s v="imsPP2: Statusliste + Liste Aktueller Monat"/>
    <m/>
    <s v="Despotovic"/>
    <m/>
    <e v="#N/A"/>
    <e v="#N/A"/>
    <e v="#N/A"/>
    <e v="#N/A"/>
    <x v="11"/>
  </r>
  <r>
    <x v="1514"/>
    <n v="2"/>
    <x v="35"/>
    <x v="0"/>
    <s v="imsPP2: Ignore + Prodesis Zip Oberflächenanpassung"/>
    <m/>
    <s v="Despotovic"/>
    <m/>
    <e v="#N/A"/>
    <e v="#N/A"/>
    <e v="#N/A"/>
    <e v="#N/A"/>
    <x v="11"/>
  </r>
  <r>
    <x v="1514"/>
    <n v="2"/>
    <x v="35"/>
    <x v="0"/>
    <s v="Powercharts: Microfacts 3 facts untereinander"/>
    <m/>
    <s v="Netz"/>
    <m/>
    <e v="#N/A"/>
    <e v="#N/A"/>
    <e v="#N/A"/>
    <e v="#N/A"/>
    <x v="11"/>
  </r>
  <r>
    <x v="1515"/>
    <n v="1"/>
    <x v="35"/>
    <x v="0"/>
    <s v="imsPP: Support Status 0a Disk D:"/>
    <m/>
    <s v="Borchard"/>
    <m/>
    <e v="#N/A"/>
    <e v="#N/A"/>
    <e v="#N/A"/>
    <e v="#N/A"/>
    <x v="11"/>
  </r>
  <r>
    <x v="1515"/>
    <n v="4"/>
    <x v="35"/>
    <x v="0"/>
    <s v="imsPP2: Ignore + Prodesis Zip + Tests"/>
    <m/>
    <s v="Despotovic"/>
    <m/>
    <e v="#N/A"/>
    <e v="#N/A"/>
    <e v="#N/A"/>
    <e v="#N/A"/>
    <x v="11"/>
  </r>
  <r>
    <x v="1515"/>
    <n v="3"/>
    <x v="35"/>
    <x v="0"/>
    <s v="Powercharts: Marktanteilsentwicklung Euro + Pack"/>
    <m/>
    <s v="Netz"/>
    <m/>
    <e v="#N/A"/>
    <e v="#N/A"/>
    <e v="#N/A"/>
    <e v="#N/A"/>
    <x v="11"/>
  </r>
  <r>
    <x v="1516"/>
    <n v="5"/>
    <x v="35"/>
    <x v="0"/>
    <s v="Powercharts: Marktanteilsentwicklung Euro + Pack"/>
    <m/>
    <s v="Netz"/>
    <m/>
    <e v="#N/A"/>
    <e v="#N/A"/>
    <e v="#N/A"/>
    <e v="#N/A"/>
    <x v="11"/>
  </r>
  <r>
    <x v="1516"/>
    <n v="1"/>
    <x v="35"/>
    <x v="0"/>
    <s v="imsPP: Support PP1 RVM"/>
    <m/>
    <s v="Neumer"/>
    <m/>
    <e v="#N/A"/>
    <e v="#N/A"/>
    <e v="#N/A"/>
    <e v="#N/A"/>
    <x v="11"/>
  </r>
  <r>
    <x v="1517"/>
    <n v="1"/>
    <x v="35"/>
    <x v="0"/>
    <s v="imsPP: Support PP1 Startprobleme"/>
    <m/>
    <s v="Hornbruch"/>
    <m/>
    <e v="#N/A"/>
    <e v="#N/A"/>
    <e v="#N/A"/>
    <e v="#N/A"/>
    <x v="11"/>
  </r>
  <r>
    <x v="1517"/>
    <n v="1"/>
    <x v="35"/>
    <x v="0"/>
    <s v="Powercharts: Marktanteilsentwicklung Korrektur Vertriebskanal"/>
    <m/>
    <s v="Netz"/>
    <m/>
    <e v="#N/A"/>
    <e v="#N/A"/>
    <e v="#N/A"/>
    <e v="#N/A"/>
    <x v="11"/>
  </r>
  <r>
    <x v="1517"/>
    <n v="5"/>
    <x v="35"/>
    <x v="0"/>
    <s v="imsPP: Einbau Weiche für planned productions aus PP2"/>
    <m/>
    <s v="Borchard"/>
    <m/>
    <e v="#N/A"/>
    <e v="#N/A"/>
    <e v="#N/A"/>
    <e v="#N/A"/>
    <x v="11"/>
  </r>
  <r>
    <x v="1518"/>
    <n v="3"/>
    <x v="35"/>
    <x v="0"/>
    <s v="imsPP: Einbau Weiche für planned productions aus PP2 + Test"/>
    <m/>
    <s v="Borchard"/>
    <m/>
    <e v="#N/A"/>
    <e v="#N/A"/>
    <e v="#N/A"/>
    <e v="#N/A"/>
    <x v="11"/>
  </r>
  <r>
    <x v="1518"/>
    <n v="5"/>
    <x v="35"/>
    <x v="0"/>
    <s v="imsPP2: Report Soll Ist"/>
    <m/>
    <s v="Borchard"/>
    <m/>
    <e v="#N/A"/>
    <e v="#N/A"/>
    <e v="#N/A"/>
    <e v="#N/A"/>
    <x v="11"/>
  </r>
  <r>
    <x v="1519"/>
    <n v="4"/>
    <x v="35"/>
    <x v="0"/>
    <s v="Kostenkalkulator: DPMPSN + NPA neue Reports"/>
    <m/>
    <s v="Pechstein"/>
    <m/>
    <e v="#N/A"/>
    <e v="#N/A"/>
    <e v="#N/A"/>
    <e v="#N/A"/>
    <x v="11"/>
  </r>
  <r>
    <x v="1520"/>
    <n v="1"/>
    <x v="35"/>
    <x v="0"/>
    <s v="imsPP2: Dokumentation"/>
    <m/>
    <s v="Despotovic"/>
    <m/>
    <e v="#N/A"/>
    <e v="#N/A"/>
    <e v="#N/A"/>
    <e v="#N/A"/>
    <x v="11"/>
  </r>
  <r>
    <x v="1520"/>
    <n v="2"/>
    <x v="35"/>
    <x v="0"/>
    <s v="Kostenkalkulator: DPMPSN + NPA neue Reports"/>
    <m/>
    <s v="Pechstein"/>
    <m/>
    <e v="#N/A"/>
    <e v="#N/A"/>
    <e v="#N/A"/>
    <e v="#N/A"/>
    <x v="11"/>
  </r>
  <r>
    <x v="1521"/>
    <n v="3"/>
    <x v="35"/>
    <x v="0"/>
    <s v="imsPP1: Einbau Weiche, Bugfixes + Setup neue Version"/>
    <m/>
    <s v="Borchard"/>
    <m/>
    <e v="#N/A"/>
    <e v="#N/A"/>
    <e v="#N/A"/>
    <e v="#N/A"/>
    <x v="11"/>
  </r>
  <r>
    <x v="1521"/>
    <n v="1"/>
    <x v="35"/>
    <x v="0"/>
    <s v="imsPP1: Aktualisierung Datenbank und Abgleich mit aktuell installierter Version"/>
    <m/>
    <s v="Hornbruch"/>
    <m/>
    <e v="#N/A"/>
    <e v="#N/A"/>
    <e v="#N/A"/>
    <e v="#N/A"/>
    <x v="11"/>
  </r>
  <r>
    <x v="1521"/>
    <n v="3"/>
    <x v="35"/>
    <x v="0"/>
    <s v="Powercharts: [PERIOD].[Kalendarjahre - Halbjahr - Monat] Prüfung für 11 chars"/>
    <m/>
    <s v="Netz"/>
    <m/>
    <e v="#N/A"/>
    <e v="#N/A"/>
    <e v="#N/A"/>
    <e v="#N/A"/>
    <x v="11"/>
  </r>
  <r>
    <x v="1522"/>
    <n v="1"/>
    <x v="35"/>
    <x v="0"/>
    <s v="imsPP2: Support "/>
    <m/>
    <s v="Borchard"/>
    <m/>
    <e v="#N/A"/>
    <e v="#N/A"/>
    <e v="#N/A"/>
    <e v="#N/A"/>
    <x v="11"/>
  </r>
  <r>
    <x v="1522"/>
    <n v="1"/>
    <x v="35"/>
    <x v="0"/>
    <s v="Powercharts: Support Fehlermeldung PTRMISFL_DE_M_HEEL_2242"/>
    <m/>
    <s v="Netz"/>
    <m/>
    <e v="#N/A"/>
    <e v="#N/A"/>
    <e v="#N/A"/>
    <e v="#N/A"/>
    <x v="11"/>
  </r>
  <r>
    <x v="1522"/>
    <n v="6"/>
    <x v="35"/>
    <x v="0"/>
    <s v="Kostenkalkulator: DPMPSN + NPA Oberfläche, Rabatt + Validierung"/>
    <m/>
    <s v="Pechstein"/>
    <m/>
    <e v="#N/A"/>
    <e v="#N/A"/>
    <e v="#N/A"/>
    <e v="#N/A"/>
    <x v="11"/>
  </r>
  <r>
    <x v="1523"/>
    <n v="8"/>
    <x v="35"/>
    <x v="0"/>
    <s v="Kostenkalkulator: Kostenformulare NPA + DPMPSN"/>
    <m/>
    <s v="Pechstein"/>
    <m/>
    <e v="#N/A"/>
    <e v="#N/A"/>
    <e v="#N/A"/>
    <e v="#N/A"/>
    <x v="11"/>
  </r>
  <r>
    <x v="1524"/>
    <n v="3"/>
    <x v="35"/>
    <x v="0"/>
    <s v="Powercharts: [PERIOD].[Kalendarjahre - Halbjahr - Monat] Bugfixing + neue Version"/>
    <m/>
    <s v="Netz"/>
    <m/>
    <e v="#N/A"/>
    <e v="#N/A"/>
    <e v="#N/A"/>
    <e v="#N/A"/>
    <x v="11"/>
  </r>
  <r>
    <x v="1524"/>
    <n v="3"/>
    <x v="35"/>
    <x v="0"/>
    <s v="imsPP2: Live Test Support + Bugfixing"/>
    <m/>
    <s v="Borchard"/>
    <m/>
    <e v="#N/A"/>
    <e v="#N/A"/>
    <e v="#N/A"/>
    <e v="#N/A"/>
    <x v="11"/>
  </r>
  <r>
    <x v="1524"/>
    <n v="2"/>
    <x v="35"/>
    <x v="0"/>
    <s v="imsPP2: Statusreport Details"/>
    <m/>
    <s v="Despotovic"/>
    <m/>
    <e v="#N/A"/>
    <e v="#N/A"/>
    <e v="#N/A"/>
    <e v="#N/A"/>
    <x v="11"/>
  </r>
  <r>
    <x v="1525"/>
    <n v="4"/>
    <x v="35"/>
    <x v="0"/>
    <s v="imsPP2: Bugfixing App Crash bei Sortierung Outputchecks"/>
    <m/>
    <s v="Borchard"/>
    <m/>
    <e v="#N/A"/>
    <e v="#N/A"/>
    <e v="#N/A"/>
    <e v="#N/A"/>
    <x v="11"/>
  </r>
  <r>
    <x v="1526"/>
    <n v="7"/>
    <x v="35"/>
    <x v="0"/>
    <s v="imsPP2: Powerpivot Cube Relationsships + sichtbarer Report für Versionen &lt; 2013"/>
    <m/>
    <s v="Despotovic"/>
    <m/>
    <e v="#N/A"/>
    <e v="#N/A"/>
    <e v="#N/A"/>
    <e v="#N/A"/>
    <x v="11"/>
  </r>
  <r>
    <x v="1526"/>
    <n v="1"/>
    <x v="35"/>
    <x v="0"/>
    <s v="Kostenkalkulator: UAT vom 5.7.2013"/>
    <m/>
    <s v="Pechstein"/>
    <m/>
    <e v="#N/A"/>
    <e v="#N/A"/>
    <e v="#N/A"/>
    <e v="#N/A"/>
    <x v="11"/>
  </r>
  <r>
    <x v="1527"/>
    <n v="3"/>
    <x v="35"/>
    <x v="0"/>
    <s v="Kostenkalkulator: UAT vom 5.7.2013"/>
    <m/>
    <s v="Pechstein"/>
    <m/>
    <e v="#N/A"/>
    <e v="#N/A"/>
    <e v="#N/A"/>
    <e v="#N/A"/>
    <x v="11"/>
  </r>
  <r>
    <x v="1527"/>
    <n v="4"/>
    <x v="35"/>
    <x v="0"/>
    <s v="imsPP2: Powerpivot Cube Relationsships + sichtbarer Report für Versionen &lt; 2013"/>
    <m/>
    <s v="Despotovic"/>
    <m/>
    <e v="#N/A"/>
    <e v="#N/A"/>
    <e v="#N/A"/>
    <e v="#N/A"/>
    <x v="11"/>
  </r>
  <r>
    <x v="1528"/>
    <n v="3"/>
    <x v="35"/>
    <x v="0"/>
    <s v="imsPP2: Besprechung Frankfurt"/>
    <m/>
    <s v="Despotovic"/>
    <m/>
    <e v="#N/A"/>
    <e v="#N/A"/>
    <e v="#N/A"/>
    <e v="#N/A"/>
    <x v="11"/>
  </r>
  <r>
    <x v="1528"/>
    <n v="2"/>
    <x v="35"/>
    <x v="0"/>
    <s v="Kostenkalkulator: Besprechung Frankfurt"/>
    <m/>
    <s v="Pechstein"/>
    <m/>
    <e v="#N/A"/>
    <e v="#N/A"/>
    <e v="#N/A"/>
    <e v="#N/A"/>
    <x v="11"/>
  </r>
  <r>
    <x v="1529"/>
    <n v="1"/>
    <x v="35"/>
    <x v="0"/>
    <s v="imsPP2: ProductionStatus Detail Report"/>
    <m/>
    <s v="Despotovic"/>
    <m/>
    <e v="#N/A"/>
    <e v="#N/A"/>
    <e v="#N/A"/>
    <e v="#N/A"/>
    <x v="11"/>
  </r>
  <r>
    <x v="1529"/>
    <n v="1"/>
    <x v="35"/>
    <x v="0"/>
    <s v="imsPP2: ProductionStatus Piechart Report"/>
    <m/>
    <s v="Despotovic"/>
    <m/>
    <e v="#N/A"/>
    <e v="#N/A"/>
    <e v="#N/A"/>
    <e v="#N/A"/>
    <x v="11"/>
  </r>
  <r>
    <x v="1529"/>
    <n v="4"/>
    <x v="35"/>
    <x v="0"/>
    <s v="imsPP2: Bugfix Fehler: tried to add same Key another time"/>
    <m/>
    <s v="Despotovic"/>
    <m/>
    <e v="#N/A"/>
    <e v="#N/A"/>
    <e v="#N/A"/>
    <e v="#N/A"/>
    <x v="11"/>
  </r>
  <r>
    <x v="1530"/>
    <n v="4"/>
    <x v="35"/>
    <x v="0"/>
    <s v="imsPP2: Nicht Berücksichtigung von Backdata bei ProdesisExport"/>
    <m/>
    <s v="Despotovic"/>
    <m/>
    <e v="#N/A"/>
    <e v="#N/A"/>
    <e v="#N/A"/>
    <e v="#N/A"/>
    <x v="11"/>
  </r>
  <r>
    <x v="1531"/>
    <n v="5"/>
    <x v="35"/>
    <x v="0"/>
    <s v="imsPP2: UAT: ProdesisZip2, SA/SMP, Prodkey Backdata nicht auf 9a"/>
    <m/>
    <s v="Despotovic"/>
    <m/>
    <e v="#N/A"/>
    <e v="#N/A"/>
    <e v="#N/A"/>
    <e v="#N/A"/>
    <x v="11"/>
  </r>
  <r>
    <x v="1531"/>
    <n v="1"/>
    <x v="35"/>
    <x v="0"/>
    <s v="imsPP1: Support Datenbankverbindung"/>
    <m/>
    <s v="Hornbruch"/>
    <m/>
    <e v="#N/A"/>
    <e v="#N/A"/>
    <e v="#N/A"/>
    <e v="#N/A"/>
    <x v="11"/>
  </r>
  <r>
    <x v="1531"/>
    <n v="1"/>
    <x v="35"/>
    <x v="0"/>
    <s v="imsPP2: UAT: Statusreport Details, Bugfix Pivottabellenerstellung"/>
    <m/>
    <s v="Despotovic"/>
    <m/>
    <e v="#N/A"/>
    <e v="#N/A"/>
    <e v="#N/A"/>
    <e v="#N/A"/>
    <x v="11"/>
  </r>
  <r>
    <x v="1532"/>
    <n v="1"/>
    <x v="35"/>
    <x v="0"/>
    <s v="Kostenkalkulator: Telefonmeeting"/>
    <m/>
    <s v="Pechstein"/>
    <m/>
    <e v="#N/A"/>
    <e v="#N/A"/>
    <e v="#N/A"/>
    <e v="#N/A"/>
    <x v="11"/>
  </r>
  <r>
    <x v="1532"/>
    <n v="6"/>
    <x v="35"/>
    <x v="0"/>
    <s v="imsPP2: UAT: Exportfilter, Sortierung Productionplan, Prio3 Standard"/>
    <m/>
    <s v="Despotovic"/>
    <m/>
    <e v="#N/A"/>
    <e v="#N/A"/>
    <e v="#N/A"/>
    <e v="#N/A"/>
    <x v="11"/>
  </r>
  <r>
    <x v="1533"/>
    <n v="6"/>
    <x v="35"/>
    <x v="0"/>
    <s v="Kostenkalkulator: Redesign Datenbank DPMPSN"/>
    <m/>
    <s v="Pechstein"/>
    <m/>
    <e v="#N/A"/>
    <e v="#N/A"/>
    <e v="#N/A"/>
    <e v="#N/A"/>
    <x v="11"/>
  </r>
  <r>
    <x v="1533"/>
    <n v="2"/>
    <x v="35"/>
    <x v="0"/>
    <s v="imsPP2: UAT: Statusreport Details, Manuelle Freigaben Farbcodierung"/>
    <m/>
    <s v="Despotovic"/>
    <m/>
    <e v="#N/A"/>
    <e v="#N/A"/>
    <e v="#N/A"/>
    <e v="#N/A"/>
    <x v="11"/>
  </r>
  <r>
    <x v="1534"/>
    <n v="6"/>
    <x v="35"/>
    <x v="0"/>
    <s v="Kostenkalkulator: Redesign Datenbank DPMPSN"/>
    <m/>
    <s v="Pechstein"/>
    <m/>
    <e v="#N/A"/>
    <e v="#N/A"/>
    <e v="#N/A"/>
    <e v="#N/A"/>
    <x v="11"/>
  </r>
  <r>
    <x v="1535"/>
    <n v="6"/>
    <x v="35"/>
    <x v="0"/>
    <s v="Kostenkalkulator: Redesign Datenbank DPMPSN"/>
    <m/>
    <s v="Pechstein"/>
    <m/>
    <e v="#N/A"/>
    <e v="#N/A"/>
    <e v="#N/A"/>
    <e v="#N/A"/>
    <x v="11"/>
  </r>
  <r>
    <x v="1536"/>
    <n v="8"/>
    <x v="35"/>
    <x v="0"/>
    <s v="imsPP2: UAT: Zugriff Ascii +  Editor Einstellungen"/>
    <m/>
    <s v="Despotovic"/>
    <m/>
    <e v="#N/A"/>
    <e v="#N/A"/>
    <e v="#N/A"/>
    <e v="#N/A"/>
    <x v="11"/>
  </r>
  <r>
    <x v="1537"/>
    <n v="2"/>
    <x v="35"/>
    <x v="0"/>
    <s v="Kostenkalkulator: DPMPSN Anpassung Datenschnittstelle"/>
    <m/>
    <s v="Pechstein"/>
    <m/>
    <e v="#N/A"/>
    <e v="#N/A"/>
    <e v="#N/A"/>
    <e v="#N/A"/>
    <x v="11"/>
  </r>
  <r>
    <x v="1537"/>
    <n v="1"/>
    <x v="35"/>
    <x v="0"/>
    <s v="imsPP2: neue Version eingespielt"/>
    <m/>
    <s v="Despotovic"/>
    <m/>
    <e v="#N/A"/>
    <e v="#N/A"/>
    <e v="#N/A"/>
    <e v="#N/A"/>
    <x v="11"/>
  </r>
  <r>
    <x v="1537"/>
    <n v="1"/>
    <x v="35"/>
    <x v="0"/>
    <s v="imsPP2: Bugfixing Powerpivot Cube Erstellung"/>
    <m/>
    <s v="Despotovic"/>
    <m/>
    <e v="#N/A"/>
    <e v="#N/A"/>
    <e v="#N/A"/>
    <e v="#N/A"/>
    <x v="11"/>
  </r>
  <r>
    <x v="1537"/>
    <n v="1"/>
    <x v="35"/>
    <x v="0"/>
    <s v="imsPP2: Support TESTSU"/>
    <m/>
    <s v="Despotovic"/>
    <m/>
    <e v="#N/A"/>
    <e v="#N/A"/>
    <e v="#N/A"/>
    <e v="#N/A"/>
    <x v="11"/>
  </r>
  <r>
    <x v="1538"/>
    <n v="1"/>
    <x v="35"/>
    <x v="0"/>
    <s v="imsPP2: Support TESTSU"/>
    <m/>
    <s v="Despotovic"/>
    <m/>
    <e v="#N/A"/>
    <e v="#N/A"/>
    <e v="#N/A"/>
    <e v="#N/A"/>
    <x v="11"/>
  </r>
  <r>
    <x v="1538"/>
    <n v="5"/>
    <x v="35"/>
    <x v="0"/>
    <s v="Kostenkalkulator: DPMPSN Anpassung Datenbindung + Oberfläche"/>
    <m/>
    <s v="Pechstein"/>
    <m/>
    <e v="#N/A"/>
    <e v="#N/A"/>
    <e v="#N/A"/>
    <e v="#N/A"/>
    <x v="11"/>
  </r>
  <r>
    <x v="1539"/>
    <n v="2"/>
    <x v="35"/>
    <x v="0"/>
    <s v="Kostenkalkulator: DPMPSN Anforderungsanalyse Überarbeitung 4x4 Matrix"/>
    <m/>
    <s v="Pechstein"/>
    <m/>
    <e v="#N/A"/>
    <e v="#N/A"/>
    <e v="#N/A"/>
    <e v="#N/A"/>
    <x v="11"/>
  </r>
  <r>
    <x v="1539"/>
    <n v="3"/>
    <x v="35"/>
    <x v="0"/>
    <s v="imsPP2: Powerpivot Spalte Datentyp erweitert + BRD als Default + Systemtest"/>
    <m/>
    <s v="Borchard"/>
    <m/>
    <e v="#N/A"/>
    <e v="#N/A"/>
    <e v="#N/A"/>
    <e v="#N/A"/>
    <x v="11"/>
  </r>
  <r>
    <x v="1540"/>
    <n v="0.5"/>
    <x v="35"/>
    <x v="0"/>
    <s v="Kostenkalkulator: DPMPSN Besprechung"/>
    <m/>
    <s v="Pechstein"/>
    <m/>
    <e v="#N/A"/>
    <e v="#N/A"/>
    <e v="#N/A"/>
    <e v="#N/A"/>
    <x v="11"/>
  </r>
  <r>
    <x v="1540"/>
    <n v="0.5"/>
    <x v="35"/>
    <x v="0"/>
    <s v="imsPP2: Besprechung"/>
    <m/>
    <s v="Despotovic"/>
    <m/>
    <e v="#N/A"/>
    <e v="#N/A"/>
    <e v="#N/A"/>
    <e v="#N/A"/>
    <x v="11"/>
  </r>
  <r>
    <x v="1540"/>
    <n v="3"/>
    <x v="35"/>
    <x v="0"/>
    <s v="imsPP2: ChangeRequests vom 25.7. "/>
    <m/>
    <s v="Despotovic"/>
    <m/>
    <e v="#N/A"/>
    <e v="#N/A"/>
    <e v="#N/A"/>
    <e v="#N/A"/>
    <x v="11"/>
  </r>
  <r>
    <x v="1541"/>
    <n v="4"/>
    <x v="35"/>
    <x v="0"/>
    <s v="imsPP2: Sortierungsbug behoben, Filter Berater ProductionStatus Report"/>
    <m/>
    <s v="Despotovic"/>
    <m/>
    <e v="#N/A"/>
    <e v="#N/A"/>
    <e v="#N/A"/>
    <e v="#N/A"/>
    <x v="11"/>
  </r>
  <r>
    <x v="1541"/>
    <n v="3"/>
    <x v="35"/>
    <x v="0"/>
    <s v="Powercharts:  Test + Bugfixing Windows 7 Version"/>
    <m/>
    <s v="Netz"/>
    <m/>
    <e v="#N/A"/>
    <e v="#N/A"/>
    <e v="#N/A"/>
    <e v="#N/A"/>
    <x v="11"/>
  </r>
  <r>
    <x v="1542"/>
    <n v="3"/>
    <x v="35"/>
    <x v="0"/>
    <s v="Kostenkalkulator: DPMPSN Anpassungen an DPM_PSN_Matrix_Einblendeoptionen_v0 21.xlsx"/>
    <m/>
    <s v="Pechstein"/>
    <m/>
    <e v="#N/A"/>
    <e v="#N/A"/>
    <e v="#N/A"/>
    <e v="#N/A"/>
    <x v="11"/>
  </r>
  <r>
    <x v="1542"/>
    <n v="2"/>
    <x v="35"/>
    <x v="0"/>
    <s v="imsPP2: Filter Berater Bugfixes + Tests"/>
    <m/>
    <s v="Despotovic"/>
    <m/>
    <e v="#N/A"/>
    <e v="#N/A"/>
    <e v="#N/A"/>
    <e v="#N/A"/>
    <x v="11"/>
  </r>
  <r>
    <x v="1543"/>
    <n v="1"/>
    <x v="35"/>
    <x v="0"/>
    <s v="imsPP2: Support Installation Udo"/>
    <m/>
    <s v="Despotovic"/>
    <m/>
    <e v="#N/A"/>
    <e v="#N/A"/>
    <e v="#N/A"/>
    <e v="#N/A"/>
    <x v="11"/>
  </r>
  <r>
    <x v="1543"/>
    <n v="6"/>
    <x v="35"/>
    <x v="0"/>
    <s v="imsPP2: Produktionen löschen Funktion (zusätzlich zur Löschschwelle)"/>
    <m/>
    <s v="Despotovic"/>
    <m/>
    <e v="#N/A"/>
    <e v="#N/A"/>
    <e v="#N/A"/>
    <e v="#N/A"/>
    <x v="11"/>
  </r>
  <r>
    <x v="1544"/>
    <n v="3"/>
    <x v="35"/>
    <x v="0"/>
    <s v="imsPP2: Erstellung neue Version + Installation"/>
    <m/>
    <s v="Despotovic"/>
    <m/>
    <e v="#N/A"/>
    <e v="#N/A"/>
    <e v="#N/A"/>
    <e v="#N/A"/>
    <x v="11"/>
  </r>
  <r>
    <x v="1544"/>
    <n v="3"/>
    <x v="35"/>
    <x v="0"/>
    <s v="Kostenkalkulator: DPMPSN Anpassungen an DPM_PSN_Matrix_Einblendeoptionen_v0 21.xlsx"/>
    <m/>
    <s v="Pechstein"/>
    <m/>
    <e v="#N/A"/>
    <e v="#N/A"/>
    <e v="#N/A"/>
    <e v="#N/A"/>
    <x v="11"/>
  </r>
  <r>
    <x v="1544"/>
    <n v="1"/>
    <x v="35"/>
    <x v="0"/>
    <s v="imsPP2: Produktion löschen Kofig Dialog erstellt"/>
    <m/>
    <s v="Despotovic"/>
    <m/>
    <e v="#N/A"/>
    <e v="#N/A"/>
    <e v="#N/A"/>
    <e v="#N/A"/>
    <x v="11"/>
  </r>
  <r>
    <x v="1545"/>
    <n v="5"/>
    <x v="35"/>
    <x v="0"/>
    <s v="Kostenkalkulator: DPMPSN Anpassungen an DPM_PSN_Matrix_Einblendeoptionen_v0 21.xlsx"/>
    <m/>
    <m/>
    <m/>
    <e v="#N/A"/>
    <e v="#N/A"/>
    <e v="#N/A"/>
    <e v="#N/A"/>
    <x v="11"/>
  </r>
  <r>
    <x v="1545"/>
    <n v="3"/>
    <x v="35"/>
    <x v="0"/>
    <s v="imsPP2: Produktionen löschen Funktion (zusätzlich zur Löschschwelle)"/>
    <m/>
    <s v="Despotovic"/>
    <m/>
    <e v="#N/A"/>
    <e v="#N/A"/>
    <e v="#N/A"/>
    <e v="#N/A"/>
    <x v="11"/>
  </r>
  <r>
    <x v="1546"/>
    <n v="4"/>
    <x v="35"/>
    <x v="0"/>
    <s v="imsPP2: NoFtpTransfer Prodesis"/>
    <m/>
    <s v="Despotovic"/>
    <m/>
    <e v="#N/A"/>
    <e v="#N/A"/>
    <e v="#N/A"/>
    <e v="#N/A"/>
    <x v="11"/>
  </r>
  <r>
    <x v="1547"/>
    <n v="3"/>
    <x v="35"/>
    <x v="0"/>
    <s v="imsPP2: Service: Funktion Produktionen löschen"/>
    <m/>
    <s v="Despotovic"/>
    <m/>
    <e v="#N/A"/>
    <e v="#N/A"/>
    <e v="#N/A"/>
    <e v="#N/A"/>
    <x v="11"/>
  </r>
  <r>
    <x v="1548"/>
    <n v="7"/>
    <x v="35"/>
    <x v="0"/>
    <s v="Kostenkalkulator: DPMPSN Anpassung Berechnung"/>
    <m/>
    <s v="Pechstein"/>
    <m/>
    <e v="#N/A"/>
    <e v="#N/A"/>
    <e v="#N/A"/>
    <e v="#N/A"/>
    <x v="11"/>
  </r>
  <r>
    <x v="1549"/>
    <n v="7"/>
    <x v="35"/>
    <x v="0"/>
    <s v="Kostenkalkulator: DPMPSN neue Validierung + Berechung"/>
    <m/>
    <s v="Pechstein"/>
    <m/>
    <e v="#N/A"/>
    <e v="#N/A"/>
    <e v="#N/A"/>
    <e v="#N/A"/>
    <x v="11"/>
  </r>
  <r>
    <x v="1549"/>
    <n v="1"/>
    <x v="35"/>
    <x v="0"/>
    <s v="imsPP2: Support Monatsbericht"/>
    <m/>
    <s v="Arnold"/>
    <m/>
    <e v="#N/A"/>
    <e v="#N/A"/>
    <e v="#N/A"/>
    <e v="#N/A"/>
    <x v="11"/>
  </r>
  <r>
    <x v="1549"/>
    <n v="2"/>
    <x v="35"/>
    <x v="0"/>
    <s v="imsPP2: Anzeige Productions Anzahl Fußzeile"/>
    <m/>
    <s v="Despotovic"/>
    <m/>
    <e v="#N/A"/>
    <e v="#N/A"/>
    <e v="#N/A"/>
    <e v="#N/A"/>
    <x v="11"/>
  </r>
  <r>
    <x v="1550"/>
    <n v="1"/>
    <x v="35"/>
    <x v="0"/>
    <s v="imsPP2: Support Monatsbericht"/>
    <m/>
    <s v="Arnold"/>
    <m/>
    <e v="#N/A"/>
    <e v="#N/A"/>
    <e v="#N/A"/>
    <e v="#N/A"/>
    <x v="11"/>
  </r>
  <r>
    <x v="1550"/>
    <n v="2"/>
    <x v="35"/>
    <x v="0"/>
    <s v="imsPP2: Produktionen IN, IK"/>
    <m/>
    <s v="Despotovic"/>
    <m/>
    <e v="#N/A"/>
    <e v="#N/A"/>
    <e v="#N/A"/>
    <e v="#N/A"/>
    <x v="11"/>
  </r>
  <r>
    <x v="1550"/>
    <n v="1"/>
    <x v="35"/>
    <x v="0"/>
    <s v="imsPP2: Produktionen 6s, 6x auch auf 8a setzbar"/>
    <m/>
    <s v="Despotovic"/>
    <m/>
    <e v="#N/A"/>
    <e v="#N/A"/>
    <e v="#N/A"/>
    <e v="#N/A"/>
    <x v="11"/>
  </r>
  <r>
    <x v="1551"/>
    <n v="2"/>
    <x v="35"/>
    <x v="0"/>
    <s v="Powercharts:  MA Entwicklung 4 Regionen Evaluierung Ansatz für UGKs"/>
    <m/>
    <s v="Netz"/>
    <m/>
    <e v="#N/A"/>
    <e v="#N/A"/>
    <e v="#N/A"/>
    <e v="#N/A"/>
    <x v="11"/>
  </r>
  <r>
    <x v="1551"/>
    <n v="2"/>
    <x v="35"/>
    <x v="0"/>
    <s v="imsPP2: Support Mehrfachzuweisung Prodesisname Adhoc + geplant"/>
    <m/>
    <s v="Despotovic"/>
    <m/>
    <e v="#N/A"/>
    <e v="#N/A"/>
    <e v="#N/A"/>
    <e v="#N/A"/>
    <x v="11"/>
  </r>
  <r>
    <x v="1551"/>
    <n v="1"/>
    <x v="35"/>
    <x v="0"/>
    <s v="imsPP2: Programmierung ProductionDelete Config Dialog"/>
    <m/>
    <s v="Despotovic"/>
    <m/>
    <e v="#N/A"/>
    <e v="#N/A"/>
    <e v="#N/A"/>
    <e v="#N/A"/>
    <x v="11"/>
  </r>
  <r>
    <x v="1552"/>
    <n v="4"/>
    <x v="35"/>
    <x v="0"/>
    <s v="imsPP2: Produktionen löschen Funktion (zusätzlich zur Löschschwelle)"/>
    <m/>
    <s v="Despotovic"/>
    <m/>
    <e v="#N/A"/>
    <e v="#N/A"/>
    <e v="#N/A"/>
    <e v="#N/A"/>
    <x v="11"/>
  </r>
  <r>
    <x v="1553"/>
    <n v="1"/>
    <x v="35"/>
    <x v="0"/>
    <s v="imsPP2: Analyse Status 6a für R1LLYSU2 sollte auf 9a sein"/>
    <m/>
    <s v="Burger"/>
    <m/>
    <e v="#N/A"/>
    <e v="#N/A"/>
    <e v="#N/A"/>
    <e v="#N/A"/>
    <x v="11"/>
  </r>
  <r>
    <x v="1553"/>
    <n v="2"/>
    <x v="35"/>
    <x v="0"/>
    <s v="imsPP2: Produktionen löschen Funktion (zusätzlich zur Löschschwelle)"/>
    <m/>
    <s v="Despotovic"/>
    <m/>
    <e v="#N/A"/>
    <e v="#N/A"/>
    <e v="#N/A"/>
    <e v="#N/A"/>
    <x v="11"/>
  </r>
  <r>
    <x v="1554"/>
    <n v="1"/>
    <x v="35"/>
    <x v="0"/>
    <s v="Kostenkalkulator: DPMPSN Dataview Lizenzen"/>
    <m/>
    <s v="Pechstein"/>
    <m/>
    <e v="#N/A"/>
    <e v="#N/A"/>
    <e v="#N/A"/>
    <e v="#N/A"/>
    <x v="11"/>
  </r>
  <r>
    <x v="1554"/>
    <n v="1"/>
    <x v="35"/>
    <x v="0"/>
    <s v="imsPP2: Einrichtung neue Installation + Test"/>
    <m/>
    <s v="Despotovic"/>
    <m/>
    <e v="#N/A"/>
    <e v="#N/A"/>
    <e v="#N/A"/>
    <e v="#N/A"/>
    <x v="11"/>
  </r>
  <r>
    <x v="1554"/>
    <n v="1"/>
    <x v="35"/>
    <x v="0"/>
    <s v="imsPP2: Bugfixing Produktionen löschen Funktion "/>
    <m/>
    <s v="Despotovic"/>
    <m/>
    <e v="#N/A"/>
    <e v="#N/A"/>
    <e v="#N/A"/>
    <e v="#N/A"/>
    <x v="11"/>
  </r>
  <r>
    <x v="1554"/>
    <n v="3"/>
    <x v="35"/>
    <x v="0"/>
    <s v="Powercharts:  Marktbasis an Marktbasis"/>
    <m/>
    <s v="Netz"/>
    <m/>
    <e v="#N/A"/>
    <e v="#N/A"/>
    <e v="#N/A"/>
    <e v="#N/A"/>
    <x v="11"/>
  </r>
  <r>
    <x v="1555"/>
    <n v="3"/>
    <x v="35"/>
    <x v="0"/>
    <s v="Powercharts:  MA-Entwickl. EURO 4 freie Regionen Anpassung von 3 Charts"/>
    <m/>
    <s v="Netz"/>
    <m/>
    <e v="#N/A"/>
    <e v="#N/A"/>
    <e v="#N/A"/>
    <e v="#N/A"/>
    <x v="11"/>
  </r>
  <r>
    <x v="1555"/>
    <n v="2"/>
    <x v="35"/>
    <x v="0"/>
    <s v="Kostenkalkulator: DPMPSN Telko Teilmarkt"/>
    <m/>
    <s v="Pechstein"/>
    <m/>
    <e v="#N/A"/>
    <e v="#N/A"/>
    <e v="#N/A"/>
    <e v="#N/A"/>
    <x v="11"/>
  </r>
  <r>
    <x v="1555"/>
    <n v="2"/>
    <x v="35"/>
    <x v="0"/>
    <s v="Kostenkalkulator: DPMPSN Dataview Lizenzen"/>
    <m/>
    <s v="Pechstein"/>
    <m/>
    <e v="#N/A"/>
    <e v="#N/A"/>
    <e v="#N/A"/>
    <e v="#N/A"/>
    <x v="11"/>
  </r>
  <r>
    <x v="1555"/>
    <n v="2"/>
    <x v="35"/>
    <x v="0"/>
    <s v="Kostenkalkulator: Dataview Lizenzen"/>
    <m/>
    <s v="Pechstein"/>
    <m/>
    <e v="#N/A"/>
    <e v="#N/A"/>
    <e v="#N/A"/>
    <e v="#N/A"/>
    <x v="11"/>
  </r>
  <r>
    <x v="1556"/>
    <n v="8"/>
    <x v="35"/>
    <x v="0"/>
    <s v="Kostenkalkulator: DPMPSN UAT Liste vom 14.8. Gesamtmarkt"/>
    <m/>
    <s v="Pechstein"/>
    <m/>
    <e v="#N/A"/>
    <e v="#N/A"/>
    <e v="#N/A"/>
    <e v="#N/A"/>
    <x v="11"/>
  </r>
  <r>
    <x v="1557"/>
    <n v="8"/>
    <x v="35"/>
    <x v="0"/>
    <s v="Kostenkalkulator: DPMPSN UAT Liste vom 16.8. Gesamtmarkt"/>
    <m/>
    <s v="Pechstein"/>
    <m/>
    <e v="#N/A"/>
    <e v="#N/A"/>
    <e v="#N/A"/>
    <e v="#N/A"/>
    <x v="11"/>
  </r>
  <r>
    <x v="1558"/>
    <n v="5"/>
    <x v="35"/>
    <x v="0"/>
    <s v="Kostenkalkulator: DPMPSN UAT Liste vom 16.8. Gesamtmarkt"/>
    <m/>
    <s v="Pechstein"/>
    <m/>
    <e v="#N/A"/>
    <e v="#N/A"/>
    <e v="#N/A"/>
    <e v="#N/A"/>
    <x v="11"/>
  </r>
  <r>
    <x v="1559"/>
    <n v="3"/>
    <x v="35"/>
    <x v="0"/>
    <s v="Kostenkalkulator: DPMPSN UAT Liste vom 16.8. Gesamtmarkt"/>
    <m/>
    <s v="Pechstein"/>
    <m/>
    <e v="#N/A"/>
    <e v="#N/A"/>
    <e v="#N/A"/>
    <e v="#N/A"/>
    <x v="11"/>
  </r>
  <r>
    <x v="1559"/>
    <n v="1"/>
    <x v="35"/>
    <x v="0"/>
    <s v="Kostenkalkulator: DPMPSN Bereitstellung neue Version"/>
    <m/>
    <s v="Pechstein"/>
    <m/>
    <e v="#N/A"/>
    <e v="#N/A"/>
    <e v="#N/A"/>
    <e v="#N/A"/>
    <x v="11"/>
  </r>
  <r>
    <x v="1559"/>
    <n v="1"/>
    <x v="35"/>
    <x v="0"/>
    <s v="Powercharts:  Setuperstellung + Test Windows 7 Version"/>
    <m/>
    <s v="Netz"/>
    <m/>
    <e v="#N/A"/>
    <e v="#N/A"/>
    <e v="#N/A"/>
    <e v="#N/A"/>
    <x v="11"/>
  </r>
  <r>
    <x v="1559"/>
    <n v="2"/>
    <x v="35"/>
    <x v="0"/>
    <s v="imsPP2: Bereitstellung ReportId nicht mehr benötigt für Exasol Produktionen"/>
    <m/>
    <s v="Mohr"/>
    <m/>
    <e v="#N/A"/>
    <e v="#N/A"/>
    <e v="#N/A"/>
    <e v="#N/A"/>
    <x v="11"/>
  </r>
  <r>
    <x v="1560"/>
    <n v="1"/>
    <x v="35"/>
    <x v="0"/>
    <s v="Kostenkalkulator: DPMPSN UAT aktueller Stand"/>
    <m/>
    <s v="Pechstein"/>
    <m/>
    <e v="#N/A"/>
    <e v="#N/A"/>
    <e v="#N/A"/>
    <e v="#N/A"/>
    <x v="11"/>
  </r>
  <r>
    <x v="1560"/>
    <n v="1"/>
    <x v="35"/>
    <x v="0"/>
    <s v="Kostenkalkulator: DPMPSN DPM Datenbankpreis Korrektur"/>
    <m/>
    <s v="Pechstein"/>
    <m/>
    <e v="#N/A"/>
    <e v="#N/A"/>
    <e v="#N/A"/>
    <e v="#N/A"/>
    <x v="11"/>
  </r>
  <r>
    <x v="1560"/>
    <n v="1"/>
    <x v="35"/>
    <x v="0"/>
    <s v="Kostenkalkulator: DPMPSN neue Version Bereitstellung"/>
    <m/>
    <s v="Pechstein"/>
    <m/>
    <e v="#N/A"/>
    <e v="#N/A"/>
    <e v="#N/A"/>
    <e v="#N/A"/>
    <x v="11"/>
  </r>
  <r>
    <x v="1561"/>
    <n v="2"/>
    <x v="35"/>
    <x v="0"/>
    <s v="Kostenkalkulator: DPMPSN UAT 2013-08-22"/>
    <m/>
    <s v="Pechstein"/>
    <m/>
    <e v="#N/A"/>
    <e v="#N/A"/>
    <e v="#N/A"/>
    <e v="#N/A"/>
    <x v="11"/>
  </r>
  <r>
    <x v="1562"/>
    <n v="1"/>
    <x v="35"/>
    <x v="0"/>
    <s v="Kostenkalkulator: DPMPSN Layout Anpassungen"/>
    <m/>
    <s v="Pechstein"/>
    <m/>
    <e v="#N/A"/>
    <e v="#N/A"/>
    <e v="#N/A"/>
    <e v="#N/A"/>
    <x v="11"/>
  </r>
  <r>
    <x v="1563"/>
    <n v="1"/>
    <x v="35"/>
    <x v="0"/>
    <s v="Kostenkalkulator: DPMPSN UAT 2013-08-22 Datentiefe"/>
    <m/>
    <s v="Pechstein"/>
    <m/>
    <e v="#N/A"/>
    <e v="#N/A"/>
    <e v="#N/A"/>
    <e v="#N/A"/>
    <x v="11"/>
  </r>
  <r>
    <x v="1563"/>
    <n v="1"/>
    <x v="35"/>
    <x v="0"/>
    <s v="PP2: Produktionen 201307 Analyse"/>
    <m/>
    <s v="Borchard"/>
    <m/>
    <e v="#N/A"/>
    <e v="#N/A"/>
    <e v="#N/A"/>
    <e v="#N/A"/>
    <x v="11"/>
  </r>
  <r>
    <x v="1564"/>
    <n v="1"/>
    <x v="35"/>
    <x v="0"/>
    <s v="Kostenkalkulator: DPMPSN UAT 2013-08-22 Aktualisierung neue Einblendeoptionen + Überarbeitung + Fragen"/>
    <m/>
    <s v="Pechstein"/>
    <m/>
    <e v="#N/A"/>
    <e v="#N/A"/>
    <e v="#N/A"/>
    <e v="#N/A"/>
    <x v="11"/>
  </r>
  <r>
    <x v="1564"/>
    <n v="2"/>
    <x v="35"/>
    <x v="0"/>
    <s v="PP2: Produktionen 201307 201307 + 201305 Löschung"/>
    <m/>
    <s v="Borchard"/>
    <m/>
    <e v="#N/A"/>
    <e v="#N/A"/>
    <e v="#N/A"/>
    <e v="#N/A"/>
    <x v="11"/>
  </r>
  <r>
    <x v="1565"/>
    <n v="2"/>
    <x v="35"/>
    <x v="0"/>
    <s v="Kostenkalkulator: DPMPSN UAT 2013-08-29 Anpassung Datentiefe für Lizenz"/>
    <m/>
    <s v="Pechstein"/>
    <m/>
    <e v="#N/A"/>
    <e v="#N/A"/>
    <e v="#N/A"/>
    <e v="#N/A"/>
    <x v="11"/>
  </r>
  <r>
    <x v="1566"/>
    <n v="1"/>
    <x v="35"/>
    <x v="0"/>
    <s v="Kostenkalkulator: DPMPSN Layout Anpassungen"/>
    <m/>
    <s v="Pechstein"/>
    <m/>
    <e v="#N/A"/>
    <e v="#N/A"/>
    <e v="#N/A"/>
    <e v="#N/A"/>
    <x v="11"/>
  </r>
  <r>
    <x v="1567"/>
    <n v="2"/>
    <x v="35"/>
    <x v="0"/>
    <s v="imsPP2: testresult.xlsx.csv Fehleranalyse"/>
    <m/>
    <s v="Despotovic"/>
    <m/>
    <e v="#N/A"/>
    <e v="#N/A"/>
    <e v="#N/A"/>
    <e v="#N/A"/>
    <x v="11"/>
  </r>
  <r>
    <x v="1568"/>
    <n v="4"/>
    <x v="35"/>
    <x v="0"/>
    <s v="imsPP2: testresult.xlsx fix"/>
    <m/>
    <s v="Despotovic"/>
    <m/>
    <e v="#N/A"/>
    <e v="#N/A"/>
    <e v="#N/A"/>
    <e v="#N/A"/>
    <x v="11"/>
  </r>
  <r>
    <x v="1569"/>
    <n v="2"/>
    <x v="35"/>
    <x v="0"/>
    <s v="imsPP2: meeting"/>
    <m/>
    <s v="Despotovic"/>
    <m/>
    <e v="#N/A"/>
    <e v="#N/A"/>
    <e v="#N/A"/>
    <e v="#N/A"/>
    <x v="11"/>
  </r>
  <r>
    <x v="1569"/>
    <n v="0.5"/>
    <x v="35"/>
    <x v="0"/>
    <s v="Powercharts:  meeting"/>
    <m/>
    <s v="Netz"/>
    <m/>
    <e v="#N/A"/>
    <e v="#N/A"/>
    <e v="#N/A"/>
    <e v="#N/A"/>
    <x v="11"/>
  </r>
  <r>
    <x v="1569"/>
    <n v="1.5"/>
    <x v="35"/>
    <x v="0"/>
    <s v="meeting PP2 + weitere Projekte"/>
    <m/>
    <s v="Borchard"/>
    <m/>
    <e v="#N/A"/>
    <e v="#N/A"/>
    <e v="#N/A"/>
    <e v="#N/A"/>
    <x v="11"/>
  </r>
  <r>
    <x v="1569"/>
    <n v="1"/>
    <x v="35"/>
    <x v="0"/>
    <s v="meeting CHA Calculator"/>
    <m/>
    <s v="Spiegel"/>
    <m/>
    <e v="#N/A"/>
    <e v="#N/A"/>
    <e v="#N/A"/>
    <e v="#N/A"/>
    <x v="11"/>
  </r>
  <r>
    <x v="1569"/>
    <n v="0.5"/>
    <x v="35"/>
    <x v="0"/>
    <s v="imsPP1: Support"/>
    <m/>
    <s v="Hornbruch"/>
    <m/>
    <e v="#N/A"/>
    <e v="#N/A"/>
    <e v="#N/A"/>
    <e v="#N/A"/>
    <x v="11"/>
  </r>
  <r>
    <x v="1570"/>
    <n v="1.5"/>
    <x v="35"/>
    <x v="0"/>
    <s v="imsPP2: Anpassung Production Plan Export Output Format"/>
    <m/>
    <s v="Despotovic"/>
    <m/>
    <e v="#N/A"/>
    <e v="#N/A"/>
    <e v="#N/A"/>
    <e v="#N/A"/>
    <x v="11"/>
  </r>
  <r>
    <x v="1570"/>
    <n v="1"/>
    <x v="35"/>
    <x v="0"/>
    <s v="imsPP2: Weiche CMR Produktion"/>
    <m/>
    <s v="Despotovic"/>
    <m/>
    <e v="#N/A"/>
    <e v="#N/A"/>
    <e v="#N/A"/>
    <e v="#N/A"/>
    <x v="11"/>
  </r>
  <r>
    <x v="1570"/>
    <n v="1"/>
    <x v="35"/>
    <x v="0"/>
    <s v="imsPP2: Reporting Produktionsstatus"/>
    <m/>
    <s v="Despotovic"/>
    <m/>
    <e v="#N/A"/>
    <e v="#N/A"/>
    <e v="#N/A"/>
    <e v="#N/A"/>
    <x v="11"/>
  </r>
  <r>
    <x v="1570"/>
    <n v="1"/>
    <x v="35"/>
    <x v="0"/>
    <s v="imsPP2: 8a Status für 6a, 6x"/>
    <m/>
    <s v="Despotovic"/>
    <m/>
    <e v="#N/A"/>
    <e v="#N/A"/>
    <e v="#N/A"/>
    <e v="#N/A"/>
    <x v="11"/>
  </r>
  <r>
    <x v="1570"/>
    <n v="5"/>
    <x v="35"/>
    <x v="0"/>
    <s v="Powercharts:  neues CI"/>
    <m/>
    <s v="Netz"/>
    <m/>
    <e v="#N/A"/>
    <e v="#N/A"/>
    <e v="#N/A"/>
    <e v="#N/A"/>
    <x v="11"/>
  </r>
  <r>
    <x v="1570"/>
    <n v="2"/>
    <x v="35"/>
    <x v="0"/>
    <s v="imsPP2: 8a Status für 6a + Aktualisieren Button"/>
    <m/>
    <s v="Despotovic"/>
    <m/>
    <e v="#N/A"/>
    <e v="#N/A"/>
    <e v="#N/A"/>
    <e v="#N/A"/>
    <x v="11"/>
  </r>
  <r>
    <x v="1571"/>
    <n v="2"/>
    <x v="35"/>
    <x v="0"/>
    <s v="imsPP2: OutputChecks Sortierung (Aktualisieren)"/>
    <m/>
    <s v="Despotovic"/>
    <m/>
    <e v="#N/A"/>
    <e v="#N/A"/>
    <e v="#N/A"/>
    <e v="#N/A"/>
    <x v="11"/>
  </r>
  <r>
    <x v="1571"/>
    <n v="4"/>
    <x v="35"/>
    <x v="0"/>
    <s v="Powercharts:  neues CI"/>
    <m/>
    <s v="Netz"/>
    <m/>
    <e v="#N/A"/>
    <e v="#N/A"/>
    <e v="#N/A"/>
    <e v="#N/A"/>
    <x v="11"/>
  </r>
  <r>
    <x v="1571"/>
    <n v="1"/>
    <x v="35"/>
    <x v="0"/>
    <s v="imsPP2: ADAM Erweiterung"/>
    <m/>
    <s v="Gabler"/>
    <m/>
    <e v="#N/A"/>
    <e v="#N/A"/>
    <e v="#N/A"/>
    <e v="#N/A"/>
    <x v="11"/>
  </r>
  <r>
    <x v="1571"/>
    <n v="1"/>
    <x v="35"/>
    <x v="0"/>
    <s v="Powercharts:  Produktgruppierung"/>
    <m/>
    <s v="Netz"/>
    <m/>
    <e v="#N/A"/>
    <e v="#N/A"/>
    <e v="#N/A"/>
    <e v="#N/A"/>
    <x v="11"/>
  </r>
  <r>
    <x v="1571"/>
    <n v="1"/>
    <x v="35"/>
    <x v="0"/>
    <s v="Kostenkalkulator: DPMPSN Teilmarkt Pack Scaling neue Tabelle"/>
    <m/>
    <s v="Pechstein"/>
    <m/>
    <e v="#N/A"/>
    <e v="#N/A"/>
    <e v="#N/A"/>
    <e v="#N/A"/>
    <x v="11"/>
  </r>
  <r>
    <x v="1571"/>
    <n v="2"/>
    <x v="35"/>
    <x v="0"/>
    <s v="Kostenkalkulator: DPMPSN Teilmarkt"/>
    <m/>
    <s v="Pechstein"/>
    <m/>
    <e v="#N/A"/>
    <e v="#N/A"/>
    <e v="#N/A"/>
    <e v="#N/A"/>
    <x v="11"/>
  </r>
  <r>
    <x v="1572"/>
    <n v="2"/>
    <x v="35"/>
    <x v="0"/>
    <s v="imsPP2: SaSmpChecklist Ps entfernt + SaSmp Filter"/>
    <m/>
    <s v="Despotovic"/>
    <m/>
    <e v="#N/A"/>
    <e v="#N/A"/>
    <e v="#N/A"/>
    <e v="#N/A"/>
    <x v="11"/>
  </r>
  <r>
    <x v="1572"/>
    <n v="5"/>
    <x v="35"/>
    <x v="0"/>
    <s v="Powercharts:  neues CI"/>
    <m/>
    <s v="Netz"/>
    <m/>
    <e v="#N/A"/>
    <e v="#N/A"/>
    <e v="#N/A"/>
    <e v="#N/A"/>
    <x v="11"/>
  </r>
  <r>
    <x v="1572"/>
    <n v="3"/>
    <x v="35"/>
    <x v="0"/>
    <s v="imsPP2: ProductionStatus Report"/>
    <m/>
    <s v="Despotovic"/>
    <m/>
    <e v="#N/A"/>
    <e v="#N/A"/>
    <e v="#N/A"/>
    <e v="#N/A"/>
    <x v="11"/>
  </r>
  <r>
    <x v="1573"/>
    <n v="4"/>
    <x v="35"/>
    <x v="0"/>
    <s v="imsPP2: ADAM Erweiterung"/>
    <m/>
    <s v="Gabler"/>
    <m/>
    <e v="#N/A"/>
    <e v="#N/A"/>
    <e v="#N/A"/>
    <e v="#N/A"/>
    <x v="11"/>
  </r>
  <r>
    <x v="1573"/>
    <n v="3"/>
    <x v="35"/>
    <x v="0"/>
    <s v="imsPP2: ADAM Erweiterung"/>
    <m/>
    <s v="Gabler"/>
    <m/>
    <e v="#N/A"/>
    <e v="#N/A"/>
    <e v="#N/A"/>
    <e v="#N/A"/>
    <x v="11"/>
  </r>
  <r>
    <x v="1573"/>
    <n v="5"/>
    <x v="35"/>
    <x v="0"/>
    <s v="imsPP2: ProductionStatus Report Piechart But Merge + Kinder"/>
    <m/>
    <s v="Despotovic"/>
    <m/>
    <e v="#N/A"/>
    <e v="#N/A"/>
    <e v="#N/A"/>
    <e v="#N/A"/>
    <x v="11"/>
  </r>
  <r>
    <x v="1574"/>
    <n v="8"/>
    <x v="35"/>
    <x v="0"/>
    <s v="imsPP2: Unterstützung Windows Gruppen"/>
    <m/>
    <s v="Despotovic"/>
    <m/>
    <e v="#N/A"/>
    <e v="#N/A"/>
    <e v="#N/A"/>
    <e v="#N/A"/>
    <x v="11"/>
  </r>
  <r>
    <x v="1575"/>
    <n v="4"/>
    <x v="35"/>
    <x v="0"/>
    <s v="imsPP2: Support HTTP.SYS Fehler Requestlength too long"/>
    <m/>
    <s v="Despotovic"/>
    <m/>
    <e v="#N/A"/>
    <e v="#N/A"/>
    <e v="#N/A"/>
    <e v="#N/A"/>
    <x v="11"/>
  </r>
  <r>
    <x v="1575"/>
    <n v="2"/>
    <x v="35"/>
    <x v="0"/>
    <s v="Kostenkalkulator: DPMPSN Teilmarkt Erweiterungen"/>
    <m/>
    <s v="Pechstein"/>
    <m/>
    <e v="#N/A"/>
    <e v="#N/A"/>
    <e v="#N/A"/>
    <e v="#N/A"/>
    <x v="11"/>
  </r>
  <r>
    <x v="1575"/>
    <n v="4"/>
    <x v="35"/>
    <x v="0"/>
    <s v="imsPP2: Unterstützung Windows Gruppen"/>
    <m/>
    <s v="Despotovic"/>
    <m/>
    <e v="#N/A"/>
    <e v="#N/A"/>
    <e v="#N/A"/>
    <e v="#N/A"/>
    <x v="11"/>
  </r>
  <r>
    <x v="1576"/>
    <n v="2"/>
    <x v="35"/>
    <x v="0"/>
    <s v="imsPP2: Accounting Report Erweiterung Geos"/>
    <m/>
    <s v="Despotovic"/>
    <m/>
    <e v="#N/A"/>
    <e v="#N/A"/>
    <e v="#N/A"/>
    <e v="#N/A"/>
    <x v="11"/>
  </r>
  <r>
    <x v="1577"/>
    <n v="1"/>
    <x v="35"/>
    <x v="0"/>
    <s v="imsPP2: Update neue Version"/>
    <m/>
    <s v="Despotovic"/>
    <m/>
    <e v="#N/A"/>
    <e v="#N/A"/>
    <e v="#N/A"/>
    <e v="#N/A"/>
    <x v="11"/>
  </r>
  <r>
    <x v="1577"/>
    <n v="1"/>
    <x v="35"/>
    <x v="0"/>
    <s v="Kostenkalkulator: DPMPSN Teilmarkt neue Preisfaktoren in Datenbank hinterlegt"/>
    <m/>
    <s v="Pechstein"/>
    <m/>
    <e v="#N/A"/>
    <e v="#N/A"/>
    <e v="#N/A"/>
    <e v="#N/A"/>
    <x v="11"/>
  </r>
  <r>
    <x v="1577"/>
    <n v="3"/>
    <x v="35"/>
    <x v="0"/>
    <s v="imsPP2: Performance Fix  + Update"/>
    <m/>
    <s v="Despotovic"/>
    <m/>
    <e v="#N/A"/>
    <e v="#N/A"/>
    <e v="#N/A"/>
    <e v="#N/A"/>
    <x v="11"/>
  </r>
  <r>
    <x v="1578"/>
    <n v="1"/>
    <x v="35"/>
    <x v="0"/>
    <s v="imsPP2: Security Fix Gruppenmitgliedschaft"/>
    <m/>
    <s v="Despotovic"/>
    <m/>
    <e v="#N/A"/>
    <e v="#N/A"/>
    <e v="#N/A"/>
    <e v="#N/A"/>
    <x v="11"/>
  </r>
  <r>
    <x v="1579"/>
    <n v="2"/>
    <x v="35"/>
    <x v="0"/>
    <s v="imsPP2: DeleteProductions Slider angepasst + SaSMP Sortierung"/>
    <m/>
    <s v="Despotovic"/>
    <m/>
    <e v="#N/A"/>
    <e v="#N/A"/>
    <e v="#N/A"/>
    <e v="#N/A"/>
    <x v="11"/>
  </r>
  <r>
    <x v="1580"/>
    <n v="3"/>
    <x v="35"/>
    <x v="0"/>
    <s v="imsPP2: Neue Version für Unterstützung mehrer Gruppenmitgliedschaften"/>
    <m/>
    <s v="Despotovic"/>
    <m/>
    <e v="#N/A"/>
    <e v="#N/A"/>
    <e v="#N/A"/>
    <e v="#N/A"/>
    <x v="11"/>
  </r>
  <r>
    <x v="1580"/>
    <n v="1"/>
    <x v="35"/>
    <x v="0"/>
    <s v="imsPP2: Test + Update"/>
    <m/>
    <s v="Despotovic"/>
    <m/>
    <e v="#N/A"/>
    <e v="#N/A"/>
    <e v="#N/A"/>
    <e v="#N/A"/>
    <x v="11"/>
  </r>
  <r>
    <x v="1580"/>
    <n v="2"/>
    <x v="35"/>
    <x v="0"/>
    <s v="imsPP2: 6x -&gt; 8a Update"/>
    <m/>
    <s v="Despotovic"/>
    <m/>
    <e v="#N/A"/>
    <e v="#N/A"/>
    <e v="#N/A"/>
    <e v="#N/A"/>
    <x v="11"/>
  </r>
  <r>
    <x v="1580"/>
    <n v="2"/>
    <x v="35"/>
    <x v="0"/>
    <s v="Kostenkalkulator: DPMPSN Teilmarkt Anpassung Datenbank"/>
    <m/>
    <s v="Pechstein"/>
    <m/>
    <e v="#N/A"/>
    <e v="#N/A"/>
    <e v="#N/A"/>
    <e v="#N/A"/>
    <x v="11"/>
  </r>
  <r>
    <x v="1581"/>
    <n v="4"/>
    <x v="35"/>
    <x v="0"/>
    <s v="Kostenkalkulator: DPMPSN Teilmarkt Kalkulation"/>
    <m/>
    <s v="Pechstein"/>
    <m/>
    <e v="#N/A"/>
    <e v="#N/A"/>
    <e v="#N/A"/>
    <e v="#N/A"/>
    <x v="11"/>
  </r>
  <r>
    <x v="1581"/>
    <n v="1"/>
    <x v="35"/>
    <x v="0"/>
    <s v="imsPP2: Troubleshooting Accounting Daten"/>
    <m/>
    <s v="Despotovic"/>
    <m/>
    <e v="#N/A"/>
    <e v="#N/A"/>
    <e v="#N/A"/>
    <e v="#N/A"/>
    <x v="11"/>
  </r>
  <r>
    <x v="1581"/>
    <n v="1"/>
    <x v="35"/>
    <x v="0"/>
    <s v="imsPP2: Verbindungsprobleme"/>
    <m/>
    <s v="Arnold"/>
    <m/>
    <e v="#N/A"/>
    <e v="#N/A"/>
    <e v="#N/A"/>
    <e v="#N/A"/>
    <x v="11"/>
  </r>
  <r>
    <x v="1582"/>
    <n v="2"/>
    <x v="35"/>
    <x v="0"/>
    <s v="imsPP2: ADAM Erweiterung"/>
    <m/>
    <s v="Gabler"/>
    <m/>
    <e v="#N/A"/>
    <e v="#N/A"/>
    <e v="#N/A"/>
    <e v="#N/A"/>
    <x v="11"/>
  </r>
  <r>
    <x v="1582"/>
    <n v="3"/>
    <x v="35"/>
    <x v="0"/>
    <s v="imsPP2: Silverlight Konfigurator 64 bit Erweiterung"/>
    <m/>
    <s v="Despotovic"/>
    <m/>
    <e v="#N/A"/>
    <e v="#N/A"/>
    <e v="#N/A"/>
    <e v="#N/A"/>
    <x v="11"/>
  </r>
  <r>
    <x v="1582"/>
    <n v="1"/>
    <x v="35"/>
    <x v="0"/>
    <s v="imsPP2: Support"/>
    <m/>
    <s v="Arnold"/>
    <m/>
    <e v="#N/A"/>
    <e v="#N/A"/>
    <e v="#N/A"/>
    <e v="#N/A"/>
    <x v="11"/>
  </r>
  <r>
    <x v="1583"/>
    <n v="2"/>
    <x v="35"/>
    <x v="0"/>
    <s v="Kostenkalkulator: DPMPSN Teilmarkt Databanktyp Filter erstellt"/>
    <m/>
    <s v="Pechstein"/>
    <m/>
    <e v="#N/A"/>
    <e v="#N/A"/>
    <e v="#N/A"/>
    <e v="#N/A"/>
    <x v="11"/>
  </r>
  <r>
    <x v="1583"/>
    <n v="1"/>
    <x v="35"/>
    <x v="0"/>
    <s v="imsPP2: Einstellungen ReportView für PP2ReportUser"/>
    <m/>
    <s v="Despotovic"/>
    <m/>
    <e v="#N/A"/>
    <e v="#N/A"/>
    <e v="#N/A"/>
    <e v="#N/A"/>
    <x v="11"/>
  </r>
  <r>
    <x v="1584"/>
    <n v="1"/>
    <x v="35"/>
    <x v="0"/>
    <s v="imsPP2: Einstellungen ReportView für PP2ReportUser"/>
    <m/>
    <s v="Despotovic"/>
    <m/>
    <e v="#N/A"/>
    <e v="#N/A"/>
    <e v="#N/A"/>
    <e v="#N/A"/>
    <x v="11"/>
  </r>
  <r>
    <x v="1584"/>
    <n v="2"/>
    <x v="35"/>
    <x v="0"/>
    <s v="imsPP2: Erweiterung AccountingReport Measures + Facharztgruppen"/>
    <m/>
    <s v="Despotovic"/>
    <m/>
    <e v="#N/A"/>
    <e v="#N/A"/>
    <e v="#N/A"/>
    <e v="#N/A"/>
    <x v="11"/>
  </r>
  <r>
    <x v="1584"/>
    <n v="5"/>
    <x v="35"/>
    <x v="0"/>
    <s v="Kostenkalkulator: DPMPSN Teilmarkt Kalkulation"/>
    <m/>
    <s v="Pechstein"/>
    <m/>
    <e v="#N/A"/>
    <e v="#N/A"/>
    <e v="#N/A"/>
    <e v="#N/A"/>
    <x v="11"/>
  </r>
  <r>
    <x v="1585"/>
    <n v="4"/>
    <x v="35"/>
    <x v="0"/>
    <s v="Kostenkalkulator: DPMPSN Teilmarkt ATC Preis Kalkulation"/>
    <m/>
    <s v="Pechstein"/>
    <m/>
    <e v="#N/A"/>
    <e v="#N/A"/>
    <e v="#N/A"/>
    <e v="#N/A"/>
    <x v="11"/>
  </r>
  <r>
    <x v="1586"/>
    <n v="2"/>
    <x v="35"/>
    <x v="0"/>
    <s v="Kostenkalkulator: DPMPSN Teilmarkt ATC Preis Kalkulation"/>
    <m/>
    <s v="Pechstein"/>
    <m/>
    <e v="#N/A"/>
    <e v="#N/A"/>
    <e v="#N/A"/>
    <e v="#N/A"/>
    <x v="11"/>
  </r>
  <r>
    <x v="1586"/>
    <n v="2"/>
    <x v="35"/>
    <x v="0"/>
    <s v="imsPP2: Erweiterung AccountingReport Measures + Facharztgruppen"/>
    <m/>
    <s v="Despotovic"/>
    <m/>
    <e v="#N/A"/>
    <e v="#N/A"/>
    <e v="#N/A"/>
    <e v="#N/A"/>
    <x v="11"/>
  </r>
  <r>
    <x v="1587"/>
    <n v="7"/>
    <x v="35"/>
    <x v="0"/>
    <s v="Kostenkalkulator: DPMPSN Teilmarkt Kalkulation"/>
    <m/>
    <s v="Pechstein"/>
    <m/>
    <e v="#N/A"/>
    <e v="#N/A"/>
    <e v="#N/A"/>
    <e v="#N/A"/>
    <x v="11"/>
  </r>
  <r>
    <x v="1587"/>
    <n v="3"/>
    <x v="35"/>
    <x v="0"/>
    <s v="Kostenkalkulator: Automatisierung Build + Setup"/>
    <m/>
    <s v="Pechstein"/>
    <m/>
    <e v="#N/A"/>
    <e v="#N/A"/>
    <e v="#N/A"/>
    <e v="#N/A"/>
    <x v="11"/>
  </r>
  <r>
    <x v="1588"/>
    <n v="1"/>
    <x v="35"/>
    <x v="0"/>
    <s v="imsPP2: Sichtbarkeit Einstellungen nur für ReportUser"/>
    <m/>
    <s v="Despotovic"/>
    <m/>
    <e v="#N/A"/>
    <e v="#N/A"/>
    <e v="#N/A"/>
    <e v="#N/A"/>
    <x v="11"/>
  </r>
  <r>
    <x v="1588"/>
    <n v="1"/>
    <x v="35"/>
    <x v="0"/>
    <s v="Powercharts:  neues Setup Win7 + XP + Support"/>
    <m/>
    <s v="Netz"/>
    <m/>
    <e v="#N/A"/>
    <e v="#N/A"/>
    <e v="#N/A"/>
    <e v="#N/A"/>
    <x v="11"/>
  </r>
  <r>
    <x v="1588"/>
    <n v="1"/>
    <x v="35"/>
    <x v="0"/>
    <s v="Kostenkalkulator: DPMPSN Teilmarkt Kalkulation"/>
    <m/>
    <s v="Pechstein"/>
    <m/>
    <e v="#N/A"/>
    <e v="#N/A"/>
    <e v="#N/A"/>
    <e v="#N/A"/>
    <x v="11"/>
  </r>
  <r>
    <x v="1588"/>
    <n v="1"/>
    <x v="35"/>
    <x v="0"/>
    <s v="imsPP2: Support"/>
    <m/>
    <s v="Neumer"/>
    <m/>
    <e v="#N/A"/>
    <e v="#N/A"/>
    <e v="#N/A"/>
    <e v="#N/A"/>
    <x v="11"/>
  </r>
  <r>
    <x v="1588"/>
    <n v="1"/>
    <x v="35"/>
    <x v="0"/>
    <s v="imsPP2: ActualMonth Dialog jede Study nur einmal"/>
    <m/>
    <s v="Despotovic"/>
    <m/>
    <e v="#N/A"/>
    <e v="#N/A"/>
    <e v="#N/A"/>
    <e v="#N/A"/>
    <x v="11"/>
  </r>
  <r>
    <x v="1588"/>
    <n v="1"/>
    <x v="35"/>
    <x v="0"/>
    <s v="imsPP2: Statusreport "/>
    <m/>
    <s v="Despotovic"/>
    <m/>
    <e v="#N/A"/>
    <e v="#N/A"/>
    <e v="#N/A"/>
    <e v="#N/A"/>
    <x v="11"/>
  </r>
  <r>
    <x v="1589"/>
    <n v="4"/>
    <x v="35"/>
    <x v="0"/>
    <s v="imsPP2: OutputChecks Kein FTP Versand + ExcludeFromProdesis Bugfixing"/>
    <m/>
    <s v="Despotovic"/>
    <m/>
    <e v="#N/A"/>
    <e v="#N/A"/>
    <e v="#N/A"/>
    <e v="#N/A"/>
    <x v="11"/>
  </r>
  <r>
    <x v="1589"/>
    <n v="4"/>
    <x v="35"/>
    <x v="0"/>
    <s v="imsPP2: Reporting StatusReport Änderungen Status 8a + ExcludeFromProdesis"/>
    <m/>
    <s v="Despotovic"/>
    <m/>
    <e v="#N/A"/>
    <e v="#N/A"/>
    <e v="#N/A"/>
    <e v="#N/A"/>
    <x v="11"/>
  </r>
  <r>
    <x v="1590"/>
    <n v="4"/>
    <x v="35"/>
    <x v="0"/>
    <s v="imsPP2: Reporting StatusReport Änderungen Status 8a + ExcludeFromProdesis"/>
    <m/>
    <s v="Despotovic"/>
    <m/>
    <e v="#N/A"/>
    <e v="#N/A"/>
    <e v="#N/A"/>
    <e v="#N/A"/>
    <x v="11"/>
  </r>
  <r>
    <x v="1590"/>
    <n v="2"/>
    <x v="35"/>
    <x v="0"/>
    <s v="imsPP2: Monatsübersicht"/>
    <m/>
    <s v="Despotovic"/>
    <m/>
    <e v="#N/A"/>
    <e v="#N/A"/>
    <e v="#N/A"/>
    <e v="#N/A"/>
    <x v="11"/>
  </r>
  <r>
    <x v="1591"/>
    <n v="2"/>
    <x v="35"/>
    <x v="0"/>
    <s v="imsPP2: Comments Spalte in OutputCheckList"/>
    <m/>
    <s v="Despotovic"/>
    <m/>
    <e v="#N/A"/>
    <e v="#N/A"/>
    <e v="#N/A"/>
    <e v="#N/A"/>
    <x v="11"/>
  </r>
  <r>
    <x v="1591"/>
    <n v="1"/>
    <x v="35"/>
    <x v="0"/>
    <s v="Powercharts:  Gruppierung UGK Klassen, groupings.xml Support"/>
    <m/>
    <s v="Netz"/>
    <m/>
    <e v="#N/A"/>
    <e v="#N/A"/>
    <e v="#N/A"/>
    <e v="#N/A"/>
    <x v="11"/>
  </r>
  <r>
    <x v="1591"/>
    <n v="1"/>
    <x v="35"/>
    <x v="0"/>
    <s v="imsPP2: Setup + Installation"/>
    <m/>
    <s v="Despotovic"/>
    <m/>
    <e v="#N/A"/>
    <e v="#N/A"/>
    <e v="#N/A"/>
    <e v="#N/A"/>
    <x v="11"/>
  </r>
  <r>
    <x v="1591"/>
    <n v="1"/>
    <x v="35"/>
    <x v="0"/>
    <s v="imsPP2: ReadyAndExport Filter"/>
    <m/>
    <s v="Despotovic"/>
    <m/>
    <e v="#N/A"/>
    <e v="#N/A"/>
    <e v="#N/A"/>
    <e v="#N/A"/>
    <x v="11"/>
  </r>
  <r>
    <x v="1592"/>
    <n v="2"/>
    <x v="35"/>
    <x v="0"/>
    <s v="imsPP: Support PHS Produktionen"/>
    <m/>
    <s v="Hornbruch"/>
    <m/>
    <e v="#N/A"/>
    <e v="#N/A"/>
    <e v="#N/A"/>
    <e v="#N/A"/>
    <x v="11"/>
  </r>
  <r>
    <x v="1592"/>
    <n v="2"/>
    <x v="35"/>
    <x v="0"/>
    <s v="imsPP2: Setup + Installation + Bugfixing nach fehlerhaftem Setup"/>
    <m/>
    <s v="Despotovic"/>
    <m/>
    <e v="#N/A"/>
    <e v="#N/A"/>
    <e v="#N/A"/>
    <e v="#N/A"/>
    <x v="11"/>
  </r>
  <r>
    <x v="1593"/>
    <n v="2"/>
    <x v="35"/>
    <x v="0"/>
    <s v="Powercharts:  Besprechungen Frankfurt"/>
    <m/>
    <s v="Netz"/>
    <m/>
    <e v="#N/A"/>
    <e v="#N/A"/>
    <e v="#N/A"/>
    <e v="#N/A"/>
    <x v="11"/>
  </r>
  <r>
    <x v="1593"/>
    <n v="1"/>
    <x v="35"/>
    <x v="0"/>
    <s v="meeting CHA Calculator"/>
    <m/>
    <s v="Spiegel"/>
    <m/>
    <e v="#N/A"/>
    <e v="#N/A"/>
    <e v="#N/A"/>
    <e v="#N/A"/>
    <x v="11"/>
  </r>
  <r>
    <x v="1593"/>
    <n v="4"/>
    <x v="35"/>
    <x v="0"/>
    <s v="imsPP2: Parallelisierung FileImport"/>
    <m/>
    <s v="Despotovic"/>
    <m/>
    <e v="#N/A"/>
    <e v="#N/A"/>
    <e v="#N/A"/>
    <e v="#N/A"/>
    <x v="11"/>
  </r>
  <r>
    <x v="1594"/>
    <n v="2"/>
    <x v="35"/>
    <x v="0"/>
    <s v="imsPP: Support PHS Produktionen"/>
    <m/>
    <s v="Hornbruch"/>
    <m/>
    <e v="#N/A"/>
    <e v="#N/A"/>
    <e v="#N/A"/>
    <e v="#N/A"/>
    <x v="11"/>
  </r>
  <r>
    <x v="1594"/>
    <n v="6"/>
    <x v="35"/>
    <x v="0"/>
    <s v="Powercharts:  Suchfunktion, Gruppierungsfehler, Produktgruppe + Rest, Setup + Test"/>
    <m/>
    <s v="Netz"/>
    <m/>
    <e v="#N/A"/>
    <e v="#N/A"/>
    <e v="#N/A"/>
    <e v="#N/A"/>
    <x v="11"/>
  </r>
  <r>
    <x v="1594"/>
    <n v="1"/>
    <x v="35"/>
    <x v="0"/>
    <s v="Kostenkalkulator: DPMPSN Teilmarkt DataView Berechnung"/>
    <m/>
    <s v="Pechstein"/>
    <m/>
    <e v="#N/A"/>
    <e v="#N/A"/>
    <e v="#N/A"/>
    <e v="#N/A"/>
    <x v="11"/>
  </r>
  <r>
    <x v="1595"/>
    <n v="4"/>
    <x v="35"/>
    <x v="0"/>
    <s v="Powercharts:  compressPP2007 neue Version für neues Layout"/>
    <m/>
    <s v="Netz"/>
    <m/>
    <e v="#N/A"/>
    <e v="#N/A"/>
    <e v="#N/A"/>
    <e v="#N/A"/>
    <x v="11"/>
  </r>
  <r>
    <x v="1595"/>
    <n v="1"/>
    <x v="35"/>
    <x v="0"/>
    <s v="imsPP2: Datum Detected SaSmp Productions"/>
    <m/>
    <s v="Despotovic"/>
    <m/>
    <e v="#N/A"/>
    <e v="#N/A"/>
    <e v="#N/A"/>
    <e v="#N/A"/>
    <x v="11"/>
  </r>
  <r>
    <x v="1595"/>
    <n v="3"/>
    <x v="35"/>
    <x v="0"/>
    <s v="imsPP2: Parallelisierung FileImport"/>
    <m/>
    <s v="Despotovic"/>
    <m/>
    <e v="#N/A"/>
    <e v="#N/A"/>
    <e v="#N/A"/>
    <e v="#N/A"/>
    <x v="11"/>
  </r>
  <r>
    <x v="1596"/>
    <n v="3"/>
    <x v="35"/>
    <x v="0"/>
    <s v="imsPP2: Parallelisierung FileImport"/>
    <m/>
    <s v="Despotovic"/>
    <m/>
    <e v="#N/A"/>
    <e v="#N/A"/>
    <e v="#N/A"/>
    <e v="#N/A"/>
    <x v="11"/>
  </r>
  <r>
    <x v="1597"/>
    <n v="8"/>
    <x v="35"/>
    <x v="0"/>
    <s v="imsPP2: Parallelisierung FileImport"/>
    <m/>
    <s v="Despotovic"/>
    <m/>
    <e v="#N/A"/>
    <e v="#N/A"/>
    <e v="#N/A"/>
    <e v="#N/A"/>
    <x v="11"/>
  </r>
  <r>
    <x v="1597"/>
    <n v="1"/>
    <x v="35"/>
    <x v="0"/>
    <s v="imsPP2: Detected Value"/>
    <m/>
    <s v="Despotovic"/>
    <m/>
    <e v="#N/A"/>
    <e v="#N/A"/>
    <e v="#N/A"/>
    <e v="#N/A"/>
    <x v="11"/>
  </r>
  <r>
    <x v="1598"/>
    <n v="4"/>
    <x v="35"/>
    <x v="0"/>
    <s v="imsPP2: Parallelisierung FileImport"/>
    <m/>
    <s v="Despotovic"/>
    <m/>
    <e v="#N/A"/>
    <e v="#N/A"/>
    <e v="#N/A"/>
    <e v="#N/A"/>
    <x v="11"/>
  </r>
  <r>
    <x v="1599"/>
    <n v="2"/>
    <x v="35"/>
    <x v="0"/>
    <s v="imsPP2: Parallelisierung FileImport"/>
    <m/>
    <s v="Despotovic"/>
    <m/>
    <e v="#N/A"/>
    <e v="#N/A"/>
    <e v="#N/A"/>
    <e v="#N/A"/>
    <x v="11"/>
  </r>
  <r>
    <x v="1600"/>
    <n v="4"/>
    <x v="35"/>
    <x v="0"/>
    <s v="imsPP2: Systemtest + Update"/>
    <m/>
    <s v="Despotovic"/>
    <m/>
    <e v="#N/A"/>
    <e v="#N/A"/>
    <e v="#N/A"/>
    <e v="#N/A"/>
    <x v="11"/>
  </r>
  <r>
    <x v="1600"/>
    <n v="2"/>
    <x v="35"/>
    <x v="0"/>
    <s v="Kostenkalkulator: DPMPSN Test + Update Teilmarkt DataView Lizenezen + Update "/>
    <m/>
    <s v="Pechstein"/>
    <m/>
    <e v="#N/A"/>
    <e v="#N/A"/>
    <e v="#N/A"/>
    <e v="#N/A"/>
    <x v="11"/>
  </r>
  <r>
    <x v="1601"/>
    <n v="1"/>
    <x v="35"/>
    <x v="0"/>
    <s v="Support Abbvie SQL Server 2008 Installation"/>
    <m/>
    <s v="Ventzke"/>
    <m/>
    <e v="#N/A"/>
    <e v="#N/A"/>
    <e v="#N/A"/>
    <e v="#N/A"/>
    <x v="11"/>
  </r>
  <r>
    <x v="1601"/>
    <n v="0.5"/>
    <x v="35"/>
    <x v="0"/>
    <s v="imsPP2: Telefonmeeting"/>
    <m/>
    <s v="Despotovic"/>
    <m/>
    <e v="#N/A"/>
    <e v="#N/A"/>
    <e v="#N/A"/>
    <e v="#N/A"/>
    <x v="11"/>
  </r>
  <r>
    <x v="1601"/>
    <n v="1"/>
    <x v="35"/>
    <x v="0"/>
    <s v="imsPP2: Comments, Feldlänge"/>
    <m/>
    <s v="Despotovic"/>
    <m/>
    <e v="#N/A"/>
    <e v="#N/A"/>
    <e v="#N/A"/>
    <e v="#N/A"/>
    <x v="11"/>
  </r>
  <r>
    <x v="1601"/>
    <n v="1"/>
    <x v="35"/>
    <x v="0"/>
    <s v="imsPP2: Rerun"/>
    <m/>
    <s v="Despotovic"/>
    <m/>
    <e v="#N/A"/>
    <e v="#N/A"/>
    <e v="#N/A"/>
    <e v="#N/A"/>
    <x v="11"/>
  </r>
  <r>
    <x v="1601"/>
    <n v="3"/>
    <x v="35"/>
    <x v="0"/>
    <s v="imsPP2: Bug Schnelles Klicken + DB Updates"/>
    <m/>
    <s v="Despotovic"/>
    <m/>
    <e v="#N/A"/>
    <e v="#N/A"/>
    <e v="#N/A"/>
    <e v="#N/A"/>
    <x v="11"/>
  </r>
  <r>
    <x v="1602"/>
    <n v="3"/>
    <x v="35"/>
    <x v="0"/>
    <s v="imsPP2: Bug Schnelles Klicken + DB Updates"/>
    <m/>
    <s v="Despotovic"/>
    <m/>
    <e v="#N/A"/>
    <e v="#N/A"/>
    <e v="#N/A"/>
    <e v="#N/A"/>
    <x v="11"/>
  </r>
  <r>
    <x v="1602"/>
    <n v="4"/>
    <x v="35"/>
    <x v="0"/>
    <s v="Powercharts:  Fehleranalyse Janosch"/>
    <m/>
    <s v="Netz"/>
    <m/>
    <e v="#N/A"/>
    <e v="#N/A"/>
    <e v="#N/A"/>
    <e v="#N/A"/>
    <x v="11"/>
  </r>
  <r>
    <x v="1602"/>
    <n v="0.5"/>
    <x v="35"/>
    <x v="0"/>
    <s v="TelefonMeeting CHA Calculator"/>
    <m/>
    <s v="Spiegel"/>
    <m/>
    <e v="#N/A"/>
    <e v="#N/A"/>
    <e v="#N/A"/>
    <e v="#N/A"/>
    <x v="11"/>
  </r>
  <r>
    <x v="1602"/>
    <n v="0.5"/>
    <x v="35"/>
    <x v="0"/>
    <s v="imsPP2: Kommentarfeld 255 Zeichen"/>
    <m/>
    <s v="Despotovic"/>
    <m/>
    <e v="#N/A"/>
    <e v="#N/A"/>
    <e v="#N/A"/>
    <e v="#N/A"/>
    <x v="11"/>
  </r>
  <r>
    <x v="1602"/>
    <n v="2"/>
    <x v="35"/>
    <x v="0"/>
    <s v="imsPP2: 6-&gt;9a Button"/>
    <m/>
    <s v="Despotovic"/>
    <m/>
    <e v="#N/A"/>
    <e v="#N/A"/>
    <e v="#N/A"/>
    <e v="#N/A"/>
    <x v="11"/>
  </r>
  <r>
    <x v="1603"/>
    <n v="0.5"/>
    <x v="35"/>
    <x v="0"/>
    <s v="imsPP2: Telefonmeeting Taunus"/>
    <m/>
    <s v="Borchard"/>
    <m/>
    <e v="#N/A"/>
    <e v="#N/A"/>
    <e v="#N/A"/>
    <e v="#N/A"/>
    <x v="11"/>
  </r>
  <r>
    <x v="1603"/>
    <n v="4"/>
    <x v="35"/>
    <x v="0"/>
    <s v="Powercharts:  Fehleranalyse Komissarenko"/>
    <m/>
    <s v="Netz"/>
    <m/>
    <e v="#N/A"/>
    <e v="#N/A"/>
    <e v="#N/A"/>
    <e v="#N/A"/>
    <x v="11"/>
  </r>
  <r>
    <x v="1603"/>
    <n v="3.5"/>
    <x v="35"/>
    <x v="0"/>
    <s v="imsPP2: Export Bug viele Datensätze"/>
    <m/>
    <s v="Despotovic"/>
    <m/>
    <e v="#N/A"/>
    <e v="#N/A"/>
    <e v="#N/A"/>
    <e v="#N/A"/>
    <x v="11"/>
  </r>
  <r>
    <x v="1604"/>
    <n v="0.5"/>
    <x v="35"/>
    <x v="0"/>
    <s v="Support Abbvie Datenbank Restore"/>
    <m/>
    <s v="Ventzke"/>
    <m/>
    <e v="#N/A"/>
    <e v="#N/A"/>
    <e v="#N/A"/>
    <e v="#N/A"/>
    <x v="11"/>
  </r>
  <r>
    <x v="1604"/>
    <n v="0.5"/>
    <x v="35"/>
    <x v="0"/>
    <s v="Support PP1 "/>
    <m/>
    <s v="Despotovic"/>
    <m/>
    <e v="#N/A"/>
    <e v="#N/A"/>
    <e v="#N/A"/>
    <e v="#N/A"/>
    <x v="11"/>
  </r>
  <r>
    <x v="1604"/>
    <n v="3"/>
    <x v="35"/>
    <x v="0"/>
    <s v="imsPP2: Export Bug viele Datensätze"/>
    <m/>
    <s v="Despotovic"/>
    <m/>
    <e v="#N/A"/>
    <e v="#N/A"/>
    <e v="#N/A"/>
    <e v="#N/A"/>
    <x v="11"/>
  </r>
  <r>
    <x v="1604"/>
    <n v="1"/>
    <x v="35"/>
    <x v="0"/>
    <s v="imsPP2: Rerun"/>
    <m/>
    <s v="Despotovic"/>
    <m/>
    <e v="#N/A"/>
    <e v="#N/A"/>
    <e v="#N/A"/>
    <e v="#N/A"/>
    <x v="11"/>
  </r>
  <r>
    <x v="1604"/>
    <n v="1"/>
    <x v="35"/>
    <x v="0"/>
    <s v="imsPP2: SaSmpChecklist Refresh Bug"/>
    <m/>
    <s v="Despotovic"/>
    <m/>
    <e v="#N/A"/>
    <e v="#N/A"/>
    <e v="#N/A"/>
    <e v="#N/A"/>
    <x v="11"/>
  </r>
  <r>
    <x v="1605"/>
    <n v="1"/>
    <x v="35"/>
    <x v="0"/>
    <s v="imsPP2: Ausnahmeliste"/>
    <m/>
    <s v="Despotovic"/>
    <m/>
    <e v="#N/A"/>
    <e v="#N/A"/>
    <e v="#N/A"/>
    <e v="#N/A"/>
    <x v="11"/>
  </r>
  <r>
    <x v="1605"/>
    <n v="0.5"/>
    <x v="35"/>
    <x v="0"/>
    <s v="imsPP2: Support"/>
    <m/>
    <s v="Despotovic"/>
    <m/>
    <e v="#N/A"/>
    <e v="#N/A"/>
    <e v="#N/A"/>
    <e v="#N/A"/>
    <x v="11"/>
  </r>
  <r>
    <x v="1605"/>
    <n v="1.5"/>
    <x v="35"/>
    <x v="0"/>
    <s v="imsPP2: Refresh SA/SMP Checklist Bugfix"/>
    <m/>
    <s v="Despotovic"/>
    <m/>
    <e v="#N/A"/>
    <e v="#N/A"/>
    <e v="#N/A"/>
    <e v="#N/A"/>
    <x v="11"/>
  </r>
  <r>
    <x v="1605"/>
    <n v="2"/>
    <x v="35"/>
    <x v="0"/>
    <s v="CHA Kalkulator: Datenbankerstellung"/>
    <m/>
    <s v="Spiegel"/>
    <m/>
    <e v="#N/A"/>
    <e v="#N/A"/>
    <e v="#N/A"/>
    <e v="#N/A"/>
    <x v="11"/>
  </r>
  <r>
    <x v="1605"/>
    <n v="1.5"/>
    <x v="35"/>
    <x v="0"/>
    <s v="imsPP2: Ausnahmeliste"/>
    <m/>
    <s v="Despotovic"/>
    <m/>
    <e v="#N/A"/>
    <e v="#N/A"/>
    <e v="#N/A"/>
    <e v="#N/A"/>
    <x v="11"/>
  </r>
  <r>
    <x v="1606"/>
    <n v="1"/>
    <x v="35"/>
    <x v="0"/>
    <s v="imsPP2: Ausnahmeliste"/>
    <m/>
    <s v="Despotovic"/>
    <m/>
    <e v="#N/A"/>
    <e v="#N/A"/>
    <e v="#N/A"/>
    <e v="#N/A"/>
    <x v="11"/>
  </r>
  <r>
    <x v="1606"/>
    <n v="1"/>
    <x v="35"/>
    <x v="0"/>
    <s v="Kostenkalkulator: DPMPSN Mindestpreise"/>
    <m/>
    <s v="Pechstein"/>
    <m/>
    <e v="#N/A"/>
    <e v="#N/A"/>
    <e v="#N/A"/>
    <e v="#N/A"/>
    <x v="11"/>
  </r>
  <r>
    <x v="1606"/>
    <n v="1"/>
    <x v="35"/>
    <x v="0"/>
    <s v="Kostenkalkulator: Support neue Benutzer + neuer SL Konfigurator"/>
    <m/>
    <s v="Pechstein"/>
    <m/>
    <e v="#N/A"/>
    <e v="#N/A"/>
    <e v="#N/A"/>
    <e v="#N/A"/>
    <x v="11"/>
  </r>
  <r>
    <x v="1606"/>
    <n v="4"/>
    <x v="35"/>
    <x v="0"/>
    <s v="Powercharts:  Markt an Marktbasis + Test + neues Update"/>
    <m/>
    <s v="Komissarenko"/>
    <m/>
    <e v="#N/A"/>
    <e v="#N/A"/>
    <e v="#N/A"/>
    <e v="#N/A"/>
    <x v="11"/>
  </r>
  <r>
    <x v="1607"/>
    <n v="6"/>
    <x v="35"/>
    <x v="0"/>
    <s v="CHA Kalkulator: Erstellung Infrastruktur"/>
    <m/>
    <s v="Spiegel"/>
    <m/>
    <e v="#N/A"/>
    <e v="#N/A"/>
    <e v="#N/A"/>
    <e v="#N/A"/>
    <x v="11"/>
  </r>
  <r>
    <x v="1607"/>
    <n v="1"/>
    <x v="35"/>
    <x v="0"/>
    <s v="Powercharts:  Ausnahmegruppe"/>
    <m/>
    <s v="Netz"/>
    <m/>
    <e v="#N/A"/>
    <e v="#N/A"/>
    <e v="#N/A"/>
    <e v="#N/A"/>
    <x v="11"/>
  </r>
  <r>
    <x v="1608"/>
    <n v="8"/>
    <x v="35"/>
    <x v="0"/>
    <s v="CHA Kalkulator: Oberfläche"/>
    <m/>
    <s v="Spiegel"/>
    <m/>
    <e v="#N/A"/>
    <e v="#N/A"/>
    <e v="#N/A"/>
    <e v="#N/A"/>
    <x v="11"/>
  </r>
  <r>
    <x v="1608"/>
    <n v="2"/>
    <x v="35"/>
    <x v="0"/>
    <s v="CHA Kalkulator: Datenbankerstellung"/>
    <m/>
    <s v="Spiegel"/>
    <m/>
    <e v="#N/A"/>
    <e v="#N/A"/>
    <e v="#N/A"/>
    <e v="#N/A"/>
    <x v="11"/>
  </r>
  <r>
    <x v="1609"/>
    <n v="1.5"/>
    <x v="35"/>
    <x v="0"/>
    <s v="Taunus: Vorbesprechung "/>
    <m/>
    <s v="Borchard, Avera"/>
    <m/>
    <e v="#N/A"/>
    <e v="#N/A"/>
    <e v="#N/A"/>
    <e v="#N/A"/>
    <x v="11"/>
  </r>
  <r>
    <x v="1609"/>
    <n v="2"/>
    <x v="35"/>
    <x v="0"/>
    <s v="Meeting: PP2, Adam, Planung"/>
    <m/>
    <s v="Borchard"/>
    <m/>
    <e v="#N/A"/>
    <e v="#N/A"/>
    <e v="#N/A"/>
    <e v="#N/A"/>
    <x v="11"/>
  </r>
  <r>
    <x v="1609"/>
    <n v="1.5"/>
    <x v="35"/>
    <x v="0"/>
    <s v="Meeting: PP2"/>
    <m/>
    <s v="Despotovic"/>
    <m/>
    <e v="#N/A"/>
    <e v="#N/A"/>
    <e v="#N/A"/>
    <e v="#N/A"/>
    <x v="11"/>
  </r>
  <r>
    <x v="1610"/>
    <n v="8"/>
    <x v="35"/>
    <x v="0"/>
    <s v="PP2: Performance Client"/>
    <m/>
    <s v="Despotovic"/>
    <m/>
    <e v="#N/A"/>
    <e v="#N/A"/>
    <e v="#N/A"/>
    <e v="#N/A"/>
    <x v="11"/>
  </r>
  <r>
    <x v="1611"/>
    <n v="6"/>
    <x v="35"/>
    <x v="0"/>
    <s v="PP2: Performance Client Seiten Caching"/>
    <m/>
    <s v="Despotovic"/>
    <m/>
    <e v="#N/A"/>
    <e v="#N/A"/>
    <e v="#N/A"/>
    <e v="#N/A"/>
    <x v="11"/>
  </r>
  <r>
    <x v="1611"/>
    <n v="2"/>
    <x v="35"/>
    <x v="0"/>
    <s v="PP2: Test gegen letzte Version eines Vormonats"/>
    <m/>
    <s v="Despotovic"/>
    <m/>
    <e v="#N/A"/>
    <e v="#N/A"/>
    <e v="#N/A"/>
    <e v="#N/A"/>
    <x v="11"/>
  </r>
  <r>
    <x v="1611"/>
    <n v="2"/>
    <x v="35"/>
    <x v="0"/>
    <s v="PP2: DB Reorg"/>
    <m/>
    <s v="Despotovic"/>
    <m/>
    <e v="#N/A"/>
    <e v="#N/A"/>
    <e v="#N/A"/>
    <e v="#N/A"/>
    <x v="11"/>
  </r>
  <r>
    <x v="1611"/>
    <n v="2"/>
    <x v="35"/>
    <x v="0"/>
    <s v="PP2: SaSmp Filter Bug"/>
    <m/>
    <s v="Despotovic"/>
    <m/>
    <e v="#N/A"/>
    <e v="#N/A"/>
    <e v="#N/A"/>
    <e v="#N/A"/>
    <x v="11"/>
  </r>
  <r>
    <x v="1612"/>
    <n v="2"/>
    <x v="35"/>
    <x v="0"/>
    <s v="PP2: ProdKey Ausnahme Dialog"/>
    <m/>
    <s v="Despotovic"/>
    <m/>
    <e v="#N/A"/>
    <e v="#N/A"/>
    <e v="#N/A"/>
    <e v="#N/A"/>
    <x v="11"/>
  </r>
  <r>
    <x v="1612"/>
    <n v="6"/>
    <x v="35"/>
    <x v="0"/>
    <s v="PP2: Performance Client Click Performance Produktionsplan"/>
    <m/>
    <s v="Despotovic"/>
    <m/>
    <e v="#N/A"/>
    <e v="#N/A"/>
    <e v="#N/A"/>
    <e v="#N/A"/>
    <x v="11"/>
  </r>
  <r>
    <x v="1612"/>
    <n v="2"/>
    <x v="35"/>
    <x v="0"/>
    <s v="PP2: DB Reorg"/>
    <m/>
    <s v="Despotovic"/>
    <m/>
    <e v="#N/A"/>
    <e v="#N/A"/>
    <e v="#N/A"/>
    <e v="#N/A"/>
    <x v="11"/>
  </r>
  <r>
    <x v="1612"/>
    <n v="2"/>
    <x v="35"/>
    <x v="0"/>
    <s v="PP2: Anpassung Cubetest immer gegen maximale Version eines Vormonats"/>
    <m/>
    <s v="Despotovic"/>
    <m/>
    <e v="#N/A"/>
    <e v="#N/A"/>
    <e v="#N/A"/>
    <e v="#N/A"/>
    <x v="11"/>
  </r>
  <r>
    <x v="1613"/>
    <n v="1"/>
    <x v="35"/>
    <x v="0"/>
    <s v="PP2: Manuelle Packfunktion"/>
    <m/>
    <s v="Despotovic"/>
    <m/>
    <e v="#N/A"/>
    <e v="#N/A"/>
    <e v="#N/A"/>
    <e v="#N/A"/>
    <x v="11"/>
  </r>
  <r>
    <x v="1613"/>
    <n v="1"/>
    <x v="35"/>
    <x v="0"/>
    <s v="PP2: DB Reorg"/>
    <m/>
    <s v="Despotovic"/>
    <m/>
    <e v="#N/A"/>
    <e v="#N/A"/>
    <e v="#N/A"/>
    <e v="#N/A"/>
    <x v="11"/>
  </r>
  <r>
    <x v="1613"/>
    <n v="1.5"/>
    <x v="35"/>
    <x v="0"/>
    <s v="Powercharts:  Bereitstellung Win7 Version"/>
    <m/>
    <s v="Netz"/>
    <m/>
    <e v="#N/A"/>
    <e v="#N/A"/>
    <e v="#N/A"/>
    <e v="#N/A"/>
    <x v="11"/>
  </r>
  <r>
    <x v="1613"/>
    <n v="1"/>
    <x v="35"/>
    <x v="0"/>
    <s v="Powercharts:  Support compressTool"/>
    <m/>
    <s v="Janosch"/>
    <m/>
    <e v="#N/A"/>
    <e v="#N/A"/>
    <e v="#N/A"/>
    <e v="#N/A"/>
    <x v="11"/>
  </r>
  <r>
    <x v="1613"/>
    <n v="3"/>
    <x v="35"/>
    <x v="0"/>
    <s v="Taunus: Boots Reporting Boots"/>
    <m/>
    <s v="Avera"/>
    <m/>
    <e v="#N/A"/>
    <e v="#N/A"/>
    <e v="#N/A"/>
    <e v="#N/A"/>
    <x v="11"/>
  </r>
  <r>
    <x v="1614"/>
    <n v="3"/>
    <x v="35"/>
    <x v="0"/>
    <s v="PP2: Info LEDs Service + Festplatte"/>
    <m/>
    <s v="Despotovic"/>
    <m/>
    <e v="#N/A"/>
    <e v="#N/A"/>
    <e v="#N/A"/>
    <e v="#N/A"/>
    <x v="11"/>
  </r>
  <r>
    <x v="1614"/>
    <n v="4"/>
    <x v="35"/>
    <x v="0"/>
    <s v="Taunus: Boots Reporting Boots"/>
    <m/>
    <s v="Avera"/>
    <m/>
    <e v="#N/A"/>
    <e v="#N/A"/>
    <e v="#N/A"/>
    <e v="#N/A"/>
    <x v="11"/>
  </r>
  <r>
    <x v="1614"/>
    <n v="3"/>
    <x v="35"/>
    <x v="0"/>
    <s v="PP2: Bugfixing Status 5a, Produktionen versehentlich als Masterfile interpretiert"/>
    <m/>
    <s v="Despotovic"/>
    <m/>
    <e v="#N/A"/>
    <e v="#N/A"/>
    <e v="#N/A"/>
    <e v="#N/A"/>
    <x v="11"/>
  </r>
  <r>
    <x v="1614"/>
    <n v="3"/>
    <x v="35"/>
    <x v="0"/>
    <s v="PP2: Anpassung Cubetest immer gegen maximale Version eines Vormonats"/>
    <m/>
    <s v="Despotovic"/>
    <m/>
    <e v="#N/A"/>
    <e v="#N/A"/>
    <e v="#N/A"/>
    <e v="#N/A"/>
    <x v="11"/>
  </r>
  <r>
    <x v="1614"/>
    <n v="1"/>
    <x v="35"/>
    <x v="0"/>
    <s v="PP2: Test + Systemupdate"/>
    <m/>
    <s v="Despotovic"/>
    <m/>
    <e v="#N/A"/>
    <e v="#N/A"/>
    <e v="#N/A"/>
    <e v="#N/A"/>
    <x v="11"/>
  </r>
  <r>
    <x v="1615"/>
    <n v="8"/>
    <x v="35"/>
    <x v="0"/>
    <s v="Taunus: PowerSpreadsheet"/>
    <m/>
    <s v="Avera"/>
    <m/>
    <e v="#N/A"/>
    <e v="#N/A"/>
    <e v="#N/A"/>
    <e v="#N/A"/>
    <x v="11"/>
  </r>
  <r>
    <x v="1616"/>
    <n v="2"/>
    <x v="35"/>
    <x v="0"/>
    <s v="PP2: Anpassung Cubetest immer gegen maximale Version eines Vormonats"/>
    <m/>
    <s v="Despotovic"/>
    <m/>
    <e v="#N/A"/>
    <e v="#N/A"/>
    <e v="#N/A"/>
    <e v="#N/A"/>
    <x v="11"/>
  </r>
  <r>
    <x v="1617"/>
    <n v="8"/>
    <x v="35"/>
    <x v="0"/>
    <s v="Taunus: PowerSpreadsheet"/>
    <m/>
    <s v="Avera"/>
    <m/>
    <e v="#N/A"/>
    <e v="#N/A"/>
    <e v="#N/A"/>
    <e v="#N/A"/>
    <x v="11"/>
  </r>
  <r>
    <x v="1618"/>
    <n v="7"/>
    <x v="35"/>
    <x v="0"/>
    <s v="Taunus: PowerSpreadsheet"/>
    <m/>
    <s v="Avera"/>
    <m/>
    <e v="#N/A"/>
    <e v="#N/A"/>
    <e v="#N/A"/>
    <e v="#N/A"/>
    <x v="11"/>
  </r>
  <r>
    <x v="1618"/>
    <n v="2"/>
    <x v="35"/>
    <x v="0"/>
    <s v="PP2: Logging für Statusänderungen"/>
    <m/>
    <s v="Despotovic"/>
    <m/>
    <e v="#N/A"/>
    <e v="#N/A"/>
    <e v="#N/A"/>
    <e v="#N/A"/>
    <x v="11"/>
  </r>
  <r>
    <x v="1618"/>
    <n v="3"/>
    <x v="35"/>
    <x v="0"/>
    <s v="PP2: Systemtest: Anpassung Cubetest immer gegen maximale Version eines Vormonats"/>
    <m/>
    <s v="Despotovic"/>
    <m/>
    <e v="#N/A"/>
    <e v="#N/A"/>
    <e v="#N/A"/>
    <e v="#N/A"/>
    <x v="11"/>
  </r>
  <r>
    <x v="1619"/>
    <n v="1"/>
    <x v="35"/>
    <x v="0"/>
    <s v="PP2: ReportID Sortierung"/>
    <m/>
    <s v="Despotovic"/>
    <m/>
    <e v="#N/A"/>
    <e v="#N/A"/>
    <e v="#N/A"/>
    <e v="#N/A"/>
    <x v="11"/>
  </r>
  <r>
    <x v="1619"/>
    <n v="4"/>
    <x v="35"/>
    <x v="0"/>
    <s v="Taunus: PowerSpreadsheet"/>
    <m/>
    <s v="Avera"/>
    <m/>
    <e v="#N/A"/>
    <e v="#N/A"/>
    <e v="#N/A"/>
    <e v="#N/A"/>
    <x v="11"/>
  </r>
  <r>
    <x v="1619"/>
    <n v="0.5"/>
    <x v="35"/>
    <x v="0"/>
    <s v="PP2: Support Prodesisexport"/>
    <m/>
    <s v="Despotovic"/>
    <m/>
    <e v="#N/A"/>
    <e v="#N/A"/>
    <e v="#N/A"/>
    <e v="#N/A"/>
    <x v="11"/>
  </r>
  <r>
    <x v="1619"/>
    <n v="3.5"/>
    <x v="35"/>
    <x v="0"/>
    <s v="PP2: Manuelles Packen von Produktionen"/>
    <m/>
    <s v="Despotovic"/>
    <m/>
    <e v="#N/A"/>
    <e v="#N/A"/>
    <e v="#N/A"/>
    <e v="#N/A"/>
    <x v="11"/>
  </r>
  <r>
    <x v="1620"/>
    <n v="4"/>
    <x v="35"/>
    <x v="0"/>
    <s v="PP2: Automatisches Packen von Produktionen unterschiedlicher Studies"/>
    <m/>
    <s v="Despotovic"/>
    <m/>
    <e v="#N/A"/>
    <e v="#N/A"/>
    <e v="#N/A"/>
    <e v="#N/A"/>
    <x v="11"/>
  </r>
  <r>
    <x v="1620"/>
    <n v="3"/>
    <x v="35"/>
    <x v="0"/>
    <s v="PP2: Support Adhoc, geplante Produktionen, Lundberg + Prodesisexport"/>
    <m/>
    <s v="Despotovic"/>
    <m/>
    <e v="#N/A"/>
    <e v="#N/A"/>
    <e v="#N/A"/>
    <e v="#N/A"/>
    <x v="11"/>
  </r>
  <r>
    <x v="1620"/>
    <n v="1"/>
    <x v="35"/>
    <x v="0"/>
    <s v="Taunus: PowerSpreadsheet"/>
    <m/>
    <s v="Avera"/>
    <m/>
    <e v="#N/A"/>
    <e v="#N/A"/>
    <e v="#N/A"/>
    <e v="#N/A"/>
    <x v="11"/>
  </r>
  <r>
    <x v="1621"/>
    <n v="0.5"/>
    <x v="35"/>
    <x v="0"/>
    <s v="Taunus: PowerSpreadsheet"/>
    <m/>
    <s v="Avera"/>
    <m/>
    <e v="#N/A"/>
    <e v="#N/A"/>
    <e v="#N/A"/>
    <e v="#N/A"/>
    <x v="11"/>
  </r>
  <r>
    <x v="1621"/>
    <n v="1"/>
    <x v="35"/>
    <x v="0"/>
    <s v="PP2: Support Adhoc, blockierte Produktion"/>
    <m/>
    <s v="Despotovic"/>
    <m/>
    <e v="#N/A"/>
    <e v="#N/A"/>
    <e v="#N/A"/>
    <e v="#N/A"/>
    <x v="11"/>
  </r>
  <r>
    <x v="1621"/>
    <n v="1"/>
    <x v="35"/>
    <x v="0"/>
    <s v="PP2: Support Leere Folder PFZONK1S"/>
    <m/>
    <s v="Despotovic"/>
    <m/>
    <e v="#N/A"/>
    <e v="#N/A"/>
    <e v="#N/A"/>
    <e v="#N/A"/>
    <x v="11"/>
  </r>
  <r>
    <x v="1621"/>
    <n v="2"/>
    <x v="35"/>
    <x v="0"/>
    <s v="PP2: Manuelles Packen von Produktionen-&gt; Service"/>
    <m/>
    <s v="Despotovic"/>
    <m/>
    <e v="#N/A"/>
    <e v="#N/A"/>
    <e v="#N/A"/>
    <e v="#N/A"/>
    <x v="11"/>
  </r>
  <r>
    <x v="1621"/>
    <n v="5"/>
    <x v="35"/>
    <x v="0"/>
    <s v="Taunus: PowerSpreadsheet"/>
    <m/>
    <s v="Geiger"/>
    <m/>
    <e v="#N/A"/>
    <e v="#N/A"/>
    <e v="#N/A"/>
    <e v="#N/A"/>
    <x v="11"/>
  </r>
  <r>
    <x v="1622"/>
    <n v="8"/>
    <x v="35"/>
    <x v="0"/>
    <s v="Taunus: PowerSpreadsheet"/>
    <m/>
    <s v="Geiger"/>
    <m/>
    <e v="#N/A"/>
    <e v="#N/A"/>
    <e v="#N/A"/>
    <e v="#N/A"/>
    <x v="11"/>
  </r>
  <r>
    <x v="1622"/>
    <n v="1"/>
    <x v="35"/>
    <x v="0"/>
    <s v="PP2: Manueller Prodesisversand"/>
    <m/>
    <s v="Despotovic"/>
    <m/>
    <e v="#N/A"/>
    <e v="#N/A"/>
    <e v="#N/A"/>
    <e v="#N/A"/>
    <x v="11"/>
  </r>
  <r>
    <x v="1623"/>
    <n v="6"/>
    <x v="35"/>
    <x v="0"/>
    <s v="Taunus: PowerSpreadsheet"/>
    <m/>
    <s v="Geiger"/>
    <m/>
    <e v="#N/A"/>
    <e v="#N/A"/>
    <e v="#N/A"/>
    <e v="#N/A"/>
    <x v="11"/>
  </r>
  <r>
    <x v="1623"/>
    <n v="5"/>
    <x v="35"/>
    <x v="0"/>
    <s v="PP2: Manuelles Packen von Produktionen-&gt; Service"/>
    <m/>
    <s v="Despotovic"/>
    <m/>
    <e v="#N/A"/>
    <e v="#N/A"/>
    <e v="#N/A"/>
    <e v="#N/A"/>
    <x v="11"/>
  </r>
  <r>
    <x v="1623"/>
    <n v="1.5"/>
    <x v="35"/>
    <x v="0"/>
    <s v="PP2: Reporting Monatsauswahl"/>
    <m/>
    <s v="Despotovic"/>
    <m/>
    <e v="#N/A"/>
    <e v="#N/A"/>
    <e v="#N/A"/>
    <e v="#N/A"/>
    <x v="11"/>
  </r>
  <r>
    <x v="1624"/>
    <n v="6"/>
    <x v="35"/>
    <x v="0"/>
    <s v="Taunus: PowerSpreadsheet"/>
    <m/>
    <s v="Geiger"/>
    <m/>
    <e v="#N/A"/>
    <e v="#N/A"/>
    <e v="#N/A"/>
    <e v="#N/A"/>
    <x v="11"/>
  </r>
  <r>
    <x v="1624"/>
    <n v="1"/>
    <x v="35"/>
    <x v="0"/>
    <s v="CHA Kalkulator: Oberfläche"/>
    <m/>
    <s v="Spiegel"/>
    <m/>
    <e v="#N/A"/>
    <e v="#N/A"/>
    <e v="#N/A"/>
    <e v="#N/A"/>
    <x v="11"/>
  </r>
  <r>
    <x v="1625"/>
    <n v="6"/>
    <x v="35"/>
    <x v="0"/>
    <s v="Taunus: PowerSpreadsheet"/>
    <m/>
    <s v="Geiger"/>
    <m/>
    <e v="#N/A"/>
    <e v="#N/A"/>
    <e v="#N/A"/>
    <e v="#N/A"/>
    <x v="11"/>
  </r>
  <r>
    <x v="1625"/>
    <n v="2"/>
    <x v="35"/>
    <x v="0"/>
    <s v="PP2: Support Pfizer zip Files"/>
    <m/>
    <s v="Despotovic"/>
    <m/>
    <e v="#N/A"/>
    <e v="#N/A"/>
    <e v="#N/A"/>
    <e v="#N/A"/>
    <x v="11"/>
  </r>
  <r>
    <x v="1626"/>
    <n v="2"/>
    <x v="35"/>
    <x v="0"/>
    <s v="PP2: Bereitstellung neue Version"/>
    <m/>
    <s v="Despotovic"/>
    <m/>
    <e v="#N/A"/>
    <e v="#N/A"/>
    <e v="#N/A"/>
    <e v="#N/A"/>
    <x v="11"/>
  </r>
  <r>
    <x v="1626"/>
    <n v="2"/>
    <x v="35"/>
    <x v="0"/>
    <s v="PP2: Bugfixing Dateilinks"/>
    <m/>
    <s v="Despotovic"/>
    <m/>
    <e v="#N/A"/>
    <e v="#N/A"/>
    <e v="#N/A"/>
    <e v="#N/A"/>
    <x v="11"/>
  </r>
  <r>
    <x v="1626"/>
    <n v="4"/>
    <x v="35"/>
    <x v="0"/>
    <s v="Taunus: Boots Overview"/>
    <m/>
    <s v="Geiger"/>
    <m/>
    <e v="#N/A"/>
    <e v="#N/A"/>
    <e v="#N/A"/>
    <e v="#N/A"/>
    <x v="11"/>
  </r>
  <r>
    <x v="1627"/>
    <n v="1"/>
    <x v="35"/>
    <x v="0"/>
    <s v="CHA Kalkulator: Oberfläche"/>
    <m/>
    <s v="Spiegel"/>
    <m/>
    <e v="#N/A"/>
    <e v="#N/A"/>
    <e v="#N/A"/>
    <e v="#N/A"/>
    <x v="11"/>
  </r>
  <r>
    <x v="1627"/>
    <n v="3"/>
    <x v="35"/>
    <x v="0"/>
    <s v="PP2: Manueller Prodesisversand"/>
    <m/>
    <s v="Despotovic"/>
    <m/>
    <e v="#N/A"/>
    <e v="#N/A"/>
    <e v="#N/A"/>
    <e v="#N/A"/>
    <x v="11"/>
  </r>
  <r>
    <x v="1628"/>
    <n v="4"/>
    <x v="35"/>
    <x v="0"/>
    <s v="Taunus: Boots Detail"/>
    <m/>
    <s v="Geiger"/>
    <m/>
    <e v="#N/A"/>
    <e v="#N/A"/>
    <e v="#N/A"/>
    <e v="#N/A"/>
    <x v="11"/>
  </r>
  <r>
    <x v="1628"/>
    <n v="3"/>
    <x v="35"/>
    <x v="0"/>
    <s v="PP2: Manueller Prodesisversand"/>
    <m/>
    <s v="Despotovic"/>
    <m/>
    <e v="#N/A"/>
    <e v="#N/A"/>
    <e v="#N/A"/>
    <e v="#N/A"/>
    <x v="11"/>
  </r>
  <r>
    <x v="1628"/>
    <n v="1"/>
    <x v="35"/>
    <x v="0"/>
    <s v="CHA Kalkulator: Oberfläche"/>
    <m/>
    <s v="Spiegel"/>
    <m/>
    <e v="#N/A"/>
    <e v="#N/A"/>
    <e v="#N/A"/>
    <e v="#N/A"/>
    <x v="11"/>
  </r>
  <r>
    <x v="1629"/>
    <n v="4"/>
    <x v="35"/>
    <x v="0"/>
    <s v="Taunus: PowerSpreadsheet Test + Bugfixing"/>
    <m/>
    <s v="Geiger"/>
    <m/>
    <e v="#N/A"/>
    <e v="#N/A"/>
    <e v="#N/A"/>
    <e v="#N/A"/>
    <x v="11"/>
  </r>
  <r>
    <x v="1629"/>
    <n v="2"/>
    <x v="35"/>
    <x v="0"/>
    <s v="Taunus: PowerSpreadsheet Setuperstellung"/>
    <m/>
    <s v="Geiger"/>
    <m/>
    <e v="#N/A"/>
    <e v="#N/A"/>
    <e v="#N/A"/>
    <e v="#N/A"/>
    <x v="11"/>
  </r>
  <r>
    <x v="1629"/>
    <n v="2"/>
    <x v="35"/>
    <x v="0"/>
    <s v="PP2: Analyse Kunde BMS"/>
    <m/>
    <s v="Despotovic"/>
    <m/>
    <e v="#N/A"/>
    <e v="#N/A"/>
    <e v="#N/A"/>
    <e v="#N/A"/>
    <x v="11"/>
  </r>
  <r>
    <x v="1630"/>
    <n v="2"/>
    <x v="35"/>
    <x v="0"/>
    <s v="PP2: Analyse Kunde BMS"/>
    <m/>
    <s v="Despotovic"/>
    <m/>
    <e v="#N/A"/>
    <e v="#N/A"/>
    <e v="#N/A"/>
    <e v="#N/A"/>
    <x v="11"/>
  </r>
  <r>
    <x v="1630"/>
    <n v="1"/>
    <x v="35"/>
    <x v="0"/>
    <s v="Taunus:  Telefonmeeting"/>
    <m/>
    <s v="Schilly"/>
    <m/>
    <e v="#N/A"/>
    <e v="#N/A"/>
    <e v="#N/A"/>
    <e v="#N/A"/>
    <x v="11"/>
  </r>
  <r>
    <x v="1630"/>
    <n v="1"/>
    <x v="35"/>
    <x v="0"/>
    <s v="CHA Kalkulator: Oberfläche Design"/>
    <m/>
    <s v="Spiegel"/>
    <m/>
    <e v="#N/A"/>
    <e v="#N/A"/>
    <e v="#N/A"/>
    <e v="#N/A"/>
    <x v="11"/>
  </r>
  <r>
    <x v="1630"/>
    <n v="3"/>
    <x v="35"/>
    <x v="0"/>
    <s v="Taunus:  Boots"/>
    <m/>
    <s v="Schilly"/>
    <m/>
    <e v="#N/A"/>
    <e v="#N/A"/>
    <e v="#N/A"/>
    <e v="#N/A"/>
    <x v="11"/>
  </r>
  <r>
    <x v="1631"/>
    <n v="3"/>
    <x v="35"/>
    <x v="0"/>
    <s v="PP2: Systemtest: Manuelles Packen"/>
    <m/>
    <s v="Despotovic"/>
    <m/>
    <e v="#N/A"/>
    <e v="#N/A"/>
    <e v="#N/A"/>
    <e v="#N/A"/>
    <x v="11"/>
  </r>
  <r>
    <x v="1631"/>
    <n v="3"/>
    <x v="35"/>
    <x v="0"/>
    <s v="PP2: Neue Version Setup, Test, Bugfixing Reporting"/>
    <m/>
    <s v="Despotovic"/>
    <m/>
    <e v="#N/A"/>
    <e v="#N/A"/>
    <e v="#N/A"/>
    <e v="#N/A"/>
    <x v="11"/>
  </r>
  <r>
    <x v="1631"/>
    <n v="2"/>
    <x v="35"/>
    <x v="0"/>
    <s v="PP2: Performance Tuning Reporting"/>
    <m/>
    <s v="Despotovic"/>
    <m/>
    <e v="#N/A"/>
    <e v="#N/A"/>
    <e v="#N/A"/>
    <e v="#N/A"/>
    <x v="11"/>
  </r>
  <r>
    <x v="1632"/>
    <n v="7"/>
    <x v="35"/>
    <x v="0"/>
    <s v="Taunus:  Boots Report Anpassungen und Bugfixes"/>
    <m/>
    <s v="Schilly"/>
    <m/>
    <e v="#N/A"/>
    <e v="#N/A"/>
    <e v="#N/A"/>
    <e v="#N/A"/>
    <x v="11"/>
  </r>
  <r>
    <x v="1633"/>
    <n v="2"/>
    <x v="35"/>
    <x v="0"/>
    <s v="CHA Kalkulator: Oberfläche Erweiterungen"/>
    <m/>
    <s v="Spiegel"/>
    <m/>
    <e v="#N/A"/>
    <e v="#N/A"/>
    <e v="#N/A"/>
    <e v="#N/A"/>
    <x v="11"/>
  </r>
  <r>
    <x v="1633"/>
    <n v="1"/>
    <x v="35"/>
    <x v="0"/>
    <s v="PP2: Repairfunktion"/>
    <m/>
    <s v="Despotovic"/>
    <m/>
    <e v="#N/A"/>
    <e v="#N/A"/>
    <e v="#N/A"/>
    <e v="#N/A"/>
    <x v="11"/>
  </r>
  <r>
    <x v="1633"/>
    <n v="5"/>
    <x v="35"/>
    <x v="0"/>
    <s v="Taunus: Beiersdorf Reporting"/>
    <m/>
    <s v="Geiger"/>
    <m/>
    <e v="#N/A"/>
    <e v="#N/A"/>
    <e v="#N/A"/>
    <e v="#N/A"/>
    <x v="11"/>
  </r>
  <r>
    <x v="1634"/>
    <n v="3"/>
    <x v="35"/>
    <x v="0"/>
    <s v="PP2: Repairfunktion"/>
    <m/>
    <s v="Despotovic"/>
    <m/>
    <e v="#N/A"/>
    <e v="#N/A"/>
    <e v="#N/A"/>
    <e v="#N/A"/>
    <x v="11"/>
  </r>
  <r>
    <x v="1635"/>
    <n v="2"/>
    <x v="35"/>
    <x v="0"/>
    <s v="Taunus: Beiersdorf Reporting"/>
    <m/>
    <s v="Geiger"/>
    <m/>
    <e v="#N/A"/>
    <e v="#N/A"/>
    <e v="#N/A"/>
    <e v="#N/A"/>
    <x v="11"/>
  </r>
  <r>
    <x v="1635"/>
    <n v="2"/>
    <x v="35"/>
    <x v="0"/>
    <s v="CHA Kalkulator: Berechnungen"/>
    <m/>
    <s v="Spiegel"/>
    <m/>
    <e v="#N/A"/>
    <e v="#N/A"/>
    <e v="#N/A"/>
    <e v="#N/A"/>
    <x v="11"/>
  </r>
  <r>
    <x v="1636"/>
    <n v="3.5"/>
    <x v="35"/>
    <x v="0"/>
    <s v="CHA Kalkulator: Berechnungen"/>
    <m/>
    <s v="Spiegel"/>
    <m/>
    <e v="#N/A"/>
    <e v="#N/A"/>
    <e v="#N/A"/>
    <e v="#N/A"/>
    <x v="11"/>
  </r>
  <r>
    <x v="1636"/>
    <n v="1"/>
    <x v="35"/>
    <x v="0"/>
    <s v="PP2: Ascii Export Bugfixing"/>
    <m/>
    <s v="Despotovic"/>
    <m/>
    <e v="#N/A"/>
    <e v="#N/A"/>
    <e v="#N/A"/>
    <e v="#N/A"/>
    <x v="11"/>
  </r>
  <r>
    <x v="1636"/>
    <n v="0.5"/>
    <x v="35"/>
    <x v="0"/>
    <s v="PP2: Manuelles Packen Änderungen"/>
    <m/>
    <s v="Despotovic"/>
    <m/>
    <e v="#N/A"/>
    <e v="#N/A"/>
    <e v="#N/A"/>
    <e v="#N/A"/>
    <x v="11"/>
  </r>
  <r>
    <x v="1636"/>
    <n v="5"/>
    <x v="35"/>
    <x v="0"/>
    <s v="Taunus: Beiersdorf Reporting"/>
    <m/>
    <s v="Geiger"/>
    <m/>
    <e v="#N/A"/>
    <e v="#N/A"/>
    <e v="#N/A"/>
    <e v="#N/A"/>
    <x v="11"/>
  </r>
  <r>
    <x v="1637"/>
    <n v="4"/>
    <x v="35"/>
    <x v="0"/>
    <s v="Taunus: Beiersdorf Reporting"/>
    <m/>
    <s v="Geiger"/>
    <m/>
    <e v="#N/A"/>
    <e v="#N/A"/>
    <e v="#N/A"/>
    <e v="#N/A"/>
    <x v="11"/>
  </r>
  <r>
    <x v="1637"/>
    <n v="4"/>
    <x v="35"/>
    <x v="0"/>
    <s v="CHA Calculator, Oberfläche, Berechnungen"/>
    <m/>
    <s v="Spiegel"/>
    <m/>
    <e v="#N/A"/>
    <e v="#N/A"/>
    <e v="#N/A"/>
    <e v="#N/A"/>
    <x v="11"/>
  </r>
  <r>
    <x v="1638"/>
    <n v="4"/>
    <x v="35"/>
    <x v="0"/>
    <s v="Taunus: Beiersdorf Reporting"/>
    <m/>
    <s v="Geiger"/>
    <m/>
    <e v="#N/A"/>
    <e v="#N/A"/>
    <e v="#N/A"/>
    <e v="#N/A"/>
    <x v="11"/>
  </r>
  <r>
    <x v="1638"/>
    <n v="4"/>
    <x v="35"/>
    <x v="0"/>
    <s v="CHA Kalkulator: Setup, Test und Erstinstallation + Einrichtung"/>
    <m/>
    <s v="Spiegel"/>
    <m/>
    <e v="#N/A"/>
    <e v="#N/A"/>
    <e v="#N/A"/>
    <e v="#N/A"/>
    <x v="11"/>
  </r>
  <r>
    <x v="1639"/>
    <n v="1"/>
    <x v="35"/>
    <x v="0"/>
    <s v="Taunus: Boots Reporting Unterstützung"/>
    <m/>
    <s v="Schilly"/>
    <m/>
    <e v="#N/A"/>
    <e v="#N/A"/>
    <e v="#N/A"/>
    <e v="#N/A"/>
    <x v="11"/>
  </r>
  <r>
    <x v="1639"/>
    <n v="4"/>
    <x v="35"/>
    <x v="0"/>
    <s v="PP2: Repairfunktion fertiggestellt, Dialog DB Reorg, Systemtest, neue Version eingespielt + Troubleshooting"/>
    <m/>
    <s v="Despotovic"/>
    <m/>
    <e v="#N/A"/>
    <e v="#N/A"/>
    <e v="#N/A"/>
    <e v="#N/A"/>
    <x v="11"/>
  </r>
  <r>
    <x v="1640"/>
    <n v="1.5"/>
    <x v="35"/>
    <x v="0"/>
    <s v="PP2: Repairfunktion Logging"/>
    <m/>
    <s v="Despotovic"/>
    <m/>
    <e v="#N/A"/>
    <e v="#N/A"/>
    <e v="#N/A"/>
    <e v="#N/A"/>
    <x v="11"/>
  </r>
  <r>
    <x v="1641"/>
    <n v="2"/>
    <x v="35"/>
    <x v="0"/>
    <s v="PP2: Statusänderungen Logging"/>
    <m/>
    <s v="Despotovic"/>
    <m/>
    <e v="#N/A"/>
    <e v="#N/A"/>
    <e v="#N/A"/>
    <e v="#N/A"/>
    <x v="11"/>
  </r>
  <r>
    <x v="1642"/>
    <n v="2"/>
    <x v="39"/>
    <x v="1"/>
    <s v="Taunus: Klosterfrau"/>
    <m/>
    <s v="Geiger"/>
    <m/>
    <s v="4300058330"/>
    <s v="Taunus"/>
    <s v="Birgit Schilly"/>
    <s v="Roland Borchard"/>
    <x v="12"/>
  </r>
  <r>
    <x v="1642"/>
    <n v="3"/>
    <x v="40"/>
    <x v="2"/>
    <s v="PP2: Auswahl Neu… Manueller Prodesis Export"/>
    <m/>
    <s v="Despotovic"/>
    <m/>
    <s v="4300058328"/>
    <s v="PP2"/>
    <s v="Sandra Despotovic"/>
    <s v="Roland Borchard"/>
    <x v="12"/>
  </r>
  <r>
    <x v="1642"/>
    <n v="1"/>
    <x v="40"/>
    <x v="2"/>
    <s v="PP2: Test + neues Update"/>
    <m/>
    <s v="Despotovic"/>
    <m/>
    <s v="4300058328"/>
    <s v="PP2"/>
    <s v="Sandra Despotovic"/>
    <s v="Roland Borchard"/>
    <x v="12"/>
  </r>
  <r>
    <x v="1643"/>
    <n v="2"/>
    <x v="39"/>
    <x v="1"/>
    <s v="Taunus: Klosterfrau"/>
    <m/>
    <s v="Geiger"/>
    <m/>
    <s v="4300058330"/>
    <s v="Taunus"/>
    <s v="Birgit Schilly"/>
    <s v="Roland Borchard"/>
    <x v="12"/>
  </r>
  <r>
    <x v="1643"/>
    <n v="1"/>
    <x v="41"/>
    <x v="3"/>
    <s v="CHA Kalkulator: Anpassungen der Oberfläche Summenzeile"/>
    <m/>
    <s v="Spiegel"/>
    <m/>
    <s v="zu klären"/>
    <s v="CHA Calculator"/>
    <s v="Marlies Spiegel "/>
    <s v="Marlies Spiegel"/>
    <x v="12"/>
  </r>
  <r>
    <x v="1643"/>
    <n v="1"/>
    <x v="41"/>
    <x v="3"/>
    <s v="CHA Kalkulator: Anpassung ATC Preisliste"/>
    <m/>
    <s v="Spiegel"/>
    <m/>
    <s v="zu klären"/>
    <s v="CHA Calculator"/>
    <s v="Marlies Spiegel "/>
    <s v="Marlies Spiegel"/>
    <x v="12"/>
  </r>
  <r>
    <x v="1644"/>
    <n v="1"/>
    <x v="40"/>
    <x v="2"/>
    <s v="PP2: Performance Tuning Reporting"/>
    <m/>
    <s v="Despotovic"/>
    <m/>
    <s v="4300058328"/>
    <s v="PP2"/>
    <s v="Sandra Despotovic"/>
    <s v="Roland Borchard"/>
    <x v="12"/>
  </r>
  <r>
    <x v="1644"/>
    <n v="1"/>
    <x v="41"/>
    <x v="3"/>
    <s v="CHA Kalkulator: Telefonmeeting"/>
    <m/>
    <s v="Spiegel"/>
    <m/>
    <s v="zu klären"/>
    <s v="CHA Calculator"/>
    <s v="Marlies Spiegel "/>
    <s v="Marlies Spiegel"/>
    <x v="12"/>
  </r>
  <r>
    <x v="1644"/>
    <n v="2"/>
    <x v="41"/>
    <x v="3"/>
    <s v="CHA Kalkulator: neuer Modifier AttributeSets"/>
    <m/>
    <s v="Spiegel"/>
    <m/>
    <s v="zu klären"/>
    <s v="CHA Calculator"/>
    <s v="Marlies Spiegel "/>
    <s v="Marlies Spiegel"/>
    <x v="12"/>
  </r>
  <r>
    <x v="1644"/>
    <n v="1"/>
    <x v="40"/>
    <x v="2"/>
    <s v="PP2: Support Backdata Ascii Export Hexal"/>
    <m/>
    <s v="Despotovic"/>
    <m/>
    <s v="4300058328"/>
    <s v="PP2"/>
    <s v="Sandra Despotovic"/>
    <s v="Roland Borchard"/>
    <x v="12"/>
  </r>
  <r>
    <x v="1645"/>
    <n v="8"/>
    <x v="42"/>
    <x v="4"/>
    <s v="Taunus: Umstellung Powerspreadsheet auf Windows 7"/>
    <m/>
    <s v="Geiger"/>
    <m/>
    <s v="4300058330"/>
    <s v="Taunus"/>
    <s v="Tanja Geiger"/>
    <s v="Roland Borchard"/>
    <x v="12"/>
  </r>
  <r>
    <x v="1646"/>
    <n v="6"/>
    <x v="40"/>
    <x v="2"/>
    <s v="PP2: Setup Skripte für Übergabe"/>
    <m/>
    <s v="Despotovic"/>
    <m/>
    <s v="4300058328"/>
    <s v="PP2"/>
    <s v="Sandra Despotovic"/>
    <s v="Roland Borchard"/>
    <x v="12"/>
  </r>
  <r>
    <x v="1647"/>
    <n v="1"/>
    <x v="39"/>
    <x v="1"/>
    <s v="Taunus: Klosterfrau"/>
    <m/>
    <s v="Geiger"/>
    <m/>
    <s v="4300058330"/>
    <s v="Taunus"/>
    <s v="Birgit Schilly"/>
    <s v="Roland Borchard"/>
    <x v="12"/>
  </r>
  <r>
    <x v="1648"/>
    <n v="3"/>
    <x v="41"/>
    <x v="3"/>
    <s v="CHA Kalkulator: Summenzeile + Attributsätze + Territory Anzahl"/>
    <m/>
    <s v="Spiegel"/>
    <m/>
    <s v="zu klären"/>
    <s v="CHA Calculator"/>
    <s v="Marlies Spiegel "/>
    <s v="Marlies Spiegel"/>
    <x v="12"/>
  </r>
  <r>
    <x v="1648"/>
    <n v="1"/>
    <x v="39"/>
    <x v="1"/>
    <s v="Taunus: Klosterfrau"/>
    <m/>
    <s v="Geiger"/>
    <m/>
    <s v="4300058330"/>
    <s v="Taunus"/>
    <s v="Birgit Schilly"/>
    <s v="Roland Borchard"/>
    <x v="12"/>
  </r>
  <r>
    <x v="1648"/>
    <n v="2"/>
    <x v="43"/>
    <x v="5"/>
    <s v="CH Kalkulator Österreich"/>
    <m/>
    <s v="Johner"/>
    <m/>
    <s v="4300043553"/>
    <s v="Austria Calculator"/>
    <s v="Johner"/>
    <s v="Rüdiger Johner"/>
    <x v="12"/>
  </r>
  <r>
    <x v="1649"/>
    <n v="2"/>
    <x v="43"/>
    <x v="5"/>
    <s v="CH Kalkulator Österreich"/>
    <m/>
    <s v="Johner"/>
    <m/>
    <s v="4300043553"/>
    <s v="Austria Calculator"/>
    <s v="Johner"/>
    <s v="Rüdiger Johner"/>
    <x v="12"/>
  </r>
  <r>
    <x v="1649"/>
    <n v="1"/>
    <x v="39"/>
    <x v="1"/>
    <s v="Taunus: Klosterfrau Setuperstellung und Bereitstellung"/>
    <m/>
    <s v="Geiger"/>
    <m/>
    <s v="4300058330"/>
    <s v="Taunus"/>
    <s v="Birgit Schilly"/>
    <s v="Roland Borchard"/>
    <x v="12"/>
  </r>
  <r>
    <x v="1649"/>
    <n v="1"/>
    <x v="40"/>
    <x v="2"/>
    <s v="PP2: Statusänderungen Logging Service Test"/>
    <m/>
    <s v="Despotovic"/>
    <m/>
    <s v="4300058328"/>
    <s v="PP2"/>
    <s v="Sandra Despotovic"/>
    <s v="Roland Borchard"/>
    <x v="12"/>
  </r>
  <r>
    <x v="1650"/>
    <n v="1"/>
    <x v="40"/>
    <x v="2"/>
    <s v="PP2: Statusänderungen Logging Client"/>
    <m/>
    <s v="Despotovic"/>
    <m/>
    <s v="4300058328"/>
    <s v="PP2"/>
    <s v="Sandra Despotovic"/>
    <s v="Roland Borchard"/>
    <x v="12"/>
  </r>
  <r>
    <x v="1650"/>
    <n v="7"/>
    <x v="41"/>
    <x v="3"/>
    <s v="CHA Kalkulator: Berechnungen"/>
    <m/>
    <s v="Spiegel"/>
    <m/>
    <s v="zu klären"/>
    <s v="CHA Calculator"/>
    <s v="Marlies Spiegel "/>
    <s v="Marlies Spiegel"/>
    <x v="12"/>
  </r>
  <r>
    <x v="1651"/>
    <n v="8"/>
    <x v="41"/>
    <x v="3"/>
    <s v="CHA Kalkulator: Berechnungen"/>
    <m/>
    <s v="Spiegel"/>
    <m/>
    <s v="zu klären"/>
    <s v="CHA Calculator"/>
    <s v="Marlies Spiegel "/>
    <s v="Marlies Spiegel"/>
    <x v="12"/>
  </r>
  <r>
    <x v="1652"/>
    <n v="2"/>
    <x v="44"/>
    <x v="6"/>
    <s v="BettenUpdate 2014"/>
    <m/>
    <s v="Runkel"/>
    <m/>
    <s v="zu klären"/>
    <s v="Bettenupdate"/>
    <s v="Runkel"/>
    <s v="Ralf Runkel"/>
    <x v="12"/>
  </r>
  <r>
    <x v="1652"/>
    <n v="4"/>
    <x v="41"/>
    <x v="3"/>
    <s v="CHA Kalkulator: Berechnungen"/>
    <m/>
    <s v="Spiegel"/>
    <m/>
    <s v="zu klären"/>
    <s v="CHA Calculator"/>
    <s v="Marlies Spiegel "/>
    <s v="Marlies Spiegel"/>
    <x v="12"/>
  </r>
  <r>
    <x v="1652"/>
    <n v="2"/>
    <x v="43"/>
    <x v="5"/>
    <s v="CH Kalkulator Österreich"/>
    <m/>
    <s v="Johner"/>
    <m/>
    <s v="4300043553"/>
    <s v="Austria Calculator"/>
    <s v="Johner"/>
    <s v="Rüdiger Johner"/>
    <x v="12"/>
  </r>
  <r>
    <x v="1653"/>
    <n v="1.5"/>
    <x v="40"/>
    <x v="2"/>
    <s v="Besprechung weitere Aufgaben"/>
    <m/>
    <s v="Borchard"/>
    <m/>
    <s v="4300058328"/>
    <s v="PP2"/>
    <s v="Sandra Despotovic"/>
    <s v="Roland Borchard"/>
    <x v="12"/>
  </r>
  <r>
    <x v="1653"/>
    <n v="1.5"/>
    <x v="40"/>
    <x v="2"/>
    <s v="Support: Integration"/>
    <m/>
    <s v="Holzmeier"/>
    <m/>
    <s v="4300058328"/>
    <s v="PP2"/>
    <s v="Sandra Despotovic"/>
    <s v="Roland Borchard"/>
    <x v="12"/>
  </r>
  <r>
    <x v="1653"/>
    <n v="1"/>
    <x v="45"/>
    <x v="7"/>
    <s v="Besprechung L'Oreal Reporting"/>
    <m/>
    <s v="Weileder"/>
    <m/>
    <s v="4300042016"/>
    <s v="L'Oreal Interaktiv"/>
    <s v="Weileder"/>
    <s v="Peter Weileder"/>
    <x v="12"/>
  </r>
  <r>
    <x v="1653"/>
    <n v="1"/>
    <x v="40"/>
    <x v="2"/>
    <s v="PP2: Besprechung aktueller Stand + Neues"/>
    <m/>
    <s v="Despotovic"/>
    <m/>
    <s v="4300058328"/>
    <s v="PP2"/>
    <s v="Sandra Despotovic"/>
    <s v="Roland Borchard"/>
    <x v="12"/>
  </r>
  <r>
    <x v="1653"/>
    <n v="1"/>
    <x v="41"/>
    <x v="3"/>
    <s v="CHA Kalkulator: Besprechung"/>
    <m/>
    <s v="Spiegel"/>
    <m/>
    <s v="zu klären"/>
    <s v="CHA Calculator"/>
    <s v="Marlies Spiegel "/>
    <s v="Marlies Spiegel"/>
    <x v="12"/>
  </r>
  <r>
    <x v="1654"/>
    <n v="1"/>
    <x v="40"/>
    <x v="2"/>
    <s v="PP2: InstallationsSkript"/>
    <m/>
    <s v="Despotovic"/>
    <m/>
    <s v="4300058328"/>
    <s v="PP2"/>
    <s v="Sandra Despotovic"/>
    <s v="Roland Borchard"/>
    <x v="12"/>
  </r>
  <r>
    <x v="1654"/>
    <n v="1"/>
    <x v="43"/>
    <x v="5"/>
    <s v="CH Kalkulator Datenbankerstellung OTC Media"/>
    <m/>
    <s v="Johner"/>
    <m/>
    <s v="4300043553"/>
    <s v="Austria Calculator"/>
    <s v="Johner"/>
    <s v="Rüdiger Johner"/>
    <x v="12"/>
  </r>
  <r>
    <x v="1654"/>
    <n v="8"/>
    <x v="41"/>
    <x v="3"/>
    <s v="CHA Kalkulator: Änderungen Mehrfachauswahl Märkte + Übernahme OTC Bezeichnung nach Markt + Vorbereitung Änderung Attributsätzauswahl"/>
    <m/>
    <s v="Spiegel"/>
    <m/>
    <s v="zu klären"/>
    <s v="CHA Calculator"/>
    <s v="Marlies Spiegel "/>
    <s v="Marlies Spiegel"/>
    <x v="12"/>
  </r>
  <r>
    <x v="1655"/>
    <n v="4"/>
    <x v="43"/>
    <x v="5"/>
    <s v="CH Kalkulator Entwurf OTC Media Oberfläche"/>
    <m/>
    <s v="Johner"/>
    <m/>
    <s v="4300043553"/>
    <s v="Austria Calculator"/>
    <s v="Johner"/>
    <s v="Rüdiger Johner"/>
    <x v="12"/>
  </r>
  <r>
    <x v="1655"/>
    <n v="1"/>
    <x v="43"/>
    <x v="5"/>
    <s v="CH Kalkulator Entwurf OTC Media Datenbank"/>
    <m/>
    <s v="Johner"/>
    <m/>
    <s v="4300043553"/>
    <s v="Austria Calculator"/>
    <s v="Johner"/>
    <s v="Rüdiger Johner"/>
    <x v="12"/>
  </r>
  <r>
    <x v="1655"/>
    <n v="3"/>
    <x v="45"/>
    <x v="7"/>
    <s v="l'Oreal Interaktiver Report erste Tests"/>
    <m/>
    <s v="Weileder"/>
    <m/>
    <s v="4300042016"/>
    <s v="L'Oreal Interaktiv"/>
    <s v="Weileder"/>
    <s v="Peter Weileder"/>
    <x v="12"/>
  </r>
  <r>
    <x v="1656"/>
    <n v="4"/>
    <x v="45"/>
    <x v="7"/>
    <s v="l'Oreal Interaktiver Report Analyse und neuer Prototyp"/>
    <m/>
    <s v="Weileder"/>
    <m/>
    <s v="4300042016"/>
    <s v="L'Oreal Interaktiv"/>
    <s v="Weileder"/>
    <s v="Peter Weileder"/>
    <x v="12"/>
  </r>
  <r>
    <x v="1656"/>
    <n v="4"/>
    <x v="46"/>
    <x v="8"/>
    <s v="bbh Einrichtung + erste Anpassungen"/>
    <m/>
    <s v="S.Borchard"/>
    <m/>
    <s v="4300042018"/>
    <s v="Berichtsbesonderheiten"/>
    <s v="Sabine Borchard"/>
    <s v="Sabine Borchard"/>
    <x v="12"/>
  </r>
  <r>
    <x v="1656"/>
    <n v="2"/>
    <x v="41"/>
    <x v="3"/>
    <s v="CHA Kalkulator: Anpassugen Attributsätze"/>
    <m/>
    <s v="Spiegel"/>
    <m/>
    <s v="zu klären"/>
    <s v="CHA Calculator"/>
    <s v="Marlies Spiegel "/>
    <s v="Marlies Spiegel"/>
    <x v="12"/>
  </r>
  <r>
    <x v="1657"/>
    <n v="3"/>
    <x v="40"/>
    <x v="2"/>
    <s v="PP2: InstallationsSkript"/>
    <m/>
    <s v="Despotovic"/>
    <m/>
    <s v="4300058328"/>
    <s v="PP2"/>
    <s v="Sandra Despotovic"/>
    <s v="Roland Borchard"/>
    <x v="12"/>
  </r>
  <r>
    <x v="1657"/>
    <n v="1"/>
    <x v="45"/>
    <x v="7"/>
    <s v="l'Oreal Interaktiver Report"/>
    <m/>
    <s v="Weileder"/>
    <m/>
    <s v="4300042016"/>
    <s v="L'Oreal Interaktiv"/>
    <s v="Weileder"/>
    <s v="Peter Weileder"/>
    <x v="12"/>
  </r>
  <r>
    <x v="1657"/>
    <n v="2"/>
    <x v="41"/>
    <x v="3"/>
    <s v="CHA Kalkulator: erste Tests +  Fixes"/>
    <m/>
    <s v="Spiegel"/>
    <m/>
    <s v="zu klären"/>
    <s v="CHA Calculator"/>
    <s v="Marlies Spiegel "/>
    <s v="Marlies Spiegel"/>
    <x v="12"/>
  </r>
  <r>
    <x v="1657"/>
    <n v="2"/>
    <x v="43"/>
    <x v="5"/>
    <s v="CH Kalkulator OTC Media Oberfläche"/>
    <m/>
    <s v="Johner"/>
    <m/>
    <s v="4300043553"/>
    <s v="Austria Calculator"/>
    <s v="Johner"/>
    <s v="Rüdiger Johner"/>
    <x v="12"/>
  </r>
  <r>
    <x v="1658"/>
    <n v="2"/>
    <x v="40"/>
    <x v="2"/>
    <s v="Qualicheck Einrichtung, Problemanalyse + Support"/>
    <m/>
    <s v="Giesen"/>
    <m/>
    <s v="4300058328"/>
    <s v="PP2"/>
    <s v="Sandra Despotovic"/>
    <s v="Roland Borchard"/>
    <x v="12"/>
  </r>
  <r>
    <x v="1658"/>
    <n v="2"/>
    <x v="40"/>
    <x v="2"/>
    <s v="PP2: Performanceanalyse Reporting, Indizierung"/>
    <m/>
    <s v="Borchard"/>
    <m/>
    <s v="4300058328"/>
    <s v="PP2"/>
    <s v="Sandra Despotovic"/>
    <s v="Roland Borchard"/>
    <x v="12"/>
  </r>
  <r>
    <x v="1658"/>
    <n v="1"/>
    <x v="42"/>
    <x v="4"/>
    <s v="Taunus:  Support Powerspreadsheet Installation"/>
    <m/>
    <s v="Schilly"/>
    <m/>
    <s v="4300058330"/>
    <s v="Taunus"/>
    <s v="Tanja Geiger"/>
    <s v="Roland Borchard"/>
    <x v="12"/>
  </r>
  <r>
    <x v="1658"/>
    <n v="1"/>
    <x v="41"/>
    <x v="3"/>
    <s v="CHA Kalkulator: Test und Update"/>
    <m/>
    <s v="Spiegel"/>
    <m/>
    <s v="zu klären"/>
    <s v="CHA Calculator"/>
    <s v="Marlies Spiegel "/>
    <s v="Marlies Spiegel"/>
    <x v="12"/>
  </r>
  <r>
    <x v="1658"/>
    <n v="2"/>
    <x v="41"/>
    <x v="3"/>
    <s v="CHA Kalkulator: Weiterentwicklung Satelliten Prios"/>
    <m/>
    <s v="Spiegel"/>
    <m/>
    <s v="zu klären"/>
    <s v="CHA Calculator"/>
    <s v="Marlies Spiegel "/>
    <s v="Marlies Spiegel"/>
    <x v="12"/>
  </r>
  <r>
    <x v="1658"/>
    <n v="1"/>
    <x v="46"/>
    <x v="8"/>
    <s v="bbh Datenbankskripte"/>
    <m/>
    <s v="S.Borchard"/>
    <m/>
    <s v="4300042018"/>
    <s v="Berichtsbesonderheiten"/>
    <s v="Sabine Borchard"/>
    <s v="Sabine Borchard"/>
    <x v="12"/>
  </r>
  <r>
    <x v="1659"/>
    <n v="4"/>
    <x v="41"/>
    <x v="3"/>
    <s v="CHA Kalkulator: Weiterentwicklung Satelliten Prios"/>
    <m/>
    <s v="Spiegel"/>
    <m/>
    <s v="zu klären"/>
    <s v="CHA Calculator"/>
    <s v="Marlies Spiegel "/>
    <s v="Marlies Spiegel"/>
    <x v="12"/>
  </r>
  <r>
    <x v="1659"/>
    <n v="0.5"/>
    <x v="40"/>
    <x v="2"/>
    <s v="PP2: Support Prodesis Novartis packt nicht"/>
    <m/>
    <s v="Despotovic"/>
    <m/>
    <s v="4300058328"/>
    <s v="PP2"/>
    <s v="Sandra Despotovic"/>
    <s v="Roland Borchard"/>
    <x v="12"/>
  </r>
  <r>
    <x v="1659"/>
    <n v="3"/>
    <x v="45"/>
    <x v="7"/>
    <s v="l'Oreal Interaktiver Report, neuer PowerSpreadsheet Bericht"/>
    <m/>
    <s v="Weileder"/>
    <m/>
    <s v="4300042016"/>
    <s v="L'Oreal Interaktiv"/>
    <s v="Weileder"/>
    <s v="Peter Weileder"/>
    <x v="12"/>
  </r>
  <r>
    <x v="1660"/>
    <n v="4"/>
    <x v="45"/>
    <x v="7"/>
    <s v="l'Oreal Interaktiver Report,Parametrisierung + Fertigstellung, Test + Update"/>
    <m/>
    <s v="Weileder"/>
    <m/>
    <s v="4300042016"/>
    <s v="L'Oreal Interaktiv"/>
    <s v="Weileder"/>
    <s v="Peter Weileder"/>
    <x v="12"/>
  </r>
  <r>
    <x v="1660"/>
    <n v="3"/>
    <x v="43"/>
    <x v="5"/>
    <s v="CH Kalkulator OTC Media Oberfläche"/>
    <m/>
    <s v="Johner"/>
    <m/>
    <s v="4300043553"/>
    <s v="Austria Calculator"/>
    <s v="Johner"/>
    <s v="Rüdiger Johner"/>
    <x v="12"/>
  </r>
  <r>
    <x v="1660"/>
    <n v="1"/>
    <x v="41"/>
    <x v="3"/>
    <s v="CHA Kalkulator: Weiterentwicklung Satelliten Prios"/>
    <m/>
    <s v="Spiegel"/>
    <m/>
    <s v="zu klären"/>
    <s v="CHA Calculator"/>
    <s v="Marlies Spiegel "/>
    <s v="Marlies Spiegel"/>
    <x v="12"/>
  </r>
  <r>
    <x v="1661"/>
    <n v="1"/>
    <x v="44"/>
    <x v="6"/>
    <s v="Bettenupdate 2014: Korrektur + Test"/>
    <m/>
    <s v="Runkel"/>
    <m/>
    <s v="zu klären"/>
    <s v="Bettenupdate"/>
    <s v="Runkel"/>
    <s v="Ralf Runkel"/>
    <x v="12"/>
  </r>
  <r>
    <x v="1661"/>
    <n v="3"/>
    <x v="43"/>
    <x v="5"/>
    <s v="CH Kalkulator OTC Media Datenanbindung"/>
    <m/>
    <s v="Johner"/>
    <m/>
    <s v="4300043553"/>
    <s v="Austria Calculator"/>
    <s v="Johner"/>
    <s v="Rüdiger Johner"/>
    <x v="12"/>
  </r>
  <r>
    <x v="1661"/>
    <n v="2"/>
    <x v="41"/>
    <x v="3"/>
    <s v="CHA Kalkulator: Weiterentwicklung Satelliten Prios"/>
    <m/>
    <s v="Spiegel"/>
    <m/>
    <s v="zu klären"/>
    <s v="CHA Calculator"/>
    <s v="Marlies Spiegel "/>
    <s v="Marlies Spiegel"/>
    <x v="12"/>
  </r>
  <r>
    <x v="1662"/>
    <n v="4"/>
    <x v="47"/>
    <x v="9"/>
    <s v="Taunus:  PowerSpreadsheet Bugfixing BOOTS report + Test + Update"/>
    <m/>
    <s v="Schilly"/>
    <m/>
    <s v="4300058330"/>
    <s v="Taunus"/>
    <s v="Birgit Schilly"/>
    <s v="Roland Borchard"/>
    <x v="12"/>
  </r>
  <r>
    <x v="1662"/>
    <n v="3"/>
    <x v="41"/>
    <x v="3"/>
    <s v="CHA Kalkulator: Weiterentwicklung Satelliten Prios"/>
    <m/>
    <s v="Spiegel"/>
    <m/>
    <s v="zu klären"/>
    <s v="CHA Calculator"/>
    <s v="Marlies Spiegel "/>
    <s v="Marlies Spiegel"/>
    <x v="12"/>
  </r>
  <r>
    <x v="1662"/>
    <n v="2"/>
    <x v="43"/>
    <x v="5"/>
    <s v="CH Kalkulator OTC Media Datenanbindung + Erweiterung Initialwerte"/>
    <m/>
    <s v="Johner"/>
    <m/>
    <s v="4300043553"/>
    <s v="Austria Calculator"/>
    <s v="Johner"/>
    <s v="Rüdiger Johner"/>
    <x v="12"/>
  </r>
  <r>
    <x v="1663"/>
    <n v="2"/>
    <x v="47"/>
    <x v="9"/>
    <s v="Taunus:  PowerSpreadsheet Bugfixing BOOTS report + Test + Update"/>
    <m/>
    <s v="Schilly"/>
    <m/>
    <s v="4300058330"/>
    <s v="Taunus"/>
    <s v="Birgit Schilly"/>
    <s v="Roland Borchard"/>
    <x v="12"/>
  </r>
  <r>
    <x v="1663"/>
    <n v="2"/>
    <x v="40"/>
    <x v="2"/>
    <s v="SMP Cube Level Hiding"/>
    <m/>
    <s v="Borchard"/>
    <m/>
    <s v="4300058328"/>
    <s v="PP2"/>
    <s v="Sandra Despotovic"/>
    <s v="Roland Borchard"/>
    <x v="12"/>
  </r>
  <r>
    <x v="1664"/>
    <n v="4"/>
    <x v="41"/>
    <x v="3"/>
    <s v="CHA Kalkulator: Fertigstellung Basis Prios + Bereitstellung neue version"/>
    <m/>
    <s v="Spiegel"/>
    <m/>
    <s v="zu klären"/>
    <s v="CHA Calculator"/>
    <s v="Marlies Spiegel "/>
    <s v="Marlies Spiegel"/>
    <x v="12"/>
  </r>
  <r>
    <x v="1664"/>
    <n v="1"/>
    <x v="44"/>
    <x v="6"/>
    <s v="Bettenupdate 2014: Seitenformatierung"/>
    <m/>
    <s v="Runkel"/>
    <m/>
    <s v="zu klären"/>
    <s v="Bettenupdate"/>
    <s v="Runkel"/>
    <s v="Ralf Runkel"/>
    <x v="12"/>
  </r>
  <r>
    <x v="1664"/>
    <n v="2"/>
    <x v="40"/>
    <x v="2"/>
    <s v="SMP Cube Level Hiding"/>
    <m/>
    <s v="Borchard"/>
    <m/>
    <s v="4300058328"/>
    <s v="PP2"/>
    <s v="Sandra Despotovic"/>
    <s v="Roland Borchard"/>
    <x v="12"/>
  </r>
  <r>
    <x v="1664"/>
    <n v="2"/>
    <x v="46"/>
    <x v="8"/>
    <s v="bbh Test + Bereitstellung neue Version"/>
    <m/>
    <s v="S.Borchard"/>
    <m/>
    <s v="4300042018"/>
    <s v="Berichtsbesonderheiten"/>
    <s v="Sabine Borchard"/>
    <s v="Sabine Borchard"/>
    <x v="12"/>
  </r>
  <r>
    <x v="1665"/>
    <n v="4"/>
    <x v="43"/>
    <x v="5"/>
    <s v="CH Kalkulator OTC Media Fertigstellung Oberfläche + Anknüpfung mit MainPage"/>
    <m/>
    <s v="Johner"/>
    <m/>
    <s v="4300043553"/>
    <s v="Austria Calculator"/>
    <s v="Johner"/>
    <s v="Rüdiger Johner"/>
    <x v="12"/>
  </r>
  <r>
    <x v="1665"/>
    <n v="1"/>
    <x v="40"/>
    <x v="2"/>
    <s v="PP2: Adam"/>
    <m/>
    <s v="Gabler"/>
    <m/>
    <s v="4300058328"/>
    <s v="PP2"/>
    <s v="Sandra Despotovic"/>
    <s v="Roland Borchard"/>
    <x v="12"/>
  </r>
  <r>
    <x v="1666"/>
    <n v="4"/>
    <x v="43"/>
    <x v="5"/>
    <s v="CH Kalkulator OTC Media Fertigstellung Oberfläche + Anknüpfung mit MainPage"/>
    <m/>
    <s v="Johner"/>
    <m/>
    <s v="4300043553"/>
    <s v="Austria Calculator"/>
    <s v="Johner"/>
    <s v="Rüdiger Johner"/>
    <x v="12"/>
  </r>
  <r>
    <x v="1666"/>
    <n v="1"/>
    <x v="40"/>
    <x v="2"/>
    <s v="PP2: ADAM Besprechung"/>
    <m/>
    <s v="Gabler"/>
    <m/>
    <s v="4300058328"/>
    <s v="PP2"/>
    <s v="Sandra Despotovic"/>
    <s v="Roland Borchard"/>
    <x v="12"/>
  </r>
  <r>
    <x v="1667"/>
    <n v="7"/>
    <x v="40"/>
    <x v="2"/>
    <s v="PP2: ADAM Erweiterungen Accounting"/>
    <m/>
    <s v="Gabler"/>
    <m/>
    <s v="4300058328"/>
    <s v="PP2"/>
    <s v="Sandra Despotovic"/>
    <s v="Roland Borchard"/>
    <x v="12"/>
  </r>
  <r>
    <x v="1667"/>
    <n v="2"/>
    <x v="43"/>
    <x v="5"/>
    <s v="CH Kalkulator Test, Setup Bereitstellung"/>
    <m/>
    <s v="Johner"/>
    <m/>
    <s v="4300043553"/>
    <s v="Austria Calculator"/>
    <s v="Johner"/>
    <s v="Rüdiger Johner"/>
    <x v="12"/>
  </r>
  <r>
    <x v="1668"/>
    <n v="1.5"/>
    <x v="45"/>
    <x v="7"/>
    <s v="l'Oreal Besprechung"/>
    <m/>
    <s v="Weileder"/>
    <m/>
    <s v="4300042016"/>
    <s v="L'Oreal Interaktiv"/>
    <s v="Weileder"/>
    <s v="Peter Weileder"/>
    <x v="12"/>
  </r>
  <r>
    <x v="1668"/>
    <n v="0.5"/>
    <x v="48"/>
    <x v="10"/>
    <s v="Neuer Calculator Besprechung"/>
    <m/>
    <s v="Sdunzig"/>
    <m/>
    <s v="4300064785"/>
    <s v="Cost Calculator Regional"/>
    <s v="Norbert Sdunzig"/>
    <s v="Norbert Sdunzig"/>
    <x v="12"/>
  </r>
  <r>
    <x v="1668"/>
    <n v="1"/>
    <x v="40"/>
    <x v="2"/>
    <s v="Meeting weitere Vorgehensweise"/>
    <m/>
    <s v="Borchard"/>
    <m/>
    <s v="4300058328"/>
    <s v="PP2"/>
    <s v="Sandra Despotovic"/>
    <s v="Roland Borchard"/>
    <x v="12"/>
  </r>
  <r>
    <x v="1668"/>
    <n v="0.5"/>
    <x v="40"/>
    <x v="2"/>
    <s v="Besprechung Datenexport"/>
    <m/>
    <s v="Jarmer"/>
    <m/>
    <s v="4300058328"/>
    <s v="PP2"/>
    <s v="Sandra Despotovic"/>
    <s v="Roland Borchard"/>
    <x v="12"/>
  </r>
  <r>
    <x v="1668"/>
    <n v="0.5"/>
    <x v="40"/>
    <x v="2"/>
    <s v="Support SSAS Datenintegration"/>
    <m/>
    <s v="Montermann"/>
    <m/>
    <s v="4300058328"/>
    <s v="PP2"/>
    <s v="Sandra Despotovic"/>
    <s v="Roland Borchard"/>
    <x v="12"/>
  </r>
  <r>
    <x v="1668"/>
    <n v="1"/>
    <x v="40"/>
    <x v="2"/>
    <s v="PP2: Besprechung aktueller Stand + offene Punkte"/>
    <m/>
    <s v="Despotovic"/>
    <m/>
    <s v="4300058328"/>
    <s v="PP2"/>
    <s v="Sandra Despotovic"/>
    <s v="Roland Borchard"/>
    <x v="12"/>
  </r>
  <r>
    <x v="1669"/>
    <n v="1"/>
    <x v="46"/>
    <x v="8"/>
    <s v="Vorbereitung bbh Log Analyzer für IT"/>
    <m/>
    <s v="S.Borchard"/>
    <m/>
    <s v="4300042018"/>
    <s v="Berichtsbesonderheiten"/>
    <s v="Sabine Borchard"/>
    <s v="Sabine Borchard"/>
    <x v="12"/>
  </r>
  <r>
    <x v="1669"/>
    <n v="1"/>
    <x v="40"/>
    <x v="2"/>
    <s v="SMP Cube Level Hiding Korrektur"/>
    <m/>
    <s v="Borchard"/>
    <m/>
    <s v="4300058328"/>
    <s v="PP2"/>
    <s v="Sandra Despotovic"/>
    <s v="Roland Borchard"/>
    <x v="12"/>
  </r>
  <r>
    <x v="1669"/>
    <n v="2"/>
    <x v="40"/>
    <x v="2"/>
    <s v="PP2: ADAM Erweiterungen Accounting"/>
    <m/>
    <s v="Gabler"/>
    <m/>
    <s v="4300058328"/>
    <s v="PP2"/>
    <s v="Sandra Despotovic"/>
    <s v="Roland Borchard"/>
    <x v="12"/>
  </r>
  <r>
    <x v="1669"/>
    <n v="2"/>
    <x v="43"/>
    <x v="5"/>
    <s v="CH Kalkulator OTC Media Anpassungen"/>
    <m/>
    <s v="Johner"/>
    <m/>
    <s v="4300043553"/>
    <s v="Austria Calculator"/>
    <s v="Johner"/>
    <s v="Rüdiger Johner"/>
    <x v="12"/>
  </r>
  <r>
    <x v="1669"/>
    <n v="1"/>
    <x v="44"/>
    <x v="6"/>
    <s v="Bettenupdate 2014: Anpassung Filenamen"/>
    <m/>
    <s v="Runkel"/>
    <m/>
    <s v="zu klären"/>
    <s v="Bettenupdate"/>
    <s v="Runkel"/>
    <s v="Ralf Runkel"/>
    <x v="12"/>
  </r>
  <r>
    <x v="1670"/>
    <n v="0.5"/>
    <x v="41"/>
    <x v="3"/>
    <s v="CHA Kalkulator: Telefonmeeting"/>
    <m/>
    <s v="Spiegel"/>
    <m/>
    <s v="zu klären"/>
    <s v="CHA Calculator"/>
    <s v="Marlies Spiegel "/>
    <s v="Marlies Spiegel"/>
    <x v="12"/>
  </r>
  <r>
    <x v="1670"/>
    <n v="7"/>
    <x v="45"/>
    <x v="7"/>
    <s v="l'Oreal Prototyp interaktiver Report"/>
    <m/>
    <s v="Weileder"/>
    <m/>
    <s v="4300042016"/>
    <s v="L'Oreal Interaktiv"/>
    <s v="Weileder"/>
    <s v="Peter Weileder"/>
    <x v="12"/>
  </r>
  <r>
    <x v="1671"/>
    <n v="4"/>
    <x v="45"/>
    <x v="7"/>
    <s v="l'Oreal Prototyp interaktiver Report"/>
    <m/>
    <s v="Weileder"/>
    <m/>
    <s v="4300042016"/>
    <s v="L'Oreal Interaktiv"/>
    <s v="Weileder"/>
    <s v="Peter Weileder"/>
    <x v="12"/>
  </r>
  <r>
    <x v="1672"/>
    <n v="4"/>
    <x v="40"/>
    <x v="2"/>
    <s v="PP1: Support"/>
    <m/>
    <s v="Hornbruch"/>
    <m/>
    <s v="4300058328"/>
    <s v="PP2"/>
    <s v="Sandra Despotovic"/>
    <s v="Roland Borchard"/>
    <x v="12"/>
  </r>
  <r>
    <x v="1672"/>
    <n v="2"/>
    <x v="40"/>
    <x v="2"/>
    <s v="PP2: Installation neue Version + Bugfixing Reporting"/>
    <m/>
    <s v="Despotovic"/>
    <m/>
    <s v="4300058328"/>
    <s v="PP2"/>
    <s v="Sandra Despotovic"/>
    <s v="Roland Borchard"/>
    <x v="12"/>
  </r>
  <r>
    <x v="1672"/>
    <n v="2"/>
    <x v="49"/>
    <x v="11"/>
    <s v="CH Kalkulator SRR Calculator"/>
    <m/>
    <s v="Johner"/>
    <m/>
    <s v="4300043553"/>
    <s v="Austria Calculator"/>
    <s v="Johner"/>
    <s v="Rüdiger Johner"/>
    <x v="12"/>
  </r>
  <r>
    <x v="1672"/>
    <n v="2"/>
    <x v="41"/>
    <x v="3"/>
    <s v="CHA Kalkulator: Vorbereitung neue Modifier"/>
    <m/>
    <s v="Spiegel"/>
    <m/>
    <s v="zu klären"/>
    <s v="CHA Calculator"/>
    <s v="Marlies Spiegel "/>
    <s v="Marlies Spiegel"/>
    <x v="12"/>
  </r>
  <r>
    <x v="1673"/>
    <n v="4"/>
    <x v="45"/>
    <x v="7"/>
    <s v="l'Oreal Prototyp interaktiver Report"/>
    <m/>
    <s v="Weileder"/>
    <m/>
    <s v="4300042016"/>
    <s v="L'Oreal Interaktiv"/>
    <s v="Weileder"/>
    <s v="Peter Weileder"/>
    <x v="12"/>
  </r>
  <r>
    <x v="1673"/>
    <n v="4"/>
    <x v="50"/>
    <x v="12"/>
    <s v="L'Oreal Alternativreport Sales"/>
    <m/>
    <s v="Geiger"/>
    <m/>
    <s v="4300058330"/>
    <s v="Taunus"/>
    <s v="Tanja Geiger"/>
    <s v="Roland Borchard"/>
    <x v="12"/>
  </r>
  <r>
    <x v="1674"/>
    <n v="7"/>
    <x v="45"/>
    <x v="7"/>
    <s v="l'Oreal Prototyp interaktiver Report"/>
    <m/>
    <s v="Weileder"/>
    <m/>
    <s v="4300042016"/>
    <s v="L'Oreal Interaktiv"/>
    <s v="Weileder"/>
    <s v="Peter Weileder"/>
    <x v="12"/>
  </r>
  <r>
    <x v="1674"/>
    <n v="1"/>
    <x v="50"/>
    <x v="12"/>
    <s v="L'Oreal Alternativreport Sales"/>
    <m/>
    <s v="Geiger"/>
    <m/>
    <s v="4300058330"/>
    <s v="Taunus"/>
    <s v="Tanja Geiger"/>
    <s v="Roland Borchard"/>
    <x v="12"/>
  </r>
  <r>
    <x v="1675"/>
    <n v="7"/>
    <x v="45"/>
    <x v="7"/>
    <s v="l'Oreal Prototyp interaktiver Report"/>
    <m/>
    <s v="Weileder"/>
    <m/>
    <s v="4300042016"/>
    <s v="L'Oreal Interaktiv"/>
    <s v="Weileder"/>
    <s v="Peter Weileder"/>
    <x v="12"/>
  </r>
  <r>
    <x v="1676"/>
    <n v="4"/>
    <x v="45"/>
    <x v="7"/>
    <s v="l'Oreal Prototyp interaktiver Report Summen, Restmarkt"/>
    <m/>
    <s v="Weileder"/>
    <m/>
    <s v="4300042016"/>
    <s v="L'Oreal Interaktiv"/>
    <s v="Weileder"/>
    <s v="Peter Weileder"/>
    <x v="12"/>
  </r>
  <r>
    <x v="1676"/>
    <n v="2"/>
    <x v="50"/>
    <x v="12"/>
    <s v="L'Oreal Alternativreport Sales Fertig- und Bereitstellung"/>
    <m/>
    <s v="Geiger"/>
    <m/>
    <s v="4300058330"/>
    <s v="Taunus"/>
    <s v="Tanja Geiger"/>
    <s v="Roland Borchard"/>
    <x v="12"/>
  </r>
  <r>
    <x v="1677"/>
    <n v="1"/>
    <x v="41"/>
    <x v="3"/>
    <s v="CHA Kalkulator: Weiter Modifier"/>
    <m/>
    <s v="Spiegel"/>
    <m/>
    <s v="zu klären"/>
    <s v="CHA Calculator"/>
    <s v="Marlies Spiegel "/>
    <s v="Marlies Spiegel"/>
    <x v="12"/>
  </r>
  <r>
    <x v="1678"/>
    <n v="2"/>
    <x v="40"/>
    <x v="2"/>
    <s v="ST Builder Support"/>
    <m/>
    <s v="Günther"/>
    <m/>
    <s v="4300058328"/>
    <s v="PP2"/>
    <s v="Sandra Despotovic"/>
    <s v="Roland Borchard"/>
    <x v="12"/>
  </r>
  <r>
    <x v="1678"/>
    <n v="2"/>
    <x v="50"/>
    <x v="12"/>
    <s v="L'Oreal Alternativreport Distribution Fertig- und Bereitstellung"/>
    <m/>
    <s v="Geiger"/>
    <m/>
    <s v="4300058330"/>
    <s v="Taunus"/>
    <s v="Tanja Geiger"/>
    <s v="Roland Borchard"/>
    <x v="12"/>
  </r>
  <r>
    <x v="1678"/>
    <n v="3"/>
    <x v="45"/>
    <x v="7"/>
    <s v="l'Oreal Prototyp interaktiver Report,Summen"/>
    <m/>
    <s v="Weileder"/>
    <m/>
    <s v="4300042016"/>
    <s v="L'Oreal Interaktiv"/>
    <s v="Weileder"/>
    <s v="Peter Weileder"/>
    <x v="12"/>
  </r>
  <r>
    <x v="1678"/>
    <n v="2"/>
    <x v="50"/>
    <x v="12"/>
    <s v="L'Oreal Alternativreport Distribution Fertig- und Bereitstellung"/>
    <m/>
    <s v="Geiger"/>
    <m/>
    <s v="4300058330"/>
    <s v="Taunus"/>
    <s v="Tanja Geiger"/>
    <s v="Roland Borchard"/>
    <x v="12"/>
  </r>
  <r>
    <x v="1679"/>
    <n v="1"/>
    <x v="45"/>
    <x v="7"/>
    <s v="l'Oreal: Meeting"/>
    <m/>
    <s v="Weileder"/>
    <m/>
    <s v="4300042016"/>
    <s v="L'Oreal Interaktiv"/>
    <s v="Weileder"/>
    <s v="Peter Weileder"/>
    <x v="12"/>
  </r>
  <r>
    <x v="1679"/>
    <n v="1"/>
    <x v="51"/>
    <x v="13"/>
    <s v="CostCalculator: Meeting"/>
    <m/>
    <s v="Pechstein"/>
    <m/>
    <s v="4300064783"/>
    <s v="Cost Calculator National"/>
    <s v="Pechstein"/>
    <s v="Marlen Pechstein"/>
    <x v="12"/>
  </r>
  <r>
    <x v="1679"/>
    <n v="2"/>
    <x v="45"/>
    <x v="7"/>
    <s v="l'Oreal: interaktiver Report Erweiterung"/>
    <m/>
    <s v="Weileder"/>
    <m/>
    <s v="4300042016"/>
    <s v="L'Oreal Interaktiv"/>
    <s v="Weileder"/>
    <s v="Peter Weileder"/>
    <x v="12"/>
  </r>
  <r>
    <x v="1680"/>
    <n v="8"/>
    <x v="45"/>
    <x v="7"/>
    <s v="l'Oreal: interaktiver Report Datenextrakt"/>
    <m/>
    <s v="Weileder"/>
    <m/>
    <s v="4300042016"/>
    <s v="L'Oreal Interaktiv"/>
    <s v="Weileder"/>
    <s v="Peter Weileder"/>
    <x v="12"/>
  </r>
  <r>
    <x v="1681"/>
    <n v="5"/>
    <x v="45"/>
    <x v="7"/>
    <s v="l'Oreal: interaktiver Report Datenextrakt"/>
    <m/>
    <s v="Weileder"/>
    <m/>
    <s v="4300042016"/>
    <s v="L'Oreal Interaktiv"/>
    <s v="Weileder"/>
    <s v="Peter Weileder"/>
    <x v="12"/>
  </r>
  <r>
    <x v="1681"/>
    <n v="3"/>
    <x v="50"/>
    <x v="12"/>
    <s v="L'Oreal Alternativreport Gesamtmarkt + Restmarkt Troubleshooting"/>
    <m/>
    <s v="Geiger"/>
    <m/>
    <s v="4300058330"/>
    <s v="Taunus"/>
    <s v="Tanja Geiger"/>
    <s v="Roland Borchard"/>
    <x v="12"/>
  </r>
  <r>
    <x v="1682"/>
    <n v="2"/>
    <x v="49"/>
    <x v="11"/>
    <s v="CH Kalkulator SRR Calculator Fertigstellung, Test und Bereitstellung"/>
    <m/>
    <s v="Johner"/>
    <m/>
    <s v="4300043553"/>
    <s v="Austria Calculator"/>
    <s v="Johner"/>
    <s v="Rüdiger Johner"/>
    <x v="12"/>
  </r>
  <r>
    <x v="1682"/>
    <n v="2"/>
    <x v="44"/>
    <x v="6"/>
    <s v="Bettenupdate 2014: kh_main Sortierung"/>
    <m/>
    <s v="Runkel"/>
    <m/>
    <s v="zu klären"/>
    <s v="Bettenupdate"/>
    <s v="Runkel"/>
    <s v="Ralf Runkel"/>
    <x v="12"/>
  </r>
  <r>
    <x v="1682"/>
    <n v="2"/>
    <x v="50"/>
    <x v="12"/>
    <s v="L'Oreal Alternativreport Gesamtmarkt + Restmarkt PowerSpreadsheet Anpassungen"/>
    <m/>
    <s v="Geiger"/>
    <m/>
    <s v="4300058330"/>
    <s v="Taunus"/>
    <s v="Tanja Geiger"/>
    <s v="Roland Borchard"/>
    <x v="12"/>
  </r>
  <r>
    <x v="1682"/>
    <n v="2"/>
    <x v="45"/>
    <x v="7"/>
    <s v="l'Oreal: interaktiver Report Datenextrakt"/>
    <m/>
    <s v="Weileder"/>
    <m/>
    <s v="4300042016"/>
    <s v="L'Oreal Interaktiv"/>
    <s v="Weileder"/>
    <s v="Peter Weileder"/>
    <x v="12"/>
  </r>
  <r>
    <x v="1683"/>
    <n v="5"/>
    <x v="40"/>
    <x v="2"/>
    <s v="PP2: Fehler in Log / Produktion anzeigen"/>
    <m/>
    <s v="Despotovic"/>
    <m/>
    <s v="4300058328"/>
    <s v="PP2"/>
    <s v="Sandra Despotovic"/>
    <s v="Roland Borchard"/>
    <x v="12"/>
  </r>
  <r>
    <x v="1684"/>
    <n v="8"/>
    <x v="52"/>
    <x v="14"/>
    <s v="Cesra Reports"/>
    <m/>
    <s v="Geiger"/>
    <m/>
    <s v="4300058330"/>
    <s v="Taunus"/>
    <s v="Tanja Geiger"/>
    <s v="Roland Borchard"/>
    <x v="12"/>
  </r>
  <r>
    <x v="1685"/>
    <n v="12"/>
    <x v="52"/>
    <x v="14"/>
    <s v="Cesra Reports"/>
    <m/>
    <s v="Geiger"/>
    <m/>
    <s v="4300058330"/>
    <s v="Taunus"/>
    <s v="Tanja Geiger"/>
    <s v="Roland Borchard"/>
    <x v="12"/>
  </r>
  <r>
    <x v="1685"/>
    <n v="2.5"/>
    <x v="40"/>
    <x v="2"/>
    <s v="PP2: Ascii Export Backdata durchlaufen lassen, falls früher bereits freigegeben"/>
    <m/>
    <s v="Despotovic"/>
    <m/>
    <s v="4300058328"/>
    <s v="PP2"/>
    <s v="Sandra Despotovic"/>
    <s v="Roland Borchard"/>
    <x v="12"/>
  </r>
  <r>
    <x v="1685"/>
    <n v="0.5"/>
    <x v="40"/>
    <x v="2"/>
    <s v="PP2: Support ProductionKeys für 201401"/>
    <m/>
    <s v="Despotovic"/>
    <m/>
    <s v="4300058328"/>
    <s v="PP2"/>
    <s v="Sandra Despotovic"/>
    <s v="Roland Borchard"/>
    <x v="12"/>
  </r>
  <r>
    <x v="1685"/>
    <n v="1"/>
    <x v="53"/>
    <x v="15"/>
    <s v="CHAustria Pharmatrend "/>
    <m/>
    <s v="Johner"/>
    <m/>
    <s v="4300043553"/>
    <s v="Austria Calculator"/>
    <s v="Johner"/>
    <s v="Rüdiger Johner"/>
    <x v="12"/>
  </r>
  <r>
    <x v="1686"/>
    <n v="4"/>
    <x v="50"/>
    <x v="12"/>
    <s v="L'Oreal Alternativreport Korrekturen"/>
    <m/>
    <s v="Geiger"/>
    <m/>
    <s v="4300058330"/>
    <s v="Taunus"/>
    <s v="Tanja Geiger"/>
    <s v="Roland Borchard"/>
    <x v="12"/>
  </r>
  <r>
    <x v="1686"/>
    <n v="2"/>
    <x v="40"/>
    <x v="2"/>
    <s v="PP2: Vorbereitungen Switch PP1 -&gt; PP2"/>
    <m/>
    <s v="Despotovic"/>
    <m/>
    <s v="4300058328"/>
    <s v="PP2"/>
    <s v="Sandra Despotovic"/>
    <s v="Roland Borchard"/>
    <x v="12"/>
  </r>
  <r>
    <x v="1686"/>
    <n v="2"/>
    <x v="45"/>
    <x v="7"/>
    <s v="l'Oreal: interaktiver Report Datenextrakt"/>
    <m/>
    <s v="Weileder"/>
    <m/>
    <s v="4300042016"/>
    <s v="L'Oreal Interaktiv"/>
    <s v="Weileder"/>
    <s v="Peter Weileder"/>
    <x v="12"/>
  </r>
  <r>
    <x v="1687"/>
    <n v="4"/>
    <x v="40"/>
    <x v="2"/>
    <s v="PP2: Fehler in Log / Produktion anzeigen"/>
    <m/>
    <s v="Despotovic"/>
    <m/>
    <s v="4300058328"/>
    <s v="PP2"/>
    <s v="Sandra Despotovic"/>
    <s v="Roland Borchard"/>
    <x v="12"/>
  </r>
  <r>
    <x v="1687"/>
    <n v="2"/>
    <x v="45"/>
    <x v="7"/>
    <s v="l'Oreal: interaktiver Report Datenextrakt"/>
    <m/>
    <s v="Weileder"/>
    <m/>
    <s v="4300042016"/>
    <s v="L'Oreal Interaktiv"/>
    <s v="Weileder"/>
    <s v="Peter Weileder"/>
    <x v="12"/>
  </r>
  <r>
    <x v="1687"/>
    <n v="2"/>
    <x v="41"/>
    <x v="3"/>
    <s v="CHA Kalkulator: weitere Modifier"/>
    <m/>
    <s v="Spiegel"/>
    <m/>
    <s v="zu klären"/>
    <s v="CHA Calculator"/>
    <s v="Marlies Spiegel "/>
    <s v="Marlies Spiegel"/>
    <x v="12"/>
  </r>
  <r>
    <x v="1688"/>
    <n v="1"/>
    <x v="54"/>
    <x v="16"/>
    <s v="Powercharts:  Telko Leveländerungen"/>
    <m/>
    <s v="Voigt"/>
    <m/>
    <s v="4300058330"/>
    <s v="Powercharts"/>
    <s v="Voigt"/>
    <s v="Hema Gajjar"/>
    <x v="12"/>
  </r>
  <r>
    <x v="1689"/>
    <n v="2"/>
    <x v="53"/>
    <x v="15"/>
    <s v="CHAustria: Pharmatrend Design Oberfläche"/>
    <m/>
    <s v="Johner"/>
    <m/>
    <s v="4300043553"/>
    <s v="Austria Calculator"/>
    <s v="Johner"/>
    <s v="Rüdiger Johner"/>
    <x v="12"/>
  </r>
  <r>
    <x v="1689"/>
    <n v="1"/>
    <x v="40"/>
    <x v="2"/>
    <s v="PP2: Support Ascii Export Fix nvhf51p"/>
    <m/>
    <s v="Despotovic"/>
    <m/>
    <s v="4300058328"/>
    <s v="PP2"/>
    <s v="Sandra Despotovic"/>
    <s v="Roland Borchard"/>
    <x v="12"/>
  </r>
  <r>
    <x v="1689"/>
    <n v="0.5"/>
    <x v="40"/>
    <x v="2"/>
    <s v="PP2: Support Prodesis Export"/>
    <m/>
    <s v="Despotovic"/>
    <m/>
    <s v="4300058328"/>
    <s v="PP2"/>
    <s v="Sandra Despotovic"/>
    <s v="Roland Borchard"/>
    <x v="12"/>
  </r>
  <r>
    <x v="1689"/>
    <n v="0.5"/>
    <x v="55"/>
    <x v="17"/>
    <s v="L'Oreal Telko L'Oreal Distributionsreport + Medice"/>
    <m/>
    <s v="Geiger"/>
    <m/>
    <s v="4300058330"/>
    <s v="Taunus"/>
    <s v="Tanja Geiger"/>
    <s v="Roland Borchard"/>
    <x v="12"/>
  </r>
  <r>
    <x v="1689"/>
    <n v="6"/>
    <x v="45"/>
    <x v="7"/>
    <s v="l'Oreal: interaktiver Report Datenextrakt"/>
    <m/>
    <s v="Weileder"/>
    <m/>
    <s v="4300042016"/>
    <s v="L'Oreal Interaktiv"/>
    <s v="Weileder"/>
    <s v="Peter Weileder"/>
    <x v="12"/>
  </r>
  <r>
    <x v="1690"/>
    <n v="2"/>
    <x v="56"/>
    <x v="18"/>
    <s v="CostCalculator: UAT nächste Steps"/>
    <m/>
    <s v="Pechstein"/>
    <m/>
    <s v="4300064783"/>
    <s v="Cost Calculator National"/>
    <s v="Pechstein"/>
    <s v="Marlen Pechstein"/>
    <x v="12"/>
  </r>
  <r>
    <x v="1690"/>
    <n v="1"/>
    <x v="40"/>
    <x v="2"/>
    <s v="PP2: Umstellung von PP1"/>
    <m/>
    <s v="Despotovic"/>
    <m/>
    <s v="4300058328"/>
    <s v="PP2"/>
    <s v="Sandra Despotovic"/>
    <s v="Roland Borchard"/>
    <x v="12"/>
  </r>
  <r>
    <x v="1690"/>
    <n v="2"/>
    <x v="55"/>
    <x v="17"/>
    <s v="L'Oreal Distributionsreport2 + Medice"/>
    <m/>
    <s v="Geiger"/>
    <m/>
    <s v="4300058330"/>
    <s v="Taunus"/>
    <s v="Tanja Geiger"/>
    <s v="Roland Borchard"/>
    <x v="12"/>
  </r>
  <r>
    <x v="1690"/>
    <n v="2"/>
    <x v="40"/>
    <x v="2"/>
    <s v="PP2: Test, Bereitstellung neue Version + Support ProdKeys Januar"/>
    <m/>
    <s v="Despotovic"/>
    <m/>
    <s v="4300058328"/>
    <s v="PP2"/>
    <s v="Sandra Despotovic"/>
    <s v="Roland Borchard"/>
    <x v="12"/>
  </r>
  <r>
    <x v="1691"/>
    <n v="1"/>
    <x v="54"/>
    <x v="16"/>
    <s v="Powercharts:  Analyse Prüfbericht + Folienvervielfältigung"/>
    <m/>
    <s v="Voigt"/>
    <m/>
    <s v="4300058330"/>
    <s v="Powercharts"/>
    <s v="Voigt"/>
    <s v="Hema Gajjar"/>
    <x v="12"/>
  </r>
  <r>
    <x v="1691"/>
    <n v="5"/>
    <x v="56"/>
    <x v="18"/>
    <s v="CostCalculator: Redesign Oberfläche"/>
    <m/>
    <s v="Pechstein"/>
    <m/>
    <s v="4300064783"/>
    <s v="Cost Calculator National"/>
    <s v="Pechstein"/>
    <s v="Marlen Pechstein"/>
    <x v="12"/>
  </r>
  <r>
    <x v="1691"/>
    <n v="1"/>
    <x v="55"/>
    <x v="17"/>
    <s v="L'Oreal Distributionsreport2"/>
    <m/>
    <s v="Geiger"/>
    <m/>
    <s v="4300058330"/>
    <s v="Taunus"/>
    <s v="Tanja Geiger"/>
    <s v="Roland Borchard"/>
    <x v="12"/>
  </r>
  <r>
    <x v="1691"/>
    <n v="1"/>
    <x v="40"/>
    <x v="2"/>
    <s v="PP2: Deaktivierung Fehleranzeige für 2c"/>
    <m/>
    <s v="Despotovic"/>
    <m/>
    <s v="4300058328"/>
    <s v="PP2"/>
    <s v="Sandra Despotovic"/>
    <s v="Roland Borchard"/>
    <x v="12"/>
  </r>
  <r>
    <x v="1691"/>
    <n v="3"/>
    <x v="40"/>
    <x v="2"/>
    <s v="PP2: Massenexport"/>
    <m/>
    <s v="Despotovic"/>
    <m/>
    <s v="4300058328"/>
    <s v="PP2"/>
    <s v="Sandra Despotovic"/>
    <s v="Roland Borchard"/>
    <x v="12"/>
  </r>
  <r>
    <x v="1692"/>
    <n v="1"/>
    <x v="40"/>
    <x v="2"/>
    <s v="PP2: Massenexport"/>
    <m/>
    <s v="Despotovic"/>
    <m/>
    <s v="4300058328"/>
    <s v="PP2"/>
    <s v="Sandra Despotovic"/>
    <s v="Roland Borchard"/>
    <x v="12"/>
  </r>
  <r>
    <x v="1692"/>
    <n v="3"/>
    <x v="56"/>
    <x v="18"/>
    <s v="CostCalculator: Redesign Oberfläche"/>
    <m/>
    <s v="Pechstein"/>
    <m/>
    <s v="4300064783"/>
    <s v="Cost Calculator National"/>
    <s v="Pechstein"/>
    <s v="Marlen Pechstein"/>
    <x v="12"/>
  </r>
  <r>
    <x v="1692"/>
    <n v="2"/>
    <x v="45"/>
    <x v="7"/>
    <s v="l'Oreal: interaktiver Report "/>
    <m/>
    <s v="Weileder"/>
    <m/>
    <s v="4300042016"/>
    <s v="L'Oreal Interaktiv"/>
    <s v="Weileder"/>
    <s v="Peter Weileder"/>
    <x v="12"/>
  </r>
  <r>
    <x v="1692"/>
    <n v="3"/>
    <x v="55"/>
    <x v="17"/>
    <s v="L'Oreal Distributionsreport2"/>
    <m/>
    <s v="Geiger"/>
    <m/>
    <s v="4300058330"/>
    <s v="Taunus"/>
    <s v="Tanja Geiger"/>
    <s v="Roland Borchard"/>
    <x v="12"/>
  </r>
  <r>
    <x v="1693"/>
    <n v="2"/>
    <x v="40"/>
    <x v="2"/>
    <s v="PP2: Support + Neue Version Status 2c Fix"/>
    <m/>
    <s v="Despotovic"/>
    <m/>
    <s v="4300058328"/>
    <s v="PP2"/>
    <s v="Sandra Despotovic"/>
    <s v="Roland Borchard"/>
    <x v="12"/>
  </r>
  <r>
    <x v="1693"/>
    <n v="1"/>
    <x v="55"/>
    <x v="17"/>
    <s v="L'Oreal Distributionsreport2"/>
    <m/>
    <s v="Geiger"/>
    <m/>
    <s v="4300058330"/>
    <s v="Taunus"/>
    <s v="Tanja Geiger"/>
    <s v="Roland Borchard"/>
    <x v="12"/>
  </r>
  <r>
    <x v="1693"/>
    <n v="1"/>
    <x v="40"/>
    <x v="2"/>
    <s v="PP2: Support IXPHSHF, wo sind Files"/>
    <m/>
    <s v="Despotovic"/>
    <m/>
    <s v="4300058328"/>
    <s v="PP2"/>
    <s v="Sandra Despotovic"/>
    <s v="Roland Borchard"/>
    <x v="12"/>
  </r>
  <r>
    <x v="1693"/>
    <n v="2"/>
    <x v="40"/>
    <x v="2"/>
    <s v="PP2: Massenexport"/>
    <m/>
    <s v="Despotovic"/>
    <m/>
    <s v="4300058328"/>
    <s v="PP2"/>
    <s v="Sandra Despotovic"/>
    <s v="Roland Borchard"/>
    <x v="12"/>
  </r>
  <r>
    <x v="1694"/>
    <n v="3"/>
    <x v="45"/>
    <x v="7"/>
    <s v="l'Oreal: interaktiver Report Berechnungen Rest + Totalmarkt"/>
    <m/>
    <s v="Weileder"/>
    <m/>
    <s v="4300042016"/>
    <s v="L'Oreal Interaktiv"/>
    <s v="Weileder"/>
    <s v="Peter Weileder"/>
    <x v="12"/>
  </r>
  <r>
    <x v="1695"/>
    <n v="2"/>
    <x v="55"/>
    <x v="17"/>
    <s v="L'Oreal Distributionsreport2"/>
    <m/>
    <s v="Geiger"/>
    <m/>
    <s v="4300058330"/>
    <s v="Taunus"/>
    <s v="Tanja Geiger"/>
    <s v="Roland Borchard"/>
    <x v="12"/>
  </r>
  <r>
    <x v="1696"/>
    <n v="1"/>
    <x v="55"/>
    <x v="17"/>
    <s v="L'Oreal Distributionsreport2"/>
    <m/>
    <s v="Geiger"/>
    <m/>
    <s v="4300058330"/>
    <s v="Taunus"/>
    <s v="Tanja Geiger"/>
    <s v="Roland Borchard"/>
    <x v="12"/>
  </r>
  <r>
    <x v="1696"/>
    <n v="4"/>
    <x v="45"/>
    <x v="7"/>
    <s v="l'Oreal: interaktiver Report hierarchisch + flat Style"/>
    <m/>
    <s v="Weileder"/>
    <m/>
    <s v="4300042016"/>
    <s v="L'Oreal Interaktiv"/>
    <s v="Weileder"/>
    <s v="Peter Weileder"/>
    <x v="12"/>
  </r>
  <r>
    <x v="1696"/>
    <n v="4"/>
    <x v="41"/>
    <x v="3"/>
    <s v="CHA Kalkulator: Fertigstellung Modifier, Test + Bereitstellung"/>
    <m/>
    <s v="Spiegel"/>
    <m/>
    <s v="zu klären"/>
    <s v="CHA Calculator"/>
    <s v="Marlies Spiegel "/>
    <s v="Marlies Spiegel"/>
    <x v="12"/>
  </r>
  <r>
    <x v="1697"/>
    <n v="1"/>
    <x v="45"/>
    <x v="7"/>
    <s v="l'Oreal: interaktiver Report"/>
    <m/>
    <s v="Weileder"/>
    <m/>
    <s v="4300042016"/>
    <s v="L'Oreal Interaktiv"/>
    <s v="Weileder"/>
    <s v="Peter Weileder"/>
    <x v="12"/>
  </r>
  <r>
    <x v="1697"/>
    <n v="2"/>
    <x v="55"/>
    <x v="17"/>
    <s v="L'Oreal Distributionsreport2"/>
    <m/>
    <s v="Geiger"/>
    <m/>
    <s v="4300058330"/>
    <s v="Taunus"/>
    <s v="Tanja Geiger"/>
    <s v="Roland Borchard"/>
    <x v="12"/>
  </r>
  <r>
    <x v="1697"/>
    <n v="1"/>
    <x v="45"/>
    <x v="7"/>
    <s v="l'Oreal: interaktiver Report Inline Meeting"/>
    <m/>
    <s v="Weileder"/>
    <m/>
    <s v="4300042016"/>
    <s v="L'Oreal Interaktiv"/>
    <s v="Weileder"/>
    <s v="Peter Weileder"/>
    <x v="12"/>
  </r>
  <r>
    <x v="1697"/>
    <n v="2"/>
    <x v="40"/>
    <x v="2"/>
    <s v="PP2: Fix leere Folder, Test + Bereitstellung"/>
    <m/>
    <s v="Despotovic"/>
    <m/>
    <s v="4300058328"/>
    <s v="PP2"/>
    <s v="Sandra Despotovic"/>
    <s v="Roland Borchard"/>
    <x v="12"/>
  </r>
  <r>
    <x v="1697"/>
    <n v="2"/>
    <x v="40"/>
    <x v="2"/>
    <s v="PP2: Support IXPHSHF"/>
    <m/>
    <s v="Despotovic"/>
    <m/>
    <s v="4300058328"/>
    <s v="PP2"/>
    <s v="Sandra Despotovic"/>
    <s v="Roland Borchard"/>
    <x v="12"/>
  </r>
  <r>
    <x v="1697"/>
    <n v="3"/>
    <x v="53"/>
    <x v="15"/>
    <s v="CHAustria Pharmatrend Calculator"/>
    <m/>
    <s v="Johner"/>
    <m/>
    <s v="4300043553"/>
    <s v="Austria Calculator"/>
    <s v="Johner"/>
    <s v="Rüdiger Johner"/>
    <x v="12"/>
  </r>
  <r>
    <x v="1697"/>
    <n v="1"/>
    <x v="52"/>
    <x v="14"/>
    <s v="Cesra Korrekturen Veränderungsraten + Perioden"/>
    <m/>
    <s v="Geiger"/>
    <m/>
    <s v="4300058330"/>
    <s v="Taunus"/>
    <s v="Tanja Geiger"/>
    <s v="Roland Borchard"/>
    <x v="12"/>
  </r>
  <r>
    <x v="1698"/>
    <n v="4"/>
    <x v="40"/>
    <x v="2"/>
    <s v="PP2: Massenexport"/>
    <m/>
    <s v="Despotovic"/>
    <m/>
    <s v="4300058328"/>
    <s v="PP2"/>
    <s v="Sandra Despotovic"/>
    <s v="Roland Borchard"/>
    <x v="12"/>
  </r>
  <r>
    <x v="1698"/>
    <n v="1"/>
    <x v="45"/>
    <x v="7"/>
    <s v="l'Oreal: interaktiver Report Cloud"/>
    <m/>
    <s v="Weileder"/>
    <m/>
    <s v="4300042016"/>
    <s v="L'Oreal Interaktiv"/>
    <s v="Weileder"/>
    <s v="Peter Weileder"/>
    <x v="12"/>
  </r>
  <r>
    <x v="1698"/>
    <n v="3"/>
    <x v="40"/>
    <x v="2"/>
    <s v="PP2: Support Studyerkennung, Analyse Produktionen ohne Study"/>
    <m/>
    <s v="Despotovic"/>
    <m/>
    <s v="4300058328"/>
    <s v="PP2"/>
    <s v="Sandra Despotovic"/>
    <s v="Roland Borchard"/>
    <x v="12"/>
  </r>
  <r>
    <x v="1699"/>
    <n v="2"/>
    <x v="40"/>
    <x v="2"/>
    <s v="PP2: Massenexport"/>
    <m/>
    <s v="Despotovic"/>
    <m/>
    <s v="4300058328"/>
    <s v="PP2"/>
    <s v="Sandra Despotovic"/>
    <s v="Roland Borchard"/>
    <x v="12"/>
  </r>
  <r>
    <x v="1699"/>
    <n v="1"/>
    <x v="53"/>
    <x v="15"/>
    <s v="CHAustria Pharmatrend Calculator"/>
    <m/>
    <s v="Johner"/>
    <m/>
    <s v="4300043553"/>
    <s v="Austria Calculator"/>
    <s v="Johner"/>
    <s v="Rüdiger Johner"/>
    <x v="12"/>
  </r>
  <r>
    <x v="1699"/>
    <n v="1"/>
    <x v="55"/>
    <x v="17"/>
    <s v="L'Oreal Distributionsreport2"/>
    <m/>
    <s v="Geiger"/>
    <m/>
    <s v="4300058330"/>
    <s v="Taunus"/>
    <s v="Tanja Geiger"/>
    <s v="Roland Borchard"/>
    <x v="12"/>
  </r>
  <r>
    <x v="1699"/>
    <n v="6"/>
    <x v="57"/>
    <x v="19"/>
    <s v="Medice POS report"/>
    <m/>
    <s v="Geiger"/>
    <m/>
    <s v="4300058330"/>
    <s v="Taunus"/>
    <s v="Tanja Geiger"/>
    <s v="Roland Borchard"/>
    <x v="12"/>
  </r>
  <r>
    <x v="1699"/>
    <n v="1"/>
    <x v="40"/>
    <x v="2"/>
    <s v="PP2: 00 Produktionen Analyse"/>
    <m/>
    <s v="Despotovic"/>
    <m/>
    <s v="4300058328"/>
    <s v="PP2"/>
    <s v="Sandra Despotovic"/>
    <s v="Roland Borchard"/>
    <x v="12"/>
  </r>
  <r>
    <x v="1699"/>
    <n v="0.5"/>
    <x v="40"/>
    <x v="2"/>
    <s v="PP2: 00 Produktionen Telko"/>
    <m/>
    <s v="Despotovic"/>
    <m/>
    <s v="4300058328"/>
    <s v="PP2"/>
    <s v="Sandra Despotovic"/>
    <s v="Roland Borchard"/>
    <x v="12"/>
  </r>
  <r>
    <x v="1699"/>
    <n v="1"/>
    <x v="40"/>
    <x v="2"/>
    <s v="PP2: PP1 Studyerkennung in PP2 eingebaut"/>
    <m/>
    <s v="Despotovic"/>
    <m/>
    <s v="4300058328"/>
    <s v="PP2"/>
    <s v="Sandra Despotovic"/>
    <s v="Roland Borchard"/>
    <x v="12"/>
  </r>
  <r>
    <x v="1700"/>
    <n v="4"/>
    <x v="57"/>
    <x v="19"/>
    <s v="Medice POS report"/>
    <m/>
    <s v="Geiger"/>
    <m/>
    <s v="4300058330"/>
    <s v="Taunus"/>
    <s v="Tanja Geiger"/>
    <s v="Roland Borchard"/>
    <x v="12"/>
  </r>
  <r>
    <x v="1700"/>
    <n v="2"/>
    <x v="55"/>
    <x v="17"/>
    <s v="L'Oreal Distributionsreport2"/>
    <m/>
    <s v="Geiger"/>
    <m/>
    <s v="4300058330"/>
    <s v="Taunus"/>
    <s v="Tanja Geiger"/>
    <s v="Roland Borchard"/>
    <x v="12"/>
  </r>
  <r>
    <x v="1700"/>
    <n v="1"/>
    <x v="58"/>
    <x v="20"/>
    <s v="Taunus:  Niehaus"/>
    <m/>
    <s v="Schilly"/>
    <m/>
    <s v="4300058330"/>
    <s v="Taunus"/>
    <s v="Tanja Geiger"/>
    <s v="Roland Borchard"/>
    <x v="12"/>
  </r>
  <r>
    <x v="1701"/>
    <n v="4"/>
    <x v="53"/>
    <x v="15"/>
    <s v="CHAustria Pharmatrend Preisberechnung"/>
    <m/>
    <s v="Johner"/>
    <m/>
    <s v="4300043553"/>
    <s v="Austria Calculator"/>
    <s v="Johner"/>
    <s v="Rüdiger Johner"/>
    <x v="12"/>
  </r>
  <r>
    <x v="1701"/>
    <n v="3"/>
    <x v="58"/>
    <x v="20"/>
    <s v="Taunus:  Niehaus"/>
    <m/>
    <s v="Schilly"/>
    <m/>
    <s v="4300058330"/>
    <s v="Taunus"/>
    <s v="Tanja Geiger"/>
    <s v="Roland Borchard"/>
    <x v="12"/>
  </r>
  <r>
    <x v="1702"/>
    <n v="3"/>
    <x v="58"/>
    <x v="20"/>
    <s v="Taunus:  Niehaus"/>
    <m/>
    <s v="Schilly"/>
    <m/>
    <s v="4300058330"/>
    <s v="Taunus"/>
    <s v="Tanja Geiger"/>
    <s v="Roland Borchard"/>
    <x v="12"/>
  </r>
  <r>
    <x v="1703"/>
    <n v="4"/>
    <x v="58"/>
    <x v="20"/>
    <s v="Taunus:  Niehaus"/>
    <m/>
    <s v="Schilly"/>
    <m/>
    <s v="4300058330"/>
    <s v="Taunus"/>
    <s v="Tanja Geiger"/>
    <s v="Roland Borchard"/>
    <x v="12"/>
  </r>
  <r>
    <x v="1703"/>
    <n v="1"/>
    <x v="40"/>
    <x v="2"/>
    <s v="PP2 Bereitstellung neue Version Massenexport"/>
    <m/>
    <s v="Despotovic"/>
    <m/>
    <s v="4300058328"/>
    <s v="PP2"/>
    <s v="Sandra Despotovic"/>
    <s v="Roland Borchard"/>
    <x v="12"/>
  </r>
  <r>
    <x v="1703"/>
    <n v="1"/>
    <x v="40"/>
    <x v="2"/>
    <s v="PP2 Support SA/SMP Liste 201401"/>
    <m/>
    <s v="Despotovic"/>
    <m/>
    <s v="4300058328"/>
    <s v="PP2"/>
    <s v="Sandra Despotovic"/>
    <s v="Roland Borchard"/>
    <x v="12"/>
  </r>
  <r>
    <x v="1703"/>
    <n v="2"/>
    <x v="40"/>
    <x v="2"/>
    <s v="PP2 Support Santen 6a, Prodesis Bug"/>
    <m/>
    <s v="Despotovic"/>
    <m/>
    <s v="4300058328"/>
    <s v="PP2"/>
    <s v="Sandra Despotovic"/>
    <s v="Roland Borchard"/>
    <x v="12"/>
  </r>
  <r>
    <x v="1704"/>
    <n v="2"/>
    <x v="53"/>
    <x v="15"/>
    <s v="CHAustria Pharmatrend Test, Setup + Bereitstellung"/>
    <m/>
    <s v="Johner"/>
    <m/>
    <s v="4300043553"/>
    <s v="Austria Calculator"/>
    <s v="Johner"/>
    <s v="Rüdiger Johner"/>
    <x v="12"/>
  </r>
  <r>
    <x v="1704"/>
    <n v="1.5"/>
    <x v="40"/>
    <x v="2"/>
    <s v="PP2 Support ProdesisExport "/>
    <m/>
    <s v="Despotovic"/>
    <m/>
    <s v="4300058328"/>
    <s v="PP2"/>
    <s v="Sandra Despotovic"/>
    <s v="Roland Borchard"/>
    <x v="12"/>
  </r>
  <r>
    <x v="1704"/>
    <n v="4"/>
    <x v="46"/>
    <x v="8"/>
    <s v="bbh Excel Import"/>
    <m/>
    <s v="S.Borchard"/>
    <m/>
    <s v="4300042018"/>
    <s v="Berichtsbesonderheiten"/>
    <s v="Sabine Borchard"/>
    <s v="Sabine Borchard"/>
    <x v="12"/>
  </r>
  <r>
    <x v="1704"/>
    <n v="1"/>
    <x v="40"/>
    <x v="2"/>
    <s v="PP2 Massenexport Test Fix"/>
    <m/>
    <s v="Despotovic"/>
    <m/>
    <s v="4300058328"/>
    <s v="PP2"/>
    <s v="Sandra Despotovic"/>
    <s v="Roland Borchard"/>
    <x v="12"/>
  </r>
  <r>
    <x v="1704"/>
    <n v="1"/>
    <x v="40"/>
    <x v="2"/>
    <s v="PP2 SA/SMP Checkliste 201401"/>
    <m/>
    <s v="Despotovic"/>
    <m/>
    <s v="4300058328"/>
    <s v="PP2"/>
    <s v="Sandra Despotovic"/>
    <s v="Roland Borchard"/>
    <x v="12"/>
  </r>
  <r>
    <x v="1705"/>
    <n v="3"/>
    <x v="40"/>
    <x v="2"/>
    <s v="Besprechungen Frankfurt, weitere Vorgehensweise HBT Check, PP2 etc."/>
    <m/>
    <s v="Borchard"/>
    <m/>
    <s v="4300058328"/>
    <s v="PP2"/>
    <s v="Sandra Despotovic"/>
    <s v="Roland Borchard"/>
    <x v="12"/>
  </r>
  <r>
    <x v="1705"/>
    <n v="3"/>
    <x v="40"/>
    <x v="2"/>
    <s v="PP2 Besprechungen Frankfurt"/>
    <m/>
    <s v="Despotovic"/>
    <m/>
    <s v="4300058328"/>
    <s v="PP2"/>
    <s v="Sandra Despotovic"/>
    <s v="Roland Borchard"/>
    <x v="12"/>
  </r>
  <r>
    <x v="1705"/>
    <n v="2"/>
    <x v="46"/>
    <x v="8"/>
    <s v="bbh Excel Import"/>
    <m/>
    <s v="S.Borchard"/>
    <m/>
    <s v="4300042018"/>
    <s v="Berichtsbesonderheiten"/>
    <s v="Sabine Borchard"/>
    <s v="Sabine Borchard"/>
    <x v="12"/>
  </r>
  <r>
    <x v="1706"/>
    <n v="1"/>
    <x v="56"/>
    <x v="18"/>
    <s v="CostCalculator: Redesign Oberfläche"/>
    <m/>
    <s v="Pechstein"/>
    <m/>
    <s v="4300064783"/>
    <s v="Cost Calculator National"/>
    <s v="Pechstein"/>
    <s v="Marlen Pechstein"/>
    <x v="12"/>
  </r>
  <r>
    <x v="1706"/>
    <n v="2"/>
    <x v="46"/>
    <x v="8"/>
    <s v="bbh Excel Import"/>
    <m/>
    <s v="S.Borchard"/>
    <m/>
    <s v="4300042018"/>
    <s v="Berichtsbesonderheiten"/>
    <s v="Sabine Borchard"/>
    <s v="Sabine Borchard"/>
    <x v="12"/>
  </r>
  <r>
    <x v="1706"/>
    <n v="2"/>
    <x v="59"/>
    <x v="21"/>
    <s v="GSK Datenextrakt manuelle Versuche"/>
    <m/>
    <s v="Borchard"/>
    <m/>
    <s v="4300058330"/>
    <s v="Taunus"/>
    <s v="Roland Borchard"/>
    <s v="Roland Borchard"/>
    <x v="12"/>
  </r>
  <r>
    <x v="1706"/>
    <n v="5"/>
    <x v="40"/>
    <x v="2"/>
    <s v="PP2 Support Aktueller Produktionsplan, Parallelproduktionen"/>
    <m/>
    <s v="Despotovic"/>
    <m/>
    <s v="4300058328"/>
    <s v="PP2"/>
    <s v="Sandra Despotovic"/>
    <s v="Roland Borchard"/>
    <x v="12"/>
  </r>
  <r>
    <x v="1706"/>
    <n v="2"/>
    <x v="53"/>
    <x v="15"/>
    <s v="CHAustria Pharmatrend Korrektur Preisberechnung"/>
    <m/>
    <s v="Johner"/>
    <m/>
    <s v="4300043553"/>
    <s v="Austria Calculator"/>
    <s v="Johner"/>
    <s v="Rüdiger Johner"/>
    <x v="12"/>
  </r>
  <r>
    <x v="1707"/>
    <n v="3"/>
    <x v="51"/>
    <x v="13"/>
    <s v="CostCalculator: Fertigstellung + Bereitstellung"/>
    <m/>
    <s v="Pechstein"/>
    <m/>
    <s v="4300064783"/>
    <s v="Cost Calculator National"/>
    <s v="Pechstein"/>
    <s v="Marlen Pechstein"/>
    <x v="12"/>
  </r>
  <r>
    <x v="1707"/>
    <n v="2"/>
    <x v="40"/>
    <x v="2"/>
    <s v="PP2 Neuer Dialog Produktion für Vormonat"/>
    <m/>
    <s v="Despotovic"/>
    <m/>
    <s v="4300058328"/>
    <s v="PP2"/>
    <s v="Sandra Despotovic"/>
    <s v="Roland Borchard"/>
    <x v="12"/>
  </r>
  <r>
    <x v="1707"/>
    <n v="2"/>
    <x v="57"/>
    <x v="19"/>
    <s v="Medice POS Saison report"/>
    <m/>
    <s v="Geiger"/>
    <m/>
    <s v="4300058330"/>
    <s v="Taunus"/>
    <s v="Tanja Geiger"/>
    <s v="Roland Borchard"/>
    <x v="12"/>
  </r>
  <r>
    <x v="1707"/>
    <n v="2"/>
    <x v="46"/>
    <x v="8"/>
    <s v="bbh Excel Import"/>
    <m/>
    <s v="S.Borchard"/>
    <m/>
    <s v="4300042018"/>
    <s v="Berichtsbesonderheiten"/>
    <s v="Sabine Borchard"/>
    <s v="Sabine Borchard"/>
    <x v="12"/>
  </r>
  <r>
    <x v="1707"/>
    <n v="2"/>
    <x v="40"/>
    <x v="2"/>
    <s v="PP2 SA/SMP Refresh für aktuellen Monat"/>
    <m/>
    <s v="Despotovic"/>
    <m/>
    <s v="4300058328"/>
    <s v="PP2"/>
    <s v="Sandra Despotovic"/>
    <s v="Roland Borchard"/>
    <x v="12"/>
  </r>
  <r>
    <x v="1708"/>
    <n v="1"/>
    <x v="40"/>
    <x v="2"/>
    <s v="PP2 Massenexport Anpassung Sortierung"/>
    <m/>
    <s v="Despotovic"/>
    <m/>
    <s v="4300058328"/>
    <s v="PP2"/>
    <s v="Sandra Despotovic"/>
    <s v="Roland Borchard"/>
    <x v="12"/>
  </r>
  <r>
    <x v="1709"/>
    <n v="3"/>
    <x v="59"/>
    <x v="21"/>
    <s v="GSK Powerpivot, Powerspreadsheet"/>
    <m/>
    <s v="Borchard"/>
    <m/>
    <s v="4300058330"/>
    <s v="Taunus"/>
    <s v="Roland Borchard"/>
    <s v="Roland Borchard"/>
    <x v="12"/>
  </r>
  <r>
    <x v="1710"/>
    <n v="3"/>
    <x v="53"/>
    <x v="15"/>
    <s v="CHAustria Berechnungen"/>
    <m/>
    <s v="Johner"/>
    <m/>
    <s v="4300043553"/>
    <s v="Austria Calculator"/>
    <s v="Johner"/>
    <s v="Rüdiger Johner"/>
    <x v="12"/>
  </r>
  <r>
    <x v="1710"/>
    <n v="2"/>
    <x v="53"/>
    <x v="15"/>
    <s v="CHAustria Pharmatrend Fertigstellung, Test + Bereitstellung"/>
    <m/>
    <s v="Johner"/>
    <m/>
    <s v="4300043553"/>
    <s v="Austria Calculator"/>
    <s v="Johner"/>
    <s v="Rüdiger Johner"/>
    <x v="12"/>
  </r>
  <r>
    <x v="1710"/>
    <n v="1"/>
    <x v="40"/>
    <x v="2"/>
    <s v="PP2 Neuer Dialog Produktion für Vormonat"/>
    <m/>
    <s v="Despotovic"/>
    <m/>
    <s v="4300058328"/>
    <s v="PP2"/>
    <s v="Sandra Despotovic"/>
    <s v="Roland Borchard"/>
    <x v="12"/>
  </r>
  <r>
    <x v="1710"/>
    <n v="3"/>
    <x v="57"/>
    <x v="19"/>
    <s v="Medice POS Saison report"/>
    <m/>
    <s v="Geiger"/>
    <m/>
    <s v="4300058330"/>
    <s v="Taunus"/>
    <s v="Tanja Geiger"/>
    <s v="Roland Borchard"/>
    <x v="12"/>
  </r>
  <r>
    <x v="1711"/>
    <n v="2"/>
    <x v="60"/>
    <x v="22"/>
    <s v="CHAustria OTC Offtake"/>
    <m/>
    <s v="Johner"/>
    <m/>
    <s v="4300043553"/>
    <s v="Austria Calculator"/>
    <s v="Johner"/>
    <s v="Rüdiger Johner"/>
    <x v="12"/>
  </r>
  <r>
    <x v="1711"/>
    <n v="2"/>
    <x v="40"/>
    <x v="2"/>
    <s v="PP2 Production Report"/>
    <m/>
    <s v="Despotovic"/>
    <m/>
    <s v="4300058328"/>
    <s v="PP2"/>
    <s v="Sandra Despotovic"/>
    <s v="Roland Borchard"/>
    <x v="12"/>
  </r>
  <r>
    <x v="1711"/>
    <n v="1"/>
    <x v="40"/>
    <x v="2"/>
    <s v="PP2 6a-&gt;9a für Admin"/>
    <m/>
    <s v="Despotovic"/>
    <m/>
    <s v="4300058328"/>
    <s v="PP2"/>
    <s v="Sandra Despotovic"/>
    <s v="Roland Borchard"/>
    <x v="12"/>
  </r>
  <r>
    <x v="1711"/>
    <n v="2"/>
    <x v="40"/>
    <x v="2"/>
    <s v="PP2 Export Rücknahme nur für Admin"/>
    <m/>
    <s v="Despotovic"/>
    <m/>
    <s v="4300058328"/>
    <s v="PP2"/>
    <s v="Sandra Despotovic"/>
    <s v="Roland Borchard"/>
    <x v="12"/>
  </r>
  <r>
    <x v="1712"/>
    <n v="1"/>
    <x v="40"/>
    <x v="2"/>
    <s v="PP2 Neue Version, Test und Bereitstellung"/>
    <m/>
    <s v="Despotovic"/>
    <m/>
    <s v="4300058328"/>
    <s v="PP2"/>
    <s v="Sandra Despotovic"/>
    <s v="Roland Borchard"/>
    <x v="12"/>
  </r>
  <r>
    <x v="1712"/>
    <n v="1"/>
    <x v="57"/>
    <x v="19"/>
    <s v="Medice POS Saison report"/>
    <m/>
    <s v="Geiger"/>
    <m/>
    <s v="4300058330"/>
    <s v="Taunus"/>
    <s v="Tanja Geiger"/>
    <s v="Roland Borchard"/>
    <x v="12"/>
  </r>
  <r>
    <x v="1712"/>
    <n v="1"/>
    <x v="60"/>
    <x v="22"/>
    <s v="CHAustria Preislisten Übergabe"/>
    <m/>
    <s v="Johner"/>
    <m/>
    <s v="4300043553"/>
    <s v="Austria Calculator"/>
    <s v="Johner"/>
    <s v="Rüdiger Johner"/>
    <x v="12"/>
  </r>
  <r>
    <x v="1712"/>
    <n v="1.5"/>
    <x v="40"/>
    <x v="2"/>
    <s v="HBT Check Besprechung"/>
    <m/>
    <s v="Schilly"/>
    <m/>
    <s v="4300058328"/>
    <s v="PP2"/>
    <s v="Sandra Despotovic"/>
    <s v="Roland Borchard"/>
    <x v="12"/>
  </r>
  <r>
    <x v="1712"/>
    <n v="1"/>
    <x v="40"/>
    <x v="2"/>
    <s v="PP2 Fehlermeldung NichtAdmin User bei Start -&gt; noch zu klären"/>
    <m/>
    <s v="Despotovic"/>
    <m/>
    <s v="4300058328"/>
    <s v="PP2"/>
    <s v="Sandra Despotovic"/>
    <s v="Roland Borchard"/>
    <x v="12"/>
  </r>
  <r>
    <x v="1712"/>
    <n v="2"/>
    <x v="60"/>
    <x v="22"/>
    <s v="CHAustria OTC Offtake"/>
    <m/>
    <s v="Johner"/>
    <m/>
    <s v="4300043553"/>
    <s v="Austria Calculator"/>
    <s v="Johner"/>
    <s v="Rüdiger Johner"/>
    <x v="12"/>
  </r>
  <r>
    <x v="1713"/>
    <n v="2"/>
    <x v="40"/>
    <x v="2"/>
    <s v="PP2 Bugfixing, Fehlersuche Startfehlermeldung"/>
    <m/>
    <s v="Despotovic"/>
    <m/>
    <s v="4300058328"/>
    <s v="PP2"/>
    <s v="Sandra Despotovic"/>
    <s v="Roland Borchard"/>
    <x v="12"/>
  </r>
  <r>
    <x v="1713"/>
    <n v="1"/>
    <x v="57"/>
    <x v="19"/>
    <s v="Medice POS + Saison report Anpassungen Namen"/>
    <m/>
    <s v="Geiger"/>
    <m/>
    <s v="4300058330"/>
    <s v="Taunus"/>
    <s v="Tanja Geiger"/>
    <s v="Roland Borchard"/>
    <x v="12"/>
  </r>
  <r>
    <x v="1713"/>
    <n v="6"/>
    <x v="45"/>
    <x v="7"/>
    <s v="l'Oreal: interaktiver Report Anpassungen Brands"/>
    <m/>
    <s v="Weileder"/>
    <m/>
    <s v="4300042016"/>
    <s v="L'Oreal Interaktiv"/>
    <s v="Weileder"/>
    <s v="Peter Weileder"/>
    <x v="12"/>
  </r>
  <r>
    <x v="1714"/>
    <n v="1"/>
    <x v="40"/>
    <x v="2"/>
    <s v="PP2 Neuer Excel Export Button OutputChecks + ProductionPlan"/>
    <m/>
    <s v="Despotovic"/>
    <m/>
    <s v="4300058328"/>
    <s v="PP2"/>
    <s v="Sandra Despotovic"/>
    <s v="Roland Borchard"/>
    <x v="12"/>
  </r>
  <r>
    <x v="1715"/>
    <n v="2"/>
    <x v="60"/>
    <x v="22"/>
    <s v="CHAustria OTC Offtake"/>
    <m/>
    <s v="Johner"/>
    <m/>
    <s v="4300043553"/>
    <s v="Austria Calculator"/>
    <s v="Johner"/>
    <s v="Rüdiger Johner"/>
    <x v="12"/>
  </r>
  <r>
    <x v="1716"/>
    <n v="1"/>
    <x v="61"/>
    <x v="23"/>
    <s v="L'Oreal Micro"/>
    <m/>
    <s v="Geiger"/>
    <m/>
    <s v="4300058330"/>
    <s v="Taunus"/>
    <s v="Tanja Geiger"/>
    <s v="Roland Borchard"/>
    <x v="12"/>
  </r>
  <r>
    <x v="1717"/>
    <n v="1"/>
    <x v="39"/>
    <x v="1"/>
    <s v="Klosterfrau Reporting Besprechung"/>
    <m/>
    <s v="Schilly"/>
    <m/>
    <s v="4300058330"/>
    <s v="Taunus"/>
    <s v="Birgit Schilly"/>
    <s v="Roland Borchard"/>
    <x v="12"/>
  </r>
  <r>
    <x v="1717"/>
    <n v="1"/>
    <x v="40"/>
    <x v="2"/>
    <s v="PP2 doppelter Kundeneintrag"/>
    <m/>
    <s v="Despotovic"/>
    <m/>
    <s v="4300058328"/>
    <s v="PP2"/>
    <s v="Sandra Despotovic"/>
    <s v="Roland Borchard"/>
    <x v="12"/>
  </r>
  <r>
    <x v="1717"/>
    <n v="2"/>
    <x v="40"/>
    <x v="2"/>
    <s v="PP2 Test + Update"/>
    <m/>
    <s v="Despotovic"/>
    <m/>
    <s v="4300058328"/>
    <s v="PP2"/>
    <s v="Sandra Despotovic"/>
    <s v="Roland Borchard"/>
    <x v="12"/>
  </r>
  <r>
    <x v="1717"/>
    <n v="4"/>
    <x v="40"/>
    <x v="2"/>
    <s v="PP2 Bugfixing, bereits Vorhanden Prüfung bei Kunde, Linie etc."/>
    <m/>
    <s v="Despotovic"/>
    <m/>
    <s v="4300058328"/>
    <s v="PP2"/>
    <s v="Sandra Despotovic"/>
    <s v="Roland Borchard"/>
    <x v="12"/>
  </r>
  <r>
    <x v="1718"/>
    <n v="0.5"/>
    <x v="61"/>
    <x v="23"/>
    <s v="CH Reports Besprechung"/>
    <m/>
    <s v="Wischnewski"/>
    <m/>
    <s v="4300058330"/>
    <s v="Taunus"/>
    <s v="Tanja Geiger"/>
    <s v="Roland Borchard"/>
    <x v="12"/>
  </r>
  <r>
    <x v="1718"/>
    <n v="2"/>
    <x v="40"/>
    <x v="2"/>
    <s v="Update Merge Produktion ProductionUsed N"/>
    <m/>
    <s v="Despotovic"/>
    <m/>
    <s v="4300058328"/>
    <s v="PP2"/>
    <s v="Sandra Despotovic"/>
    <s v="Roland Borchard"/>
    <x v="12"/>
  </r>
  <r>
    <x v="1718"/>
    <n v="5.5"/>
    <x v="60"/>
    <x v="22"/>
    <s v="CHAustria Datenintegration neue OTC,PAC,PEC,OTC Media Daten"/>
    <m/>
    <s v="Johner"/>
    <m/>
    <s v="4300043553"/>
    <s v="Austria Calculator"/>
    <s v="Johner"/>
    <s v="Rüdiger Johner"/>
    <x v="12"/>
  </r>
  <r>
    <x v="1719"/>
    <n v="8"/>
    <x v="53"/>
    <x v="15"/>
    <s v="CHAustria Neuer Auswahldialog Full Market Access"/>
    <m/>
    <s v="Johner"/>
    <m/>
    <s v="4300043553"/>
    <s v="Austria Calculator"/>
    <s v="Johner"/>
    <s v="Rüdiger Johner"/>
    <x v="12"/>
  </r>
  <r>
    <x v="1720"/>
    <n v="2"/>
    <x v="43"/>
    <x v="5"/>
    <s v="CHAustria Neuer Auswahldialog Full Market Access"/>
    <m/>
    <s v="Johner"/>
    <m/>
    <s v="4300043553"/>
    <s v="Austria Calculator"/>
    <s v="Johner"/>
    <s v="Rüdiger Johner"/>
    <x v="12"/>
  </r>
  <r>
    <x v="1721"/>
    <n v="2"/>
    <x v="60"/>
    <x v="22"/>
    <s v="CHAustria Neuer Auswahldialog Full Market Access"/>
    <m/>
    <s v="Johner"/>
    <m/>
    <s v="4300043553"/>
    <s v="Austria Calculator"/>
    <s v="Johner"/>
    <s v="Rüdiger Johner"/>
    <x v="12"/>
  </r>
  <r>
    <x v="1722"/>
    <n v="8"/>
    <x v="49"/>
    <x v="11"/>
    <s v="CHAustria Neuer Auswahldialog Full Market Access"/>
    <m/>
    <s v="Johner"/>
    <m/>
    <s v="4300043553"/>
    <s v="Austria Calculator"/>
    <s v="Johner"/>
    <s v="Rüdiger Johner"/>
    <x v="12"/>
  </r>
  <r>
    <x v="1723"/>
    <n v="4"/>
    <x v="43"/>
    <x v="5"/>
    <s v="CHAustria Neuer Auswahldialog Full Market Access + Tests"/>
    <m/>
    <s v="Johner"/>
    <m/>
    <s v="4300043553"/>
    <s v="Austria Calculator"/>
    <s v="Johner"/>
    <s v="Rüdiger Johner"/>
    <x v="12"/>
  </r>
  <r>
    <x v="1723"/>
    <n v="1"/>
    <x v="40"/>
    <x v="2"/>
    <s v="PP2 DefaultProductionUsed"/>
    <m/>
    <s v="Despotovic"/>
    <m/>
    <s v="4300058328"/>
    <s v="PP2"/>
    <s v="Sandra Despotovic"/>
    <s v="Roland Borchard"/>
    <x v="12"/>
  </r>
  <r>
    <x v="1723"/>
    <n v="2"/>
    <x v="39"/>
    <x v="1"/>
    <s v="Klosterfrau Reporting Offizin"/>
    <m/>
    <s v="Schilly"/>
    <m/>
    <s v="4300058330"/>
    <s v="Taunus"/>
    <s v="Birgit Schilly"/>
    <s v="Roland Borchard"/>
    <x v="12"/>
  </r>
  <r>
    <x v="1723"/>
    <n v="1"/>
    <x v="54"/>
    <x v="16"/>
    <s v="Powercharts:  Aktualisierung MAT-Perioden"/>
    <m/>
    <s v="Salwa-Emmel"/>
    <m/>
    <s v="4300058330"/>
    <s v="Powercharts"/>
    <s v="Voigt"/>
    <s v="Hema Gajjar"/>
    <x v="12"/>
  </r>
  <r>
    <x v="1724"/>
    <n v="1"/>
    <x v="60"/>
    <x v="22"/>
    <s v="CHAustria abschließende Arbeiten an der Oberfläche"/>
    <m/>
    <s v="Johner"/>
    <m/>
    <s v="4300043553"/>
    <s v="Austria Calculator"/>
    <s v="Johner"/>
    <s v="Rüdiger Johner"/>
    <x v="12"/>
  </r>
  <r>
    <x v="1724"/>
    <n v="2"/>
    <x v="61"/>
    <x v="23"/>
    <s v="L'Oreal Micro"/>
    <m/>
    <s v="Geiger"/>
    <m/>
    <s v="4300058330"/>
    <s v="Taunus"/>
    <s v="Tanja Geiger"/>
    <s v="Roland Borchard"/>
    <x v="12"/>
  </r>
  <r>
    <x v="1724"/>
    <n v="1"/>
    <x v="47"/>
    <x v="9"/>
    <s v="BOOTS März Reporting Berichte erstellt"/>
    <m/>
    <s v="Schilly"/>
    <m/>
    <s v="4300058330"/>
    <s v="Taunus"/>
    <s v="Birgit Schilly"/>
    <s v="Roland Borchard"/>
    <x v="12"/>
  </r>
  <r>
    <x v="1724"/>
    <n v="2"/>
    <x v="62"/>
    <x v="24"/>
    <s v="L'Oreal Dermo Anpassungen + Berichtserstellung März"/>
    <m/>
    <s v="Geiger"/>
    <m/>
    <s v="4300058330"/>
    <s v="Taunus"/>
    <s v="Tanja Geiger"/>
    <s v="Roland Borchard"/>
    <x v="12"/>
  </r>
  <r>
    <x v="1724"/>
    <n v="2"/>
    <x v="54"/>
    <x v="16"/>
    <s v="Powercharts:  Aktualisierung MAT-Perioden"/>
    <m/>
    <s v="Salwa-Emmel"/>
    <m/>
    <s v="4300058330"/>
    <s v="Powercharts"/>
    <s v="Voigt"/>
    <s v="Hema Gajjar"/>
    <x v="12"/>
  </r>
  <r>
    <x v="1725"/>
    <n v="1"/>
    <x v="63"/>
    <x v="25"/>
    <s v="Biomedica Diätetika report"/>
    <m/>
    <s v="Geiger"/>
    <m/>
    <s v="4300058330"/>
    <s v="Taunus"/>
    <s v="Tanja Geiger"/>
    <s v="Roland Borchard"/>
    <x v="12"/>
  </r>
  <r>
    <x v="1726"/>
    <n v="3"/>
    <x v="49"/>
    <x v="11"/>
    <s v="CHAustria Tests, Fixes + Setup + Bereitstellung"/>
    <m/>
    <s v="Johner"/>
    <m/>
    <s v="4300043553"/>
    <s v="Austria Calculator"/>
    <s v="Johner"/>
    <s v="Rüdiger Johner"/>
    <x v="12"/>
  </r>
  <r>
    <x v="1726"/>
    <n v="2"/>
    <x v="41"/>
    <x v="3"/>
    <s v="Datenintegration neu Marktauswahl + Bereitstellung"/>
    <m/>
    <s v="Spiegel"/>
    <m/>
    <s v="zu klären"/>
    <s v="CHA Calculator"/>
    <s v="Marlies Spiegel "/>
    <s v="Marlies Spiegel"/>
    <x v="12"/>
  </r>
  <r>
    <x v="1726"/>
    <n v="2"/>
    <x v="54"/>
    <x v="16"/>
    <s v="Powercharts:  Aktualisierung MAT-Perioden"/>
    <m/>
    <s v="Salwa-Emmel"/>
    <m/>
    <s v="4300058330"/>
    <s v="Powercharts"/>
    <s v="Voigt"/>
    <s v="Hema Gajjar"/>
    <x v="12"/>
  </r>
  <r>
    <x v="1727"/>
    <n v="2"/>
    <x v="48"/>
    <x v="10"/>
    <s v="CMCalculator Datenmodell Datenbank"/>
    <m/>
    <s v="Sdunzig"/>
    <m/>
    <s v="4300064785"/>
    <s v="Cost Calculator Regional"/>
    <s v="Norbert Sdunzig"/>
    <s v="Norbert Sdunzig"/>
    <x v="12"/>
  </r>
  <r>
    <x v="1728"/>
    <n v="8"/>
    <x v="48"/>
    <x v="10"/>
    <s v="CMCalculator"/>
    <m/>
    <s v="Sdunzig"/>
    <m/>
    <s v="4300064785"/>
    <s v="Cost Calculator Regional"/>
    <s v="Norbert Sdunzig"/>
    <s v="Norbert Sdunzig"/>
    <x v="12"/>
  </r>
  <r>
    <x v="1729"/>
    <n v="1.5"/>
    <x v="46"/>
    <x v="8"/>
    <s v="bbh Link Problem in Excel File"/>
    <m/>
    <s v="S.Borchard"/>
    <m/>
    <s v="4300042018"/>
    <s v="Berichtsbesonderheiten"/>
    <s v="Sabine Borchard"/>
    <s v="Sabine Borchard"/>
    <x v="12"/>
  </r>
  <r>
    <x v="1729"/>
    <n v="6.5"/>
    <x v="61"/>
    <x v="23"/>
    <s v="L'Oreal Micro MDXe"/>
    <m/>
    <s v="Geiger"/>
    <m/>
    <s v="4300058330"/>
    <s v="Taunus"/>
    <s v="Tanja Geiger"/>
    <s v="Roland Borchard"/>
    <x v="12"/>
  </r>
  <r>
    <x v="1730"/>
    <n v="3"/>
    <x v="61"/>
    <x v="23"/>
    <s v="L'Oreal Micro MDXe"/>
    <m/>
    <s v="Geiger"/>
    <m/>
    <s v="4300058330"/>
    <s v="Taunus"/>
    <s v="Tanja Geiger"/>
    <s v="Roland Borchard"/>
    <x v="12"/>
  </r>
  <r>
    <x v="1730"/>
    <n v="1"/>
    <x v="40"/>
    <x v="2"/>
    <s v="PP2 Support manueller Export, mehrere Versionen"/>
    <m/>
    <s v="Despotovic"/>
    <m/>
    <s v="4300058328"/>
    <s v="PP2"/>
    <s v="Sandra Despotovic"/>
    <s v="Roland Borchard"/>
    <x v="12"/>
  </r>
  <r>
    <x v="1730"/>
    <n v="4"/>
    <x v="61"/>
    <x v="23"/>
    <s v="L'Oreal Micro MDXe"/>
    <m/>
    <s v="Geiger"/>
    <m/>
    <s v="4300058330"/>
    <s v="Taunus"/>
    <s v="Tanja Geiger"/>
    <s v="Roland Borchard"/>
    <x v="12"/>
  </r>
  <r>
    <x v="1731"/>
    <n v="2.5"/>
    <x v="40"/>
    <x v="2"/>
    <s v="keine Berechnung: PP2 Bugfixing Maneuller Prodesisversand"/>
    <m/>
    <s v="Despotovic"/>
    <m/>
    <s v="4300058328"/>
    <s v="PP2"/>
    <s v="Sandra Despotovic"/>
    <s v="Roland Borchard"/>
    <x v="12"/>
  </r>
  <r>
    <x v="1731"/>
    <n v="1"/>
    <x v="63"/>
    <x v="25"/>
    <s v="Biomedica Diätetika report"/>
    <m/>
    <s v="Geiger"/>
    <m/>
    <s v="4300058330"/>
    <s v="Taunus"/>
    <s v="Tanja Geiger"/>
    <s v="Roland Borchard"/>
    <x v="12"/>
  </r>
  <r>
    <x v="1731"/>
    <n v="0.5"/>
    <x v="41"/>
    <x v="3"/>
    <s v="CHA Kalkulator: Telefonmeeting"/>
    <m/>
    <s v="Spiegel"/>
    <m/>
    <s v="zu klären"/>
    <s v="CHA Calculator"/>
    <s v="Marlies Spiegel "/>
    <s v="Marlies Spiegel"/>
    <x v="12"/>
  </r>
  <r>
    <x v="1731"/>
    <n v="1"/>
    <x v="41"/>
    <x v="3"/>
    <s v="CHA Kalkulator: Fehlersuche verschwindende Märkte"/>
    <m/>
    <s v="Spiegel"/>
    <m/>
    <s v="zu klären"/>
    <s v="CHA Calculator"/>
    <s v="Marlies Spiegel "/>
    <s v="Marlies Spiegel"/>
    <x v="12"/>
  </r>
  <r>
    <x v="1731"/>
    <n v="4"/>
    <x v="61"/>
    <x v="23"/>
    <s v="L'Oreal Micro Distributionsreports"/>
    <m/>
    <s v="Geiger"/>
    <m/>
    <s v="4300058330"/>
    <s v="Taunus"/>
    <s v="Tanja Geiger"/>
    <s v="Roland Borchard"/>
    <x v="12"/>
  </r>
  <r>
    <x v="1732"/>
    <n v="1"/>
    <x v="39"/>
    <x v="1"/>
    <s v="Klosterfrau "/>
    <m/>
    <s v="Schilly"/>
    <m/>
    <s v="4300058330"/>
    <s v="Taunus"/>
    <s v="Birgit Schilly"/>
    <s v="Roland Borchard"/>
    <x v="12"/>
  </r>
  <r>
    <x v="1732"/>
    <n v="4"/>
    <x v="61"/>
    <x v="23"/>
    <s v="L'Oreal Micro Fertigstellung Vichy report"/>
    <m/>
    <s v="Geiger"/>
    <m/>
    <s v="4300058330"/>
    <s v="Taunus"/>
    <s v="Tanja Geiger"/>
    <s v="Roland Borchard"/>
    <x v="12"/>
  </r>
  <r>
    <x v="1732"/>
    <n v="4"/>
    <x v="61"/>
    <x v="23"/>
    <s v="L'Oreal Micro Fertigstellung LRP report"/>
    <m/>
    <s v="Geiger"/>
    <m/>
    <s v="4300058330"/>
    <s v="Taunus"/>
    <s v="Tanja Geiger"/>
    <s v="Roland Borchard"/>
    <x v="12"/>
  </r>
  <r>
    <x v="1733"/>
    <n v="6"/>
    <x v="41"/>
    <x v="3"/>
    <s v="CHA Kalkulator: Neuer Dialog OTC Auswahl, Ersetzung des instabilen alten"/>
    <m/>
    <s v="Spiegel"/>
    <m/>
    <s v="zu klären"/>
    <s v="CHA Calculator"/>
    <s v="Marlies Spiegel "/>
    <s v="Marlies Spiegel"/>
    <x v="12"/>
  </r>
  <r>
    <x v="1733"/>
    <n v="2"/>
    <x v="64"/>
    <x v="26"/>
    <s v="Bayer reporting Dashboard"/>
    <m/>
    <s v="Geiger"/>
    <m/>
    <s v="4300058330"/>
    <s v="Taunus"/>
    <s v="Tanja Geiger"/>
    <s v="Roland Borchard"/>
    <x v="12"/>
  </r>
  <r>
    <x v="1734"/>
    <n v="1"/>
    <x v="40"/>
    <x v="2"/>
    <s v="PP2 Erweiterung PPU Produktionen"/>
    <m/>
    <s v="Despotovic"/>
    <m/>
    <s v="4300058328"/>
    <s v="PP2"/>
    <s v="Sandra Despotovic"/>
    <s v="Roland Borchard"/>
    <x v="12"/>
  </r>
  <r>
    <x v="1734"/>
    <n v="2"/>
    <x v="63"/>
    <x v="25"/>
    <s v="Biomedica Diätetika report"/>
    <m/>
    <s v="Geiger"/>
    <m/>
    <s v="4300058330"/>
    <s v="Taunus"/>
    <s v="Tanja Geiger"/>
    <s v="Roland Borchard"/>
    <x v="12"/>
  </r>
  <r>
    <x v="1734"/>
    <n v="2"/>
    <x v="64"/>
    <x v="26"/>
    <s v="Bayer Reporting Dashboard"/>
    <m/>
    <s v="Geiger"/>
    <m/>
    <s v="4300058330"/>
    <s v="Taunus"/>
    <s v="Tanja Geiger"/>
    <s v="Roland Borchard"/>
    <x v="12"/>
  </r>
  <r>
    <x v="1734"/>
    <n v="0.5"/>
    <x v="40"/>
    <x v="2"/>
    <s v="PP2 Support Fehlermeldung Online Meeting"/>
    <m/>
    <s v="Reiner"/>
    <m/>
    <s v="4300058328"/>
    <s v="PP2"/>
    <s v="Sandra Despotovic"/>
    <s v="Roland Borchard"/>
    <x v="12"/>
  </r>
  <r>
    <x v="1734"/>
    <n v="1.5"/>
    <x v="48"/>
    <x v="10"/>
    <s v="CMCalculator "/>
    <m/>
    <s v="Sdunzig"/>
    <m/>
    <s v="4300064785"/>
    <s v="Cost Calculator Regional"/>
    <s v="Norbert Sdunzig"/>
    <s v="Norbert Sdunzig"/>
    <x v="12"/>
  </r>
  <r>
    <x v="1735"/>
    <n v="1.5"/>
    <x v="40"/>
    <x v="2"/>
    <s v="Meeting weitere Vorgehensweise"/>
    <m/>
    <s v="Borchard"/>
    <m/>
    <s v="4300058328"/>
    <s v="PP2"/>
    <s v="Sandra Despotovic"/>
    <s v="Roland Borchard"/>
    <x v="12"/>
  </r>
  <r>
    <x v="1735"/>
    <n v="2"/>
    <x v="40"/>
    <x v="2"/>
    <s v="PP2 Meeting weitere Punkte"/>
    <m/>
    <s v="Despotovic"/>
    <m/>
    <s v="4300058328"/>
    <s v="PP2"/>
    <s v="Sandra Despotovic"/>
    <s v="Roland Borchard"/>
    <x v="12"/>
  </r>
  <r>
    <x v="1735"/>
    <n v="1"/>
    <x v="54"/>
    <x v="16"/>
    <s v="Powercharts: Besprechung aktuelle Arbeitsweise"/>
    <m/>
    <s v="Janosch"/>
    <m/>
    <s v="4300058330"/>
    <s v="Powercharts"/>
    <s v="Voigt"/>
    <s v="Hema Gajjar"/>
    <x v="12"/>
  </r>
  <r>
    <x v="1735"/>
    <n v="1"/>
    <x v="41"/>
    <x v="3"/>
    <s v="CHA Kalkulator Besprechung"/>
    <m/>
    <s v="Spiegel"/>
    <m/>
    <s v="zu klären"/>
    <s v="CHA Calculator"/>
    <s v="Marlies Spiegel "/>
    <s v="Marlies Spiegel"/>
    <x v="12"/>
  </r>
  <r>
    <x v="1735"/>
    <n v="0.5"/>
    <x v="65"/>
    <x v="27"/>
    <s v="Stada reports Besprechung"/>
    <m/>
    <s v="Spiegel"/>
    <m/>
    <s v="4300058330"/>
    <s v="Taunus"/>
    <s v="Julia Propp"/>
    <s v="Roland Borchard"/>
    <x v="12"/>
  </r>
  <r>
    <x v="1735"/>
    <n v="1"/>
    <x v="40"/>
    <x v="2"/>
    <s v="keine Berechnung: Aufwendungen für Fahrtkosten + Spesen"/>
    <m/>
    <s v="Borchard"/>
    <m/>
    <s v="4300058328"/>
    <s v="PP2"/>
    <s v="Sandra Despotovic"/>
    <s v="Roland Borchard"/>
    <x v="12"/>
  </r>
  <r>
    <x v="1736"/>
    <n v="2"/>
    <x v="41"/>
    <x v="3"/>
    <s v="CHA Kalkulator kleinere Anpassungen: Berechnung 2. Micro bei 1. Micro Basissatellit etc., 2260 etc…"/>
    <m/>
    <s v="Spiegel"/>
    <m/>
    <s v="zu klären"/>
    <s v="CHA Calculator"/>
    <s v="Marlies Spiegel "/>
    <s v="Marlies Spiegel"/>
    <x v="12"/>
  </r>
  <r>
    <x v="1736"/>
    <n v="1"/>
    <x v="61"/>
    <x v="23"/>
    <s v="L'Oreal Micro Formatierung des Datenbereiches"/>
    <m/>
    <s v="Geiger"/>
    <m/>
    <s v="4300058330"/>
    <s v="Taunus"/>
    <s v="Tanja Geiger"/>
    <s v="Roland Borchard"/>
    <x v="12"/>
  </r>
  <r>
    <x v="1736"/>
    <n v="2"/>
    <x v="40"/>
    <x v="2"/>
    <s v="PP2 SA/SMP Export Feature"/>
    <m/>
    <s v="Despotovic"/>
    <m/>
    <s v="4300058328"/>
    <s v="PP2"/>
    <s v="Sandra Despotovic"/>
    <s v="Roland Borchard"/>
    <x v="12"/>
  </r>
  <r>
    <x v="1736"/>
    <n v="1"/>
    <x v="40"/>
    <x v="2"/>
    <s v="PP2 Support PPU Produktion"/>
    <m/>
    <s v="Despotovic"/>
    <m/>
    <s v="4300058328"/>
    <s v="PP2"/>
    <s v="Sandra Despotovic"/>
    <s v="Roland Borchard"/>
    <x v="12"/>
  </r>
  <r>
    <x v="1737"/>
    <n v="4"/>
    <x v="39"/>
    <x v="1"/>
    <s v="Klosterfrau reports MDXe"/>
    <m/>
    <s v="Geiger"/>
    <m/>
    <s v="4300058330"/>
    <s v="Taunus"/>
    <s v="Birgit Schilly"/>
    <s v="Roland Borchard"/>
    <x v="12"/>
  </r>
  <r>
    <x v="1737"/>
    <n v="1"/>
    <x v="66"/>
    <x v="28"/>
    <s v="Telefonmeeting Klosterfrau Nutricia Variante "/>
    <m/>
    <s v="Schilly"/>
    <m/>
    <s v="4300058330"/>
    <s v="Taunus"/>
    <s v="Tanja Geiger"/>
    <s v="Roland Borchard"/>
    <x v="12"/>
  </r>
  <r>
    <x v="1737"/>
    <n v="2"/>
    <x v="66"/>
    <x v="28"/>
    <s v="Telefonmeeting Klosterfrau Nutricia"/>
    <m/>
    <s v="Schilly"/>
    <m/>
    <s v="4300058330"/>
    <s v="Taunus"/>
    <s v="Tanja Geiger"/>
    <s v="Roland Borchard"/>
    <x v="12"/>
  </r>
  <r>
    <x v="1738"/>
    <n v="1"/>
    <x v="47"/>
    <x v="9"/>
    <s v="Support Boots Reporting"/>
    <m/>
    <s v="Schilly"/>
    <m/>
    <s v="4300058330"/>
    <s v="Taunus"/>
    <s v="Birgit Schilly"/>
    <s v="Roland Borchard"/>
    <x v="12"/>
  </r>
  <r>
    <x v="1738"/>
    <n v="5"/>
    <x v="66"/>
    <x v="28"/>
    <s v="Nutricia reports MDXe"/>
    <m/>
    <s v="Geiger"/>
    <m/>
    <s v="4300058330"/>
    <s v="Taunus"/>
    <s v="Tanja Geiger"/>
    <s v="Roland Borchard"/>
    <x v="12"/>
  </r>
  <r>
    <x v="1738"/>
    <n v="2"/>
    <x v="63"/>
    <x v="25"/>
    <s v="Biomedica reports MDXe"/>
    <m/>
    <s v="Geiger"/>
    <m/>
    <s v="4300058330"/>
    <s v="Taunus"/>
    <s v="Tanja Geiger"/>
    <s v="Roland Borchard"/>
    <x v="12"/>
  </r>
  <r>
    <x v="1738"/>
    <n v="1"/>
    <x v="63"/>
    <x v="25"/>
    <s v="Biomedica Tests"/>
    <m/>
    <s v="Geiger"/>
    <m/>
    <s v="4300058330"/>
    <s v="Taunus"/>
    <s v="Tanja Geiger"/>
    <s v="Roland Borchard"/>
    <x v="12"/>
  </r>
  <r>
    <x v="1739"/>
    <n v="4"/>
    <x v="39"/>
    <x v="1"/>
    <s v="Klosterfrau reports MDXe"/>
    <m/>
    <s v="Geiger"/>
    <m/>
    <s v="4300058330"/>
    <s v="Taunus"/>
    <s v="Birgit Schilly"/>
    <s v="Roland Borchard"/>
    <x v="12"/>
  </r>
  <r>
    <x v="1739"/>
    <n v="3"/>
    <x v="48"/>
    <x v="10"/>
    <s v="CMCalculator Oberfläche"/>
    <m/>
    <s v="Sdunzig"/>
    <m/>
    <s v="4300064785"/>
    <s v="Cost Calculator Regional"/>
    <s v="Norbert Sdunzig"/>
    <s v="Norbert Sdunzig"/>
    <x v="12"/>
  </r>
  <r>
    <x v="1740"/>
    <n v="5"/>
    <x v="66"/>
    <x v="28"/>
    <s v="Nutricia Fertigstellung und Test"/>
    <m/>
    <s v="Schilly"/>
    <m/>
    <s v="4300058330"/>
    <s v="Taunus"/>
    <s v="Tanja Geiger"/>
    <s v="Roland Borchard"/>
    <x v="12"/>
  </r>
  <r>
    <x v="1740"/>
    <n v="2"/>
    <x v="41"/>
    <x v="3"/>
    <s v="CHA Kalkulator Tests + Bereitstellung neue Version"/>
    <m/>
    <s v="Spiegel"/>
    <m/>
    <s v="zu klären"/>
    <s v="CHA Calculator"/>
    <s v="Marlies Spiegel "/>
    <s v="Marlies Spiegel"/>
    <x v="12"/>
  </r>
  <r>
    <x v="1741"/>
    <n v="2"/>
    <x v="63"/>
    <x v="25"/>
    <s v="Biomedica Fertigstellung und Test"/>
    <m/>
    <s v="Geiger"/>
    <m/>
    <s v="4300058330"/>
    <s v="Taunus"/>
    <s v="Tanja Geiger"/>
    <s v="Roland Borchard"/>
    <x v="12"/>
  </r>
  <r>
    <x v="1741"/>
    <n v="1"/>
    <x v="40"/>
    <x v="2"/>
    <s v="PP2 Test und Bereitstellung neue Version"/>
    <m/>
    <s v="Despotovic"/>
    <m/>
    <s v="4300058328"/>
    <s v="PP2"/>
    <s v="Sandra Despotovic"/>
    <s v="Roland Borchard"/>
    <x v="12"/>
  </r>
  <r>
    <x v="1741"/>
    <n v="1"/>
    <x v="40"/>
    <x v="2"/>
    <s v="PP2 Produktion zuordnen Erweiterung"/>
    <m/>
    <s v="Despotovic"/>
    <m/>
    <s v="4300058328"/>
    <s v="PP2"/>
    <s v="Sandra Despotovic"/>
    <s v="Roland Borchard"/>
    <x v="12"/>
  </r>
  <r>
    <x v="1741"/>
    <n v="2"/>
    <x v="65"/>
    <x v="27"/>
    <s v="Stada reports"/>
    <m/>
    <s v="Spiegel"/>
    <m/>
    <s v="4300058330"/>
    <s v="Taunus"/>
    <s v="Julia Propp"/>
    <s v="Roland Borchard"/>
    <x v="12"/>
  </r>
  <r>
    <x v="1741"/>
    <n v="2"/>
    <x v="40"/>
    <x v="2"/>
    <s v="PP2 Beschleunigung Anwendungsstart, Optimierung Navigation"/>
    <m/>
    <s v="Despotovic"/>
    <m/>
    <s v="4300058328"/>
    <s v="PP2"/>
    <s v="Sandra Despotovic"/>
    <s v="Roland Borchard"/>
    <x v="12"/>
  </r>
  <r>
    <x v="1742"/>
    <n v="3"/>
    <x v="66"/>
    <x v="28"/>
    <s v="Nutricia Feinschliff, letzte Änderungen"/>
    <m/>
    <s v="Schilly"/>
    <m/>
    <s v="4300058330"/>
    <s v="Taunus"/>
    <s v="Tanja Geiger"/>
    <s v="Roland Borchard"/>
    <x v="12"/>
  </r>
  <r>
    <x v="1742"/>
    <n v="1"/>
    <x v="39"/>
    <x v="1"/>
    <s v="Klosterfrau"/>
    <m/>
    <s v="Geiger"/>
    <m/>
    <s v="4300058330"/>
    <s v="Taunus"/>
    <s v="Birgit Schilly"/>
    <s v="Roland Borchard"/>
    <x v="12"/>
  </r>
  <r>
    <x v="1742"/>
    <n v="3"/>
    <x v="40"/>
    <x v="2"/>
    <s v="PP2 Support PIXCONSU PPU Produktion"/>
    <m/>
    <s v="Despotovic"/>
    <m/>
    <s v="4300058328"/>
    <s v="PP2"/>
    <s v="Sandra Despotovic"/>
    <s v="Roland Borchard"/>
    <x v="12"/>
  </r>
  <r>
    <x v="1743"/>
    <n v="7"/>
    <x v="41"/>
    <x v="3"/>
    <s v="CHA Kalkulator Speichern Funktionalität"/>
    <m/>
    <s v="Spiegel"/>
    <m/>
    <s v="zu klären"/>
    <s v="CHA Calculator"/>
    <s v="Marlies Spiegel "/>
    <s v="Marlies Spiegel"/>
    <x v="12"/>
  </r>
  <r>
    <x v="1743"/>
    <n v="1"/>
    <x v="40"/>
    <x v="2"/>
    <s v="PP2 neues Update, Test, Bereitstellung"/>
    <m/>
    <s v="Despotovic"/>
    <m/>
    <s v="4300058328"/>
    <s v="PP2"/>
    <s v="Sandra Despotovic"/>
    <s v="Roland Borchard"/>
    <x v="12"/>
  </r>
  <r>
    <x v="1744"/>
    <n v="6"/>
    <x v="41"/>
    <x v="3"/>
    <s v="CHA Kalkulator Speichern Funktionalität"/>
    <m/>
    <s v="Spiegel"/>
    <m/>
    <s v="zu klären"/>
    <s v="CHA Calculator"/>
    <s v="Marlies Spiegel "/>
    <s v="Marlies Spiegel"/>
    <x v="12"/>
  </r>
  <r>
    <x v="1744"/>
    <n v="2"/>
    <x v="48"/>
    <x v="10"/>
    <s v="CMCalculator Kalkulation"/>
    <m/>
    <s v="Sdunzig"/>
    <m/>
    <s v="4300064785"/>
    <s v="Cost Calculator Regional"/>
    <s v="Norbert Sdunzig"/>
    <s v="Norbert Sdunzig"/>
    <x v="12"/>
  </r>
  <r>
    <x v="1745"/>
    <n v="4"/>
    <x v="41"/>
    <x v="3"/>
    <s v="CHA Kalkulator Speichern Funktionalität + Historisierung"/>
    <m/>
    <s v="Spiegel"/>
    <m/>
    <s v="zu klären"/>
    <s v="CHA Calculator"/>
    <s v="Marlies Spiegel "/>
    <s v="Marlies Spiegel"/>
    <x v="12"/>
  </r>
  <r>
    <x v="1745"/>
    <n v="3"/>
    <x v="48"/>
    <x v="10"/>
    <s v="CMCalculator Kalkulation"/>
    <m/>
    <s v="Sdunzig"/>
    <m/>
    <s v="4300064785"/>
    <s v="Cost Calculator Regional"/>
    <s v="Norbert Sdunzig"/>
    <s v="Norbert Sdunzig"/>
    <x v="12"/>
  </r>
  <r>
    <x v="1746"/>
    <n v="8"/>
    <x v="39"/>
    <x v="1"/>
    <s v="Klosterfrau"/>
    <m/>
    <s v="Geiger"/>
    <m/>
    <s v="4300058330"/>
    <s v="Taunus"/>
    <s v="Birgit Schilly"/>
    <s v="Roland Borchard"/>
    <x v="12"/>
  </r>
  <r>
    <x v="1747"/>
    <n v="6"/>
    <x v="39"/>
    <x v="1"/>
    <s v="Klosterfrau"/>
    <m/>
    <s v="Geiger"/>
    <m/>
    <s v="4300058330"/>
    <s v="Taunus"/>
    <s v="Birgit Schilly"/>
    <s v="Roland Borchard"/>
    <x v="12"/>
  </r>
  <r>
    <x v="1748"/>
    <n v="6"/>
    <x v="41"/>
    <x v="3"/>
    <s v="CHA Kalkulator Speichern + Laden Funktionalität"/>
    <m/>
    <s v="Spiegel"/>
    <m/>
    <s v="zu klären"/>
    <s v="CHA Calculator"/>
    <s v="Marlies Spiegel "/>
    <s v="Marlies Spiegel"/>
    <x v="12"/>
  </r>
  <r>
    <x v="1748"/>
    <n v="2"/>
    <x v="48"/>
    <x v="10"/>
    <s v="CMCalculator abschließende Tests + Installation"/>
    <m/>
    <s v="Sdunzig"/>
    <m/>
    <s v="4300064785"/>
    <s v="Cost Calculator Regional"/>
    <s v="Norbert Sdunzig"/>
    <s v="Norbert Sdunzig"/>
    <x v="12"/>
  </r>
  <r>
    <x v="1749"/>
    <n v="6"/>
    <x v="65"/>
    <x v="27"/>
    <s v="Stada MDXe Pharmatrend"/>
    <m/>
    <s v="Spiegel"/>
    <m/>
    <s v="4300058330"/>
    <s v="Taunus"/>
    <s v="Julia Propp"/>
    <s v="Roland Borchard"/>
    <x v="12"/>
  </r>
  <r>
    <x v="1749"/>
    <n v="2"/>
    <x v="41"/>
    <x v="3"/>
    <s v="CHA Kalkulator Export Funktion"/>
    <m/>
    <s v="Spiegel"/>
    <m/>
    <s v="zu klären"/>
    <s v="CHA Calculator"/>
    <s v="Marlies Spiegel "/>
    <s v="Marlies Spiegel"/>
    <x v="12"/>
  </r>
  <r>
    <x v="1750"/>
    <n v="4"/>
    <x v="65"/>
    <x v="27"/>
    <s v="Stada MDXe Pharmatrend Micro"/>
    <m/>
    <s v="Spiegel"/>
    <m/>
    <s v="4300058330"/>
    <s v="Taunus"/>
    <s v="Julia Propp"/>
    <s v="Roland Borchard"/>
    <x v="12"/>
  </r>
  <r>
    <x v="1750"/>
    <n v="4"/>
    <x v="49"/>
    <x v="11"/>
    <s v="CHAustria Export Funktionalität"/>
    <m/>
    <s v="Johner"/>
    <m/>
    <s v="4300043553"/>
    <s v="Austria Calculator"/>
    <s v="Johner"/>
    <s v="Rüdiger Johner"/>
    <x v="12"/>
  </r>
  <r>
    <x v="1751"/>
    <n v="4"/>
    <x v="39"/>
    <x v="1"/>
    <s v="Klosterfrau Fertigstellung + letzte Tests"/>
    <m/>
    <s v="Geiger"/>
    <m/>
    <s v="4300058330"/>
    <s v="Taunus"/>
    <s v="Birgit Schilly"/>
    <s v="Roland Borchard"/>
    <x v="12"/>
  </r>
  <r>
    <x v="1751"/>
    <n v="4"/>
    <x v="41"/>
    <x v="3"/>
    <s v="CHA Kalkulator Export Funktion"/>
    <m/>
    <s v="Spiegel"/>
    <m/>
    <s v="zu klären"/>
    <s v="CHA Calculator"/>
    <s v="Marlies Spiegel "/>
    <s v="Marlies Spiegel"/>
    <x v="12"/>
  </r>
  <r>
    <x v="1751"/>
    <n v="0.5"/>
    <x v="66"/>
    <x v="28"/>
    <s v="Nutricia Telko"/>
    <m/>
    <s v="Schilly"/>
    <m/>
    <s v="4300058330"/>
    <s v="Taunus"/>
    <s v="Tanja Geiger"/>
    <s v="Roland Borchard"/>
    <x v="12"/>
  </r>
  <r>
    <x v="1751"/>
    <n v="1"/>
    <x v="66"/>
    <x v="28"/>
    <s v="Nutricia Erweiterungen"/>
    <m/>
    <s v="Schilly"/>
    <m/>
    <s v="4300058330"/>
    <s v="Taunus"/>
    <s v="Tanja Geiger"/>
    <s v="Roland Borchard"/>
    <x v="12"/>
  </r>
  <r>
    <x v="1752"/>
    <n v="6"/>
    <x v="65"/>
    <x v="27"/>
    <s v="Stada MDXe Pharmatrend + Micro"/>
    <m/>
    <s v="Spiegel"/>
    <m/>
    <s v="4300058330"/>
    <s v="Taunus"/>
    <s v="Julia Propp"/>
    <s v="Roland Borchard"/>
    <x v="12"/>
  </r>
  <r>
    <x v="1752"/>
    <n v="2"/>
    <x v="41"/>
    <x v="3"/>
    <s v="CHA Kalkulator Export Funktion"/>
    <m/>
    <s v="Spiegel"/>
    <m/>
    <s v="zu klären"/>
    <s v="CHA Calculator"/>
    <s v="Marlies Spiegel "/>
    <s v="Marlies Spiegel"/>
    <x v="12"/>
  </r>
  <r>
    <x v="1753"/>
    <n v="4"/>
    <x v="41"/>
    <x v="3"/>
    <s v="CHA Kalkulator Export Funktion"/>
    <m/>
    <s v="Spiegel"/>
    <m/>
    <s v="zu klären"/>
    <s v="CHA Calculator"/>
    <s v="Marlies Spiegel "/>
    <s v="Marlies Spiegel"/>
    <x v="12"/>
  </r>
  <r>
    <x v="1753"/>
    <n v="1"/>
    <x v="41"/>
    <x v="3"/>
    <s v="CHA Kalkulator Speichern Laden"/>
    <m/>
    <s v="Spiegel"/>
    <m/>
    <s v="zu klären"/>
    <s v="CHA Calculator"/>
    <s v="Marlies Spiegel "/>
    <s v="Marlies Spiegel"/>
    <x v="12"/>
  </r>
  <r>
    <x v="1754"/>
    <n v="4"/>
    <x v="65"/>
    <x v="27"/>
    <s v="Stada MDXe Pharmatrend + Micro Fertigstellung + Tests + Dashboard Integration"/>
    <m/>
    <s v="Spiegel"/>
    <m/>
    <s v="4300058330"/>
    <s v="Taunus"/>
    <s v="Julia Propp"/>
    <s v="Roland Borchard"/>
    <x v="12"/>
  </r>
  <r>
    <x v="1755"/>
    <n v="8"/>
    <x v="53"/>
    <x v="15"/>
    <s v="CHAustria Speichern, Laden, Historisierung"/>
    <m/>
    <s v="Johner"/>
    <m/>
    <s v="4300043553"/>
    <s v="Austria Calculator"/>
    <s v="Johner"/>
    <s v="Rüdiger Johner"/>
    <x v="12"/>
  </r>
  <r>
    <x v="1756"/>
    <n v="6"/>
    <x v="49"/>
    <x v="11"/>
    <s v="CHAustria Speichern, Laden, Historisierung"/>
    <m/>
    <s v="Johner"/>
    <m/>
    <s v="4300043553"/>
    <s v="Austria Calculator"/>
    <s v="Johner"/>
    <s v="Rüdiger Johner"/>
    <x v="12"/>
  </r>
  <r>
    <x v="1756"/>
    <n v="2"/>
    <x v="43"/>
    <x v="5"/>
    <s v="CHAustria benutzerdefinierter Betrag für SupportService"/>
    <m/>
    <s v="Johner"/>
    <m/>
    <s v="4300043553"/>
    <s v="Austria Calculator"/>
    <s v="Johner"/>
    <s v="Rüdiger Johner"/>
    <x v="12"/>
  </r>
  <r>
    <x v="1757"/>
    <n v="2"/>
    <x v="60"/>
    <x v="22"/>
    <s v="CHAustria benutzerdefinierter Betrag für SupportService"/>
    <m/>
    <s v="Johner"/>
    <m/>
    <s v="4300043553"/>
    <s v="Austria Calculator"/>
    <s v="Johner"/>
    <s v="Rüdiger Johner"/>
    <x v="12"/>
  </r>
  <r>
    <x v="1757"/>
    <n v="4"/>
    <x v="41"/>
    <x v="3"/>
    <s v="CHA Kalkulator Speichern Laden"/>
    <m/>
    <s v="Spiegel"/>
    <m/>
    <s v="zu klären"/>
    <s v="CHA Calculator"/>
    <s v="Marlies Spiegel "/>
    <s v="Marlies Spiegel"/>
    <x v="12"/>
  </r>
  <r>
    <x v="1757"/>
    <n v="2"/>
    <x v="61"/>
    <x v="23"/>
    <s v="L'Oreal Micro LRP Übersicht VL-Gebiete"/>
    <m/>
    <s v="Geiger"/>
    <m/>
    <s v="4300058330"/>
    <s v="Taunus"/>
    <s v="Tanja Geiger"/>
    <s v="Roland Borchard"/>
    <x v="12"/>
  </r>
  <r>
    <x v="1758"/>
    <n v="4"/>
    <x v="61"/>
    <x v="23"/>
    <s v="L'Oreal Micro LRP Besucht Nicht besucht"/>
    <m/>
    <s v="Geiger"/>
    <m/>
    <s v="4300058330"/>
    <s v="Taunus"/>
    <s v="Tanja Geiger"/>
    <s v="Roland Borchard"/>
    <x v="12"/>
  </r>
  <r>
    <x v="1758"/>
    <n v="0"/>
    <x v="61"/>
    <x v="23"/>
    <s v="L'Oreal Micro LRP Bugfix: Veränderungsrate (2 Stunden)"/>
    <m/>
    <s v="Geiger"/>
    <m/>
    <s v="4300058330"/>
    <s v="Taunus"/>
    <s v="Tanja Geiger"/>
    <s v="Roland Borchard"/>
    <x v="12"/>
  </r>
  <r>
    <x v="1759"/>
    <n v="2"/>
    <x v="43"/>
    <x v="5"/>
    <s v="CHAustria Datenexport"/>
    <m/>
    <s v="Johner"/>
    <m/>
    <s v="4300043553"/>
    <s v="Austria Calculator"/>
    <s v="Johner"/>
    <s v="Rüdiger Johner"/>
    <x v="12"/>
  </r>
  <r>
    <x v="1759"/>
    <n v="2"/>
    <x v="60"/>
    <x v="22"/>
    <s v="CHAustria Abschließende Tests + Bereitstellung neue Version"/>
    <m/>
    <s v="Johner"/>
    <m/>
    <s v="4300043553"/>
    <s v="Austria Calculator"/>
    <s v="Johner"/>
    <s v="Rüdiger Johner"/>
    <x v="12"/>
  </r>
  <r>
    <x v="1759"/>
    <n v="2"/>
    <x v="53"/>
    <x v="15"/>
    <s v="CHA Abschließende Tests + Bereitstellung neue Version"/>
    <m/>
    <s v="Spiegel"/>
    <m/>
    <s v="4300043553"/>
    <s v="Austria Calculator"/>
    <s v="Johner"/>
    <s v="Rüdiger Johner"/>
    <x v="12"/>
  </r>
  <r>
    <x v="1737"/>
    <n v="1"/>
    <x v="41"/>
    <x v="3"/>
    <s v="CHA Integration neue OTCs"/>
    <m/>
    <s v="Spiegel"/>
    <m/>
    <s v="zu klären"/>
    <s v="CHA Calculator"/>
    <s v="Marlies Spiegel "/>
    <s v="Marlies Spiegel"/>
    <x v="12"/>
  </r>
  <r>
    <x v="1737"/>
    <n v="5"/>
    <x v="66"/>
    <x v="28"/>
    <s v="Nutricia Erweiterungen normierter Absatz/Abverkaufspreis"/>
    <m/>
    <s v="Schilly"/>
    <m/>
    <s v="4300058330"/>
    <s v="Taunus"/>
    <s v="Tanja Geiger"/>
    <s v="Roland Borchard"/>
    <x v="12"/>
  </r>
  <r>
    <x v="1760"/>
    <n v="2"/>
    <x v="61"/>
    <x v="23"/>
    <s v="L'Oreal Micro Monatsreport Besucht, Nicht besucht Berechnungen"/>
    <m/>
    <s v="Geiger"/>
    <m/>
    <s v="4300058330"/>
    <s v="Taunus"/>
    <s v="Tanja Geiger"/>
    <s v="Roland Borchard"/>
    <x v="12"/>
  </r>
  <r>
    <x v="1760"/>
    <n v="4"/>
    <x v="66"/>
    <x v="28"/>
    <s v="Nutricia Erweiterungen neuer ProdPack Level"/>
    <m/>
    <s v="Schilly"/>
    <m/>
    <s v="4300058330"/>
    <s v="Taunus"/>
    <s v="Tanja Geiger"/>
    <s v="Roland Borchard"/>
    <x v="12"/>
  </r>
  <r>
    <x v="1760"/>
    <n v="2"/>
    <x v="41"/>
    <x v="3"/>
    <s v="CHA neuer Einstellungen Dialog"/>
    <m/>
    <s v="Spiegel"/>
    <m/>
    <s v="zu klären"/>
    <s v="CHA Calculator"/>
    <s v="Marlies Spiegel "/>
    <s v="Marlies Spiegel"/>
    <x v="12"/>
  </r>
  <r>
    <x v="1761"/>
    <n v="4"/>
    <x v="66"/>
    <x v="28"/>
    <s v="Nutricia Erweiterungen neuer ProdPAck Level, abschließende Tests"/>
    <m/>
    <s v="Schilly"/>
    <m/>
    <s v="4300058330"/>
    <s v="Taunus"/>
    <s v="Tanja Geiger"/>
    <s v="Roland Borchard"/>
    <x v="12"/>
  </r>
  <r>
    <x v="1761"/>
    <n v="3"/>
    <x v="61"/>
    <x v="23"/>
    <s v="L'Oreal Micro Fertigstellung + abschließende Tests"/>
    <m/>
    <s v="Geiger"/>
    <m/>
    <s v="4300058330"/>
    <s v="Taunus"/>
    <s v="Tanja Geiger"/>
    <s v="Roland Borchard"/>
    <x v="12"/>
  </r>
  <r>
    <x v="1762"/>
    <n v="4"/>
    <x v="41"/>
    <x v="3"/>
    <s v="CHA Export"/>
    <m/>
    <s v="Spiegel"/>
    <m/>
    <s v="zu klären"/>
    <s v="CHA Calculator"/>
    <s v="Marlies Spiegel "/>
    <s v="Marlies Spiegel"/>
    <x v="12"/>
  </r>
  <r>
    <x v="1762"/>
    <n v="4"/>
    <x v="60"/>
    <x v="22"/>
    <s v="CHAustria Datenexport"/>
    <m/>
    <s v="Johner"/>
    <m/>
    <s v="4300043553"/>
    <s v="Austria Calculator"/>
    <s v="Johner"/>
    <s v="Rüdiger Johner"/>
    <x v="12"/>
  </r>
  <r>
    <x v="1763"/>
    <n v="1"/>
    <x v="43"/>
    <x v="5"/>
    <s v="CHAustria Datenexport"/>
    <m/>
    <s v="Johner"/>
    <m/>
    <s v="4300043553"/>
    <s v="Austria Calculator"/>
    <s v="Johner"/>
    <s v="Rüdiger Johner"/>
    <x v="12"/>
  </r>
  <r>
    <x v="1764"/>
    <n v="4"/>
    <x v="49"/>
    <x v="11"/>
    <s v="CHAustria Datenexport"/>
    <m/>
    <s v="Johner"/>
    <m/>
    <s v="4300043553"/>
    <s v="Austria Calculator"/>
    <s v="Johner"/>
    <s v="Rüdiger Johner"/>
    <x v="12"/>
  </r>
  <r>
    <x v="1764"/>
    <n v="2"/>
    <x v="41"/>
    <x v="3"/>
    <s v="CHA Export"/>
    <m/>
    <s v="Spiegel"/>
    <m/>
    <s v="zu klären"/>
    <s v="CHA Calculator"/>
    <s v="Marlies Spiegel "/>
    <s v="Marlies Spiegel"/>
    <x v="12"/>
  </r>
  <r>
    <x v="1764"/>
    <n v="1"/>
    <x v="40"/>
    <x v="2"/>
    <s v="CubeTest Tool Installationstest"/>
    <m/>
    <s v="Borchard"/>
    <m/>
    <s v="4300058328"/>
    <s v="PP2"/>
    <s v="Sandra Despotovic"/>
    <s v="Roland Borchard"/>
    <x v="12"/>
  </r>
  <r>
    <x v="1765"/>
    <n v="1"/>
    <x v="49"/>
    <x v="11"/>
    <s v="CHAustria Datenexport"/>
    <m/>
    <s v="Johner"/>
    <m/>
    <s v="4300043553"/>
    <s v="Austria Calculator"/>
    <s v="Johner"/>
    <s v="Rüdiger Johner"/>
    <x v="12"/>
  </r>
  <r>
    <x v="1765"/>
    <n v="4"/>
    <x v="65"/>
    <x v="27"/>
    <s v="Stada drei neue Sheets für neue Kennzahlen"/>
    <m/>
    <s v="Spiegel"/>
    <m/>
    <s v="4300058330"/>
    <s v="Taunus"/>
    <s v="Julia Propp"/>
    <s v="Roland Borchard"/>
    <x v="12"/>
  </r>
  <r>
    <x v="1765"/>
    <n v="1"/>
    <x v="40"/>
    <x v="2"/>
    <s v="CubeTest Tool Installationstest"/>
    <m/>
    <s v="Borchard"/>
    <m/>
    <s v="4300058328"/>
    <s v="PP2"/>
    <s v="Sandra Despotovic"/>
    <s v="Roland Borchard"/>
    <x v="12"/>
  </r>
  <r>
    <x v="1766"/>
    <n v="0.5"/>
    <x v="46"/>
    <x v="8"/>
    <s v="bbh Besprechung"/>
    <m/>
    <s v="S.Borchard"/>
    <m/>
    <s v="4300042018"/>
    <s v="Berichtsbesonderheiten"/>
    <s v="Sabine Borchard"/>
    <s v="Sabine Borchard"/>
    <x v="12"/>
  </r>
  <r>
    <x v="1766"/>
    <n v="1"/>
    <x v="46"/>
    <x v="8"/>
    <s v="bbh Installation + Test Package auf ffmssql015"/>
    <m/>
    <s v="S.Borchard"/>
    <m/>
    <s v="4300042018"/>
    <s v="Berichtsbesonderheiten"/>
    <s v="Sabine Borchard"/>
    <s v="Sabine Borchard"/>
    <x v="12"/>
  </r>
  <r>
    <x v="1766"/>
    <n v="1"/>
    <x v="48"/>
    <x v="10"/>
    <s v="Meeting Kalkulatoren: weitere Steps"/>
    <m/>
    <s v="Werner"/>
    <m/>
    <s v="4300064785"/>
    <s v="Cost Calculator Regional"/>
    <s v="Norbert Sdunzig"/>
    <s v="Norbert Sdunzig"/>
    <x v="12"/>
  </r>
  <r>
    <x v="1766"/>
    <n v="1.5"/>
    <x v="40"/>
    <x v="2"/>
    <s v="Meeting: weitere Vorgehensweise + Test CubeTest Tool"/>
    <m/>
    <s v="Borchard"/>
    <m/>
    <s v="4300058328"/>
    <s v="PP2"/>
    <s v="Sandra Despotovic"/>
    <s v="Roland Borchard"/>
    <x v="12"/>
  </r>
  <r>
    <x v="1766"/>
    <n v="0.5"/>
    <x v="67"/>
    <x v="29"/>
    <s v="Meeting: DataView"/>
    <m/>
    <s v="Geiger"/>
    <m/>
    <s v="4300058330"/>
    <s v="Taunus"/>
    <s v="Tanja Geiger"/>
    <s v="Roland Borchard"/>
    <x v="12"/>
  </r>
  <r>
    <x v="1766"/>
    <n v="1"/>
    <x v="40"/>
    <x v="2"/>
    <s v="Meeting PP2: Todos"/>
    <m/>
    <s v="Despotovic"/>
    <m/>
    <s v="4300058328"/>
    <s v="PP2"/>
    <s v="Sandra Despotovic"/>
    <s v="Roland Borchard"/>
    <x v="12"/>
  </r>
  <r>
    <x v="1766"/>
    <n v="1"/>
    <x v="40"/>
    <x v="2"/>
    <s v="Meeting: Todos"/>
    <m/>
    <s v="Borchard"/>
    <m/>
    <s v="4300058328"/>
    <s v="PP2"/>
    <s v="Sandra Despotovic"/>
    <s v="Roland Borchard"/>
    <x v="12"/>
  </r>
  <r>
    <x v="1766"/>
    <n v="2"/>
    <x v="40"/>
    <x v="2"/>
    <s v="Meeting: 201405 Produktionsdaten extrahiert"/>
    <m/>
    <s v="Borchard"/>
    <m/>
    <s v="4300058328"/>
    <s v="PP2"/>
    <s v="Sandra Despotovic"/>
    <s v="Roland Borchard"/>
    <x v="12"/>
  </r>
  <r>
    <x v="1767"/>
    <n v="2"/>
    <x v="63"/>
    <x v="25"/>
    <s v="BiodMedica: neue Produkte + Erstellung Mai Report"/>
    <m/>
    <s v="Geiger"/>
    <m/>
    <s v="4300058330"/>
    <s v="Taunus"/>
    <s v="Tanja Geiger"/>
    <s v="Roland Borchard"/>
    <x v="12"/>
  </r>
  <r>
    <x v="1767"/>
    <n v="3"/>
    <x v="53"/>
    <x v="15"/>
    <s v="CHAustria letzte Tests + Bereitstellung neue Version"/>
    <m/>
    <s v="Johner"/>
    <m/>
    <s v="4300043553"/>
    <s v="Austria Calculator"/>
    <s v="Johner"/>
    <s v="Rüdiger Johner"/>
    <x v="12"/>
  </r>
  <r>
    <x v="1767"/>
    <n v="2"/>
    <x v="67"/>
    <x v="29"/>
    <s v="DataView: erste Analysen, Machbarkeits- und Aufwandsschätzung"/>
    <m/>
    <s v="Geiger"/>
    <m/>
    <s v="4300058330"/>
    <s v="Taunus"/>
    <s v="Tanja Geiger"/>
    <s v="Roland Borchard"/>
    <x v="12"/>
  </r>
  <r>
    <x v="1768"/>
    <n v="4"/>
    <x v="51"/>
    <x v="13"/>
    <s v="NPA+DPMPSN Calculator: Speichern + Laden Funktionalität"/>
    <m/>
    <s v="Pechstein"/>
    <m/>
    <s v="4300064783"/>
    <s v="Cost Calculator National"/>
    <s v="Pechstein"/>
    <s v="Marlen Pechstein"/>
    <x v="12"/>
  </r>
  <r>
    <x v="1768"/>
    <n v="2"/>
    <x v="40"/>
    <x v="2"/>
    <s v="Support PP2: PDNV83HF Januar Produktion "/>
    <m/>
    <s v="Borchard"/>
    <m/>
    <s v="4300058328"/>
    <s v="PP2"/>
    <s v="Sandra Despotovic"/>
    <s v="Roland Borchard"/>
    <x v="12"/>
  </r>
  <r>
    <x v="1768"/>
    <n v="4"/>
    <x v="48"/>
    <x v="10"/>
    <s v="CMCalculator: Speichern + Laden Funktionalität"/>
    <m/>
    <s v="Werner"/>
    <m/>
    <s v="4300064785"/>
    <s v="Cost Calculator Regional"/>
    <s v="Norbert Sdunzig"/>
    <s v="Norbert Sdunzig"/>
    <x v="12"/>
  </r>
  <r>
    <x v="1769"/>
    <n v="3"/>
    <x v="40"/>
    <x v="2"/>
    <s v="Offline Demo Cube"/>
    <m/>
    <s v="Borchard"/>
    <m/>
    <s v="4300058328"/>
    <s v="PP2"/>
    <s v="Sandra Despotovic"/>
    <s v="Roland Borchard"/>
    <x v="12"/>
  </r>
  <r>
    <x v="1769"/>
    <n v="2"/>
    <x v="48"/>
    <x v="10"/>
    <s v="CMCalculator: Speichern + Laden Funktionalität"/>
    <m/>
    <s v="Werner"/>
    <m/>
    <s v="4300064785"/>
    <s v="Cost Calculator Regional"/>
    <s v="Norbert Sdunzig"/>
    <s v="Norbert Sdunzig"/>
    <x v="12"/>
  </r>
  <r>
    <x v="1769"/>
    <n v="2"/>
    <x v="56"/>
    <x v="18"/>
    <s v="CostCalculator: Speichern + Laden Funktionalität"/>
    <m/>
    <s v="Werner"/>
    <m/>
    <s v="4300064783"/>
    <s v="Cost Calculator National"/>
    <s v="Pechstein"/>
    <s v="Marlen Pechstein"/>
    <x v="12"/>
  </r>
  <r>
    <x v="1770"/>
    <n v="2"/>
    <x v="40"/>
    <x v="2"/>
    <s v="Support PP2: GetLogONOFF Fehlermeldung, Fehleranalys Speichernutzung"/>
    <m/>
    <s v="Borchard"/>
    <m/>
    <s v="4300058328"/>
    <s v="PP2"/>
    <s v="Sandra Despotovic"/>
    <s v="Roland Borchard"/>
    <x v="12"/>
  </r>
  <r>
    <x v="1770"/>
    <n v="4"/>
    <x v="40"/>
    <x v="2"/>
    <s v="Offline Demo Cube"/>
    <m/>
    <s v="Borchard"/>
    <m/>
    <s v="4300058328"/>
    <s v="PP2"/>
    <s v="Sandra Despotovic"/>
    <s v="Roland Borchard"/>
    <x v="12"/>
  </r>
  <r>
    <x v="1770"/>
    <n v="2"/>
    <x v="51"/>
    <x v="13"/>
    <s v="Excel Export"/>
    <m/>
    <s v="Pechstein"/>
    <m/>
    <s v="4300064783"/>
    <s v="Cost Calculator National"/>
    <s v="Pechstein"/>
    <s v="Marlen Pechstein"/>
    <x v="12"/>
  </r>
  <r>
    <x v="1771"/>
    <n v="2"/>
    <x v="40"/>
    <x v="2"/>
    <s v="Support PP2: Fehleranalyse Festplatte volsnap logged items"/>
    <m/>
    <s v="Borchard"/>
    <m/>
    <s v="4300058328"/>
    <s v="PP2"/>
    <s v="Sandra Despotovic"/>
    <s v="Roland Borchard"/>
    <x v="12"/>
  </r>
  <r>
    <x v="1771"/>
    <n v="2"/>
    <x v="68"/>
    <x v="30"/>
    <s v="Omron, neuer Report Vorbereitung"/>
    <m/>
    <s v="Geiger"/>
    <m/>
    <s v="4300058330"/>
    <s v="Taunus"/>
    <s v="Tanja Geiger"/>
    <s v="Roland Borchard"/>
    <x v="12"/>
  </r>
  <r>
    <x v="1771"/>
    <n v="3"/>
    <x v="61"/>
    <x v="23"/>
    <s v="L'Oreal Micro Mitarbeiternamen Overview Regions + &quot;-&quot; für Leerfelder"/>
    <m/>
    <s v="Salwa-Emmel"/>
    <m/>
    <s v="4300058330"/>
    <s v="Taunus"/>
    <s v="Tanja Geiger"/>
    <s v="Roland Borchard"/>
    <x v="12"/>
  </r>
  <r>
    <x v="1772"/>
    <n v="1"/>
    <x v="56"/>
    <x v="18"/>
    <s v="Excel Export"/>
    <m/>
    <s v="Pechstein"/>
    <m/>
    <s v="4300064783"/>
    <s v="Cost Calculator National"/>
    <s v="Pechstein"/>
    <s v="Marlen Pechstein"/>
    <x v="12"/>
  </r>
  <r>
    <x v="1772"/>
    <n v="2"/>
    <x v="48"/>
    <x v="10"/>
    <s v="CMCalculator: Speichern + Laden Funktionalität"/>
    <m/>
    <s v="Werner"/>
    <m/>
    <s v="4300064785"/>
    <s v="Cost Calculator Regional"/>
    <s v="Norbert Sdunzig"/>
    <s v="Norbert Sdunzig"/>
    <x v="12"/>
  </r>
  <r>
    <x v="1772"/>
    <n v="2"/>
    <x v="56"/>
    <x v="18"/>
    <s v="CostCalculator: Master Preis Tabellen"/>
    <m/>
    <s v="Werner"/>
    <m/>
    <s v="4300064783"/>
    <s v="Cost Calculator National"/>
    <s v="Pechstein"/>
    <s v="Marlen Pechstein"/>
    <x v="12"/>
  </r>
  <r>
    <x v="1773"/>
    <n v="2"/>
    <x v="68"/>
    <x v="30"/>
    <s v="Reporterstellung"/>
    <m/>
    <s v="Geiger"/>
    <m/>
    <s v="4300058330"/>
    <s v="Taunus"/>
    <s v="Tanja Geiger"/>
    <s v="Roland Borchard"/>
    <x v="12"/>
  </r>
  <r>
    <x v="1773"/>
    <n v="3"/>
    <x v="56"/>
    <x v="18"/>
    <s v="Excel Export"/>
    <m/>
    <s v="Werner"/>
    <m/>
    <s v="4300064783"/>
    <s v="Cost Calculator National"/>
    <s v="Pechstein"/>
    <s v="Marlen Pechstein"/>
    <x v="12"/>
  </r>
  <r>
    <x v="1773"/>
    <n v="1"/>
    <x v="51"/>
    <x v="13"/>
    <s v="Excel Export"/>
    <m/>
    <s v="Pechstein"/>
    <m/>
    <s v="4300064783"/>
    <s v="Cost Calculator National"/>
    <s v="Pechstein"/>
    <s v="Marlen Pechstein"/>
    <x v="12"/>
  </r>
  <r>
    <x v="1773"/>
    <n v="2"/>
    <x v="66"/>
    <x v="28"/>
    <s v="Nutricia Erweiterungen Split"/>
    <m/>
    <s v="Schilly"/>
    <m/>
    <s v="4300058330"/>
    <s v="Taunus"/>
    <s v="Tanja Geiger"/>
    <s v="Roland Borchard"/>
    <x v="12"/>
  </r>
  <r>
    <x v="1773"/>
    <n v="2"/>
    <x v="68"/>
    <x v="30"/>
    <s v="Omron, MDX"/>
    <m/>
    <s v="Geiger"/>
    <m/>
    <s v="4300058330"/>
    <s v="Taunus"/>
    <s v="Tanja Geiger"/>
    <s v="Roland Borchard"/>
    <x v="12"/>
  </r>
  <r>
    <x v="1773"/>
    <n v="1"/>
    <x v="48"/>
    <x v="10"/>
    <s v="Excel Export"/>
    <m/>
    <s v="Werner"/>
    <m/>
    <s v="4300064785"/>
    <s v="Cost Calculator Regional"/>
    <s v="Norbert Sdunzig"/>
    <s v="Norbert Sdunzig"/>
    <x v="12"/>
  </r>
  <r>
    <x v="1774"/>
    <n v="3"/>
    <x v="51"/>
    <x v="13"/>
    <s v="Speichern + Laden"/>
    <m/>
    <s v="Pechstein"/>
    <m/>
    <s v="4300064783"/>
    <s v="Cost Calculator National"/>
    <s v="Pechstein"/>
    <s v="Marlen Pechstein"/>
    <x v="12"/>
  </r>
  <r>
    <x v="1775"/>
    <n v="1"/>
    <x v="48"/>
    <x v="10"/>
    <s v="CMCalculator: Export"/>
    <m/>
    <s v="Werner"/>
    <m/>
    <s v="4300064785"/>
    <s v="Cost Calculator Regional"/>
    <s v="Norbert Sdunzig"/>
    <s v="Norbert Sdunzig"/>
    <x v="12"/>
  </r>
  <r>
    <x v="1775"/>
    <n v="2"/>
    <x v="48"/>
    <x v="10"/>
    <s v="CMCalculator: Speichern + Laden Funktionalität"/>
    <m/>
    <s v="Werner"/>
    <m/>
    <s v="4300064785"/>
    <s v="Cost Calculator Regional"/>
    <s v="Norbert Sdunzig"/>
    <s v="Norbert Sdunzig"/>
    <x v="12"/>
  </r>
  <r>
    <x v="1775"/>
    <n v="3"/>
    <x v="56"/>
    <x v="18"/>
    <s v="CostCalculator: Export"/>
    <m/>
    <s v="Werner"/>
    <m/>
    <s v="4300064783"/>
    <s v="Cost Calculator National"/>
    <s v="Pechstein"/>
    <s v="Marlen Pechstein"/>
    <x v="12"/>
  </r>
  <r>
    <x v="1775"/>
    <n v="2"/>
    <x v="39"/>
    <x v="1"/>
    <s v="Klosterfrau Änderungen Dashboard + Rezept + Selbstmedikation Split"/>
    <m/>
    <s v="Schilly"/>
    <m/>
    <s v="4300058330"/>
    <s v="Taunus"/>
    <s v="Birgit Schilly"/>
    <s v="Roland Borchard"/>
    <x v="12"/>
  </r>
  <r>
    <x v="1776"/>
    <n v="2"/>
    <x v="51"/>
    <x v="13"/>
    <s v="CostCalculator: Export"/>
    <m/>
    <s v="Pechstein"/>
    <m/>
    <s v="4300064783"/>
    <s v="Cost Calculator National"/>
    <s v="Pechstein"/>
    <s v="Marlen Pechstein"/>
    <x v="12"/>
  </r>
  <r>
    <x v="1776"/>
    <n v="1"/>
    <x v="66"/>
    <x v="28"/>
    <s v="Nutricia Korrektur Marktanteil"/>
    <m/>
    <s v="Crone"/>
    <m/>
    <s v="4300058330"/>
    <s v="Taunus"/>
    <s v="Tanja Geiger"/>
    <s v="Roland Borchard"/>
    <x v="12"/>
  </r>
  <r>
    <x v="1776"/>
    <n v="4"/>
    <x v="46"/>
    <x v="8"/>
    <s v="BBH: Fehlerprotokollierung"/>
    <m/>
    <s v="Borchard S."/>
    <m/>
    <s v="4300042018"/>
    <s v="Berichtsbesonderheiten"/>
    <s v="Sabine Borchard"/>
    <s v="Sabine Borchard"/>
    <x v="12"/>
  </r>
  <r>
    <x v="1776"/>
    <n v="1"/>
    <x v="51"/>
    <x v="13"/>
    <s v="Erstellung Master Price Table"/>
    <m/>
    <s v="Pechstein"/>
    <m/>
    <s v="4300064783"/>
    <s v="Cost Calculator National"/>
    <s v="Pechstein"/>
    <s v="Marlen Pechstein"/>
    <x v="12"/>
  </r>
  <r>
    <x v="1777"/>
    <n v="2"/>
    <x v="66"/>
    <x v="28"/>
    <s v="2 reports erstellt SMVO Split"/>
    <m/>
    <s v="Schilly"/>
    <m/>
    <s v="4300058330"/>
    <s v="Taunus"/>
    <s v="Tanja Geiger"/>
    <s v="Roland Borchard"/>
    <x v="12"/>
  </r>
  <r>
    <x v="1777"/>
    <n v="1"/>
    <x v="48"/>
    <x v="10"/>
    <s v="Applikations Optionsdialog eingebunden"/>
    <m/>
    <s v="Sdunzig"/>
    <m/>
    <s v="4300064785"/>
    <s v="Cost Calculator Regional"/>
    <s v="Norbert Sdunzig"/>
    <s v="Norbert Sdunzig"/>
    <x v="12"/>
  </r>
  <r>
    <x v="1777"/>
    <n v="4"/>
    <x v="68"/>
    <x v="30"/>
    <s v="Omron report Fertigstellung"/>
    <m/>
    <s v="Geiger"/>
    <m/>
    <s v="4300058330"/>
    <s v="Taunus"/>
    <s v="Tanja Geiger"/>
    <s v="Roland Borchard"/>
    <x v="12"/>
  </r>
  <r>
    <x v="1777"/>
    <n v="2"/>
    <x v="51"/>
    <x v="13"/>
    <s v="CostCalculator: Master Price Table für NPA Calculator"/>
    <m/>
    <s v="Pechstein"/>
    <m/>
    <s v="4300064783"/>
    <s v="Cost Calculator National"/>
    <s v="Pechstein"/>
    <s v="Marlen Pechstein"/>
    <x v="12"/>
  </r>
  <r>
    <x v="1777"/>
    <n v="3"/>
    <x v="56"/>
    <x v="18"/>
    <s v="Erstellung Master Price Tables"/>
    <m/>
    <s v="Werner"/>
    <m/>
    <s v="4300064783"/>
    <s v="Cost Calculator National"/>
    <s v="Pechstein"/>
    <s v="Marlen Pechstein"/>
    <x v="12"/>
  </r>
  <r>
    <x v="1778"/>
    <n v="1"/>
    <x v="39"/>
    <x v="1"/>
    <s v="Klosterfrau Offizin MA Marktanteile"/>
    <m/>
    <s v="Crone"/>
    <m/>
    <s v="4300058330"/>
    <s v="Taunus"/>
    <s v="Birgit Schilly"/>
    <s v="Roland Borchard"/>
    <x v="12"/>
  </r>
  <r>
    <x v="1778"/>
    <n v="1"/>
    <x v="66"/>
    <x v="28"/>
    <s v="Nutricia Spalte A Fixierung"/>
    <m/>
    <s v="Crone"/>
    <m/>
    <s v="4300058330"/>
    <s v="Taunus"/>
    <s v="Tanja Geiger"/>
    <s v="Roland Borchard"/>
    <x v="12"/>
  </r>
  <r>
    <x v="1778"/>
    <n v="0"/>
    <x v="66"/>
    <x v="28"/>
    <s v="Bugfix: Prop. Ø Absatz Pack Offizin Sheet (1 Stunde)"/>
    <m/>
    <s v="Crone"/>
    <m/>
    <s v="4300058330"/>
    <s v="Taunus"/>
    <s v="Tanja Geiger"/>
    <s v="Roland Borchard"/>
    <x v="12"/>
  </r>
  <r>
    <x v="1778"/>
    <n v="1.5"/>
    <x v="66"/>
    <x v="28"/>
    <s v="YTD 01 + 02 Anpassung"/>
    <m/>
    <s v="Crone"/>
    <m/>
    <s v="4300058330"/>
    <s v="Taunus"/>
    <s v="Tanja Geiger"/>
    <s v="Roland Borchard"/>
    <x v="12"/>
  </r>
  <r>
    <x v="1778"/>
    <n v="5"/>
    <x v="41"/>
    <x v="3"/>
    <s v="CHA Export"/>
    <m/>
    <s v="Spiegel"/>
    <m/>
    <s v="zu klären"/>
    <s v="CHA Calculator"/>
    <s v="Marlies Spiegel "/>
    <s v="Marlies Spiegel"/>
    <x v="12"/>
  </r>
  <r>
    <x v="1779"/>
    <n v="4"/>
    <x v="66"/>
    <x v="28"/>
    <s v="Nutricia zwei neue Reports SM/VO Split"/>
    <m/>
    <s v="Crone"/>
    <m/>
    <s v="4300058330"/>
    <s v="Taunus"/>
    <s v="Tanja Geiger"/>
    <s v="Roland Borchard"/>
    <x v="12"/>
  </r>
  <r>
    <x v="1779"/>
    <n v="1"/>
    <x v="66"/>
    <x v="28"/>
    <s v="Nutricia Dashboard"/>
    <m/>
    <s v="Crone"/>
    <m/>
    <s v="4300058330"/>
    <s v="Taunus"/>
    <s v="Tanja Geiger"/>
    <s v="Roland Borchard"/>
    <x v="12"/>
  </r>
  <r>
    <x v="1779"/>
    <n v="1"/>
    <x v="66"/>
    <x v="28"/>
    <s v="Nutricia Erstellung"/>
    <m/>
    <s v="Crone"/>
    <m/>
    <s v="4300058330"/>
    <s v="Taunus"/>
    <s v="Tanja Geiger"/>
    <s v="Roland Borchard"/>
    <x v="12"/>
  </r>
  <r>
    <x v="1780"/>
    <n v="3"/>
    <x v="41"/>
    <x v="3"/>
    <s v="Excel Export"/>
    <m/>
    <s v="Spiegel"/>
    <m/>
    <s v="zu klären"/>
    <s v="CHA Calculator"/>
    <s v="Marlies Spiegel "/>
    <s v="Marlies Spiegel"/>
    <x v="12"/>
  </r>
  <r>
    <x v="1781"/>
    <n v="3"/>
    <x v="67"/>
    <x v="29"/>
    <s v="Klosterfrau Matching Export"/>
    <m/>
    <s v="Crone"/>
    <m/>
    <s v="4300058330"/>
    <s v="Taunus"/>
    <s v="Tanja Geiger"/>
    <s v="Roland Borchard"/>
    <x v="12"/>
  </r>
  <r>
    <x v="1781"/>
    <n v="2"/>
    <x v="66"/>
    <x v="28"/>
    <s v="Nutricia Integration Dashboard und letzte Tests"/>
    <m/>
    <s v="Crone"/>
    <m/>
    <s v="4300058330"/>
    <s v="Taunus"/>
    <s v="Tanja Geiger"/>
    <s v="Roland Borchard"/>
    <x v="12"/>
  </r>
  <r>
    <x v="1782"/>
    <n v="1"/>
    <x v="40"/>
    <x v="2"/>
    <s v="Web Meeting: Cube Comparison Tool"/>
    <m/>
    <s v="Borchard"/>
    <m/>
    <s v="4300058328"/>
    <s v="PP2"/>
    <s v="Sandra Despotovic"/>
    <s v="Roland Borchard"/>
    <x v="12"/>
  </r>
  <r>
    <x v="1782"/>
    <n v="1"/>
    <x v="67"/>
    <x v="29"/>
    <s v="Klosterfrau Matching Export Anpassungen"/>
    <m/>
    <s v="Crone"/>
    <m/>
    <s v="4300058330"/>
    <s v="Taunus"/>
    <s v="Tanja Geiger"/>
    <s v="Roland Borchard"/>
    <x v="12"/>
  </r>
  <r>
    <x v="1782"/>
    <n v="3"/>
    <x v="66"/>
    <x v="28"/>
    <s v="Nutricia Zeilenfixierung auf allen Sheets, Neue Marktbasis + Neuerstellung"/>
    <m/>
    <s v="Crone"/>
    <m/>
    <s v="4300058330"/>
    <s v="Taunus"/>
    <s v="Tanja Geiger"/>
    <s v="Roland Borchard"/>
    <x v="12"/>
  </r>
  <r>
    <x v="1782"/>
    <n v="2"/>
    <x v="41"/>
    <x v="3"/>
    <s v="CHA Calculator abschließende Tests + Bereitstellung neue Version"/>
    <m/>
    <s v="Spiegel"/>
    <m/>
    <s v="zu klären"/>
    <s v="CHA Calculator"/>
    <s v="Marlies Spiegel "/>
    <s v="Marlies Spiegel"/>
    <x v="12"/>
  </r>
  <r>
    <x v="1782"/>
    <n v="3"/>
    <x v="48"/>
    <x v="10"/>
    <s v="CMCalculator: abschließede Tests + Bereitstellung"/>
    <m/>
    <s v="Sdunzig"/>
    <m/>
    <s v="4300064785"/>
    <s v="Cost Calculator Regional"/>
    <s v="Norbert Sdunzig"/>
    <s v="Norbert Sdunzig"/>
    <x v="12"/>
  </r>
  <r>
    <x v="1783"/>
    <n v="7"/>
    <x v="39"/>
    <x v="1"/>
    <s v="Klosterfrau Erweiterungen"/>
    <m/>
    <s v="Schilly/Crone"/>
    <m/>
    <s v="4300058330"/>
    <s v="Taunus"/>
    <s v="Birgit Schilly"/>
    <s v="Roland Borchard"/>
    <x v="12"/>
  </r>
  <r>
    <x v="1783"/>
    <n v="0.5"/>
    <x v="48"/>
    <x v="10"/>
    <s v="CMCalculator: Installationsanleitung für IT Support"/>
    <m/>
    <s v="Werner"/>
    <m/>
    <s v="4300064785"/>
    <s v="Cost Calculator Regional"/>
    <s v="Norbert Sdunzig"/>
    <s v="Norbert Sdunzig"/>
    <x v="12"/>
  </r>
  <r>
    <x v="1783"/>
    <n v="2"/>
    <x v="48"/>
    <x v="10"/>
    <s v="CMCalculator: Erweiterung Landscape"/>
    <m/>
    <s v="Sdunzig"/>
    <m/>
    <s v="4300064785"/>
    <s v="Cost Calculator Regional"/>
    <s v="Norbert Sdunzig"/>
    <s v="Norbert Sdunzig"/>
    <x v="12"/>
  </r>
  <r>
    <x v="1784"/>
    <n v="4"/>
    <x v="39"/>
    <x v="1"/>
    <s v="Klosterfrau Erweiterungen"/>
    <m/>
    <s v="Schilly/Crone"/>
    <m/>
    <s v="4300058330"/>
    <s v="Taunus"/>
    <s v="Birgit Schilly"/>
    <s v="Roland Borchard"/>
    <x v="12"/>
  </r>
  <r>
    <x v="1784"/>
    <n v="4"/>
    <x v="68"/>
    <x v="30"/>
    <s v="Omron automatisches Page Layout"/>
    <m/>
    <s v="Geiger"/>
    <m/>
    <s v="4300058330"/>
    <s v="Taunus"/>
    <s v="Tanja Geiger"/>
    <s v="Roland Borchard"/>
    <x v="12"/>
  </r>
  <r>
    <x v="1784"/>
    <n v="1"/>
    <x v="48"/>
    <x v="10"/>
    <s v="Master Price Tables erstellen"/>
    <m/>
    <s v="Werner"/>
    <m/>
    <s v="4300064785"/>
    <s v="Cost Calculator Regional"/>
    <s v="Norbert Sdunzig"/>
    <s v="Norbert Sdunzig"/>
    <x v="12"/>
  </r>
  <r>
    <x v="1784"/>
    <n v="2"/>
    <x v="48"/>
    <x v="10"/>
    <s v="Neuer Regionalisierungsgrad eingefügt"/>
    <m/>
    <s v="Sdunzig"/>
    <m/>
    <s v="4300064785"/>
    <s v="Cost Calculator Regional"/>
    <s v="Norbert Sdunzig"/>
    <s v="Norbert Sdunzig"/>
    <x v="12"/>
  </r>
  <r>
    <x v="1785"/>
    <n v="4"/>
    <x v="39"/>
    <x v="1"/>
    <s v="Klosterfrau Erweiterungen, abschließende Tests"/>
    <m/>
    <s v="Schilly/Crone"/>
    <m/>
    <s v="4300058330"/>
    <s v="Taunus"/>
    <s v="Birgit Schilly"/>
    <s v="Roland Borchard"/>
    <x v="12"/>
  </r>
  <r>
    <x v="1785"/>
    <n v="3"/>
    <x v="48"/>
    <x v="10"/>
    <s v="CMCalculator: Erweiterung Landscape, Aut Idem"/>
    <m/>
    <s v="Sdunzig"/>
    <m/>
    <s v="4300064785"/>
    <s v="Cost Calculator Regional"/>
    <s v="Norbert Sdunzig"/>
    <s v="Norbert Sdunzig"/>
    <x v="12"/>
  </r>
  <r>
    <x v="1786"/>
    <n v="2"/>
    <x v="40"/>
    <x v="2"/>
    <s v="Month Filter OutputChecks auf Mehrfachauswahl geändert"/>
    <m/>
    <s v="Borchard"/>
    <m/>
    <s v="4300058328"/>
    <s v="PP2"/>
    <s v="Sandra Despotovic"/>
    <s v="Roland Borchard"/>
    <x v="12"/>
  </r>
  <r>
    <x v="1787"/>
    <n v="1"/>
    <x v="48"/>
    <x v="10"/>
    <s v="CMCalculator: Erweiterung Speicher/Laden"/>
    <m/>
    <s v="Sdunzig"/>
    <m/>
    <s v="4300064785"/>
    <s v="Cost Calculator Regional"/>
    <s v="Norbert Sdunzig"/>
    <s v="Norbert Sdunzig"/>
    <x v="12"/>
  </r>
  <r>
    <x v="1788"/>
    <n v="1"/>
    <x v="48"/>
    <x v="10"/>
    <s v="CMCalculator: Integration in CostCalculator"/>
    <m/>
    <s v="Sdunzig"/>
    <m/>
    <s v="4300064785"/>
    <s v="Cost Calculator Regional"/>
    <s v="Norbert Sdunzig"/>
    <s v="Norbert Sdunzig"/>
    <x v="12"/>
  </r>
  <r>
    <x v="1788"/>
    <n v="1"/>
    <x v="56"/>
    <x v="18"/>
    <s v="CMCalculator: Integration in CostCalculator"/>
    <m/>
    <s v="Sdunzig"/>
    <m/>
    <s v="4300064783"/>
    <s v="Cost Calculator National"/>
    <s v="Pechstein"/>
    <s v="Marlen Pechstein"/>
    <x v="12"/>
  </r>
  <r>
    <x v="1788"/>
    <n v="1"/>
    <x v="51"/>
    <x v="13"/>
    <s v="CMCalculator: Integration in CostCalculator"/>
    <m/>
    <s v="Pechstein"/>
    <m/>
    <s v="4300064783"/>
    <s v="Cost Calculator National"/>
    <s v="Pechstein"/>
    <s v="Marlen Pechstein"/>
    <x v="12"/>
  </r>
  <r>
    <x v="1788"/>
    <n v="3"/>
    <x v="48"/>
    <x v="10"/>
    <s v="CMCalculator: Erweiterung Speicher/Laden/Export AutIdem + Landscape"/>
    <m/>
    <s v="Sdunzig"/>
    <m/>
    <s v="4300064785"/>
    <s v="Cost Calculator Regional"/>
    <s v="Norbert Sdunzig"/>
    <s v="Norbert Sdunzig"/>
    <x v="12"/>
  </r>
  <r>
    <x v="1788"/>
    <n v="1"/>
    <x v="48"/>
    <x v="10"/>
    <s v="CMCalculator: Tests + Bereitstellung"/>
    <m/>
    <s v="Sdunzig"/>
    <m/>
    <s v="4300064785"/>
    <s v="Cost Calculator Regional"/>
    <s v="Norbert Sdunzig"/>
    <s v="Norbert Sdunzig"/>
    <x v="12"/>
  </r>
  <r>
    <x v="1788"/>
    <n v="1.5"/>
    <x v="42"/>
    <x v="4"/>
    <s v="Erstellung Anleitung Powerspreadsheet Basis + Fortgeschritten"/>
    <m/>
    <s v="Geiger"/>
    <m/>
    <s v="4300058330"/>
    <s v="Taunus"/>
    <s v="Tanja Geiger"/>
    <s v="Roland Borchard"/>
    <x v="12"/>
  </r>
  <r>
    <x v="1788"/>
    <n v="0.5"/>
    <x v="68"/>
    <x v="30"/>
    <s v="Omron automatisches Page Layout"/>
    <m/>
    <s v="Geiger"/>
    <m/>
    <s v="4300058330"/>
    <s v="Taunus"/>
    <s v="Tanja Geiger"/>
    <s v="Roland Borchard"/>
    <x v="12"/>
  </r>
  <r>
    <x v="1788"/>
    <n v="2"/>
    <x v="40"/>
    <x v="2"/>
    <s v="Offline Demo Cube Datenaktualisierung Prototype"/>
    <m/>
    <s v="Borchard"/>
    <m/>
    <s v="4300058328"/>
    <s v="PP2"/>
    <s v="Sandra Despotovic"/>
    <s v="Roland Borchard"/>
    <x v="12"/>
  </r>
  <r>
    <x v="1789"/>
    <n v="0"/>
    <x v="42"/>
    <x v="4"/>
    <s v="Code Refakturierung 3 Stunden (ohne Berechnung)"/>
    <m/>
    <s v="Borchard"/>
    <m/>
    <s v="4300058330"/>
    <s v="Taunus"/>
    <s v="Tanja Geiger"/>
    <s v="Roland Borchard"/>
    <x v="12"/>
  </r>
  <r>
    <x v="1789"/>
    <n v="3"/>
    <x v="69"/>
    <x v="31"/>
    <s v="PHSCalculator: Datenmodell, MPT"/>
    <m/>
    <s v="Sdunzig"/>
    <m/>
    <s v="4300064785"/>
    <s v="Cost Calculator Regional"/>
    <s v="Claudia Herrmann"/>
    <s v="Claudia Herrmann"/>
    <x v="12"/>
  </r>
  <r>
    <x v="1789"/>
    <n v="5"/>
    <x v="40"/>
    <x v="2"/>
    <s v="Offline Cube Prototype: NewPfizerOfflineCubeDemoWithFlatFileInput"/>
    <m/>
    <s v="Borchard"/>
    <m/>
    <s v="4300058328"/>
    <s v="PP2"/>
    <s v="Sandra Despotovic"/>
    <s v="Roland Borchard"/>
    <x v="12"/>
  </r>
  <r>
    <x v="1790"/>
    <n v="0"/>
    <x v="42"/>
    <x v="4"/>
    <s v="Code Refakturierung 3 Stunden (ohne Berechnung)"/>
    <m/>
    <s v="Borchard"/>
    <m/>
    <s v="4300058330"/>
    <s v="Taunus"/>
    <s v="Tanja Geiger"/>
    <s v="Roland Borchard"/>
    <x v="12"/>
  </r>
  <r>
    <x v="1790"/>
    <n v="2"/>
    <x v="40"/>
    <x v="2"/>
    <s v="Offline Cube Prototype: NewPfizerOfflineCubeDemoWithFlatFileInput"/>
    <m/>
    <s v="Borchard"/>
    <m/>
    <s v="4300058328"/>
    <s v="PP2"/>
    <s v="Sandra Despotovic"/>
    <s v="Roland Borchard"/>
    <x v="12"/>
  </r>
  <r>
    <x v="1790"/>
    <n v="1"/>
    <x v="40"/>
    <x v="2"/>
    <s v="Offline Cube Prototype: Böhringer Prototype"/>
    <m/>
    <s v="Borchard"/>
    <m/>
    <s v="4300058328"/>
    <s v="PP2"/>
    <s v="Sandra Despotovic"/>
    <s v="Roland Borchard"/>
    <x v="12"/>
  </r>
  <r>
    <x v="1790"/>
    <n v="1"/>
    <x v="68"/>
    <x v="30"/>
    <s v="Anpassung Omron Parameter Hersteller + Update"/>
    <m/>
    <s v="Geiger"/>
    <m/>
    <s v="4300058330"/>
    <s v="Taunus"/>
    <s v="Tanja Geiger"/>
    <s v="Roland Borchard"/>
    <x v="12"/>
  </r>
  <r>
    <x v="1790"/>
    <n v="2"/>
    <x v="62"/>
    <x v="24"/>
    <s v="Erstellung L'Oreal Dermacosmetics + Anpassungen"/>
    <m/>
    <s v="Salwa-Emmel"/>
    <m/>
    <s v="4300058330"/>
    <s v="Taunus"/>
    <s v="Tanja Geiger"/>
    <s v="Roland Borchard"/>
    <x v="12"/>
  </r>
  <r>
    <x v="1790"/>
    <n v="2"/>
    <x v="61"/>
    <x v="23"/>
    <s v="Erstellung L'Oreal Micro"/>
    <m/>
    <s v="Salwa-Emmel"/>
    <m/>
    <s v="4300058330"/>
    <s v="Taunus"/>
    <s v="Tanja Geiger"/>
    <s v="Roland Borchard"/>
    <x v="12"/>
  </r>
  <r>
    <x v="1791"/>
    <n v="3"/>
    <x v="61"/>
    <x v="23"/>
    <s v="L'Oreal: Probleme mit Juni Datenbank, Performanceanalyse"/>
    <m/>
    <s v="Salwa-Emmel"/>
    <m/>
    <s v="4300058330"/>
    <s v="Taunus"/>
    <s v="Tanja Geiger"/>
    <s v="Roland Borchard"/>
    <x v="12"/>
  </r>
  <r>
    <x v="1791"/>
    <n v="1"/>
    <x v="68"/>
    <x v="30"/>
    <s v="Omron ProdPack"/>
    <m/>
    <s v="Geiger"/>
    <m/>
    <s v="4300058330"/>
    <s v="Taunus"/>
    <s v="Tanja Geiger"/>
    <s v="Roland Borchard"/>
    <x v="12"/>
  </r>
  <r>
    <x v="1791"/>
    <n v="1"/>
    <x v="69"/>
    <x v="31"/>
    <s v="Datenbankerstellung"/>
    <m/>
    <s v="Sdunzig"/>
    <m/>
    <s v="4300064785"/>
    <s v="Cost Calculator Regional"/>
    <s v="Claudia Herrmann"/>
    <s v="Claudia Herrmann"/>
    <x v="12"/>
  </r>
  <r>
    <x v="1791"/>
    <n v="2"/>
    <x v="69"/>
    <x v="31"/>
    <s v="PHSCalculator: Infrastruktur, View"/>
    <m/>
    <s v="Sdunzig"/>
    <m/>
    <s v="4300064785"/>
    <s v="Cost Calculator Regional"/>
    <s v="Claudia Herrmann"/>
    <s v="Claudia Herrmann"/>
    <x v="12"/>
  </r>
  <r>
    <x v="1791"/>
    <n v="3"/>
    <x v="40"/>
    <x v="2"/>
    <s v="Offline Demo Cube Datenaktualisierung Prototype"/>
    <m/>
    <s v="Borchard"/>
    <m/>
    <s v="4300058328"/>
    <s v="PP2"/>
    <s v="Sandra Despotovic"/>
    <s v="Roland Borchard"/>
    <x v="12"/>
  </r>
  <r>
    <x v="1791"/>
    <n v="1.5"/>
    <x v="40"/>
    <x v="2"/>
    <s v="Grenzwert Cubeerstellung hinzugefügt"/>
    <m/>
    <s v="Borchard"/>
    <m/>
    <s v="4300058328"/>
    <s v="PP2"/>
    <s v="Sandra Despotovic"/>
    <s v="Roland Borchard"/>
    <x v="12"/>
  </r>
  <r>
    <x v="1791"/>
    <n v="4"/>
    <x v="40"/>
    <x v="2"/>
    <s v="Code zur Cubeerstellungslogik vereinfacht"/>
    <m/>
    <s v="Borchard"/>
    <m/>
    <s v="4300058328"/>
    <s v="PP2"/>
    <s v="Sandra Despotovic"/>
    <s v="Roland Borchard"/>
    <x v="12"/>
  </r>
  <r>
    <x v="1791"/>
    <n v="4"/>
    <x v="69"/>
    <x v="31"/>
    <s v="Benutzeroberfläche"/>
    <m/>
    <s v="Sdunzig"/>
    <m/>
    <s v="4300064785"/>
    <s v="Cost Calculator Regional"/>
    <s v="Claudia Herrmann"/>
    <s v="Claudia Herrmann"/>
    <x v="12"/>
  </r>
  <r>
    <x v="1792"/>
    <n v="2"/>
    <x v="68"/>
    <x v="30"/>
    <s v="zweiter Report mit ProdPack Erweiterung"/>
    <m/>
    <s v="Geiger"/>
    <m/>
    <s v="4300058330"/>
    <s v="Taunus"/>
    <s v="Tanja Geiger"/>
    <s v="Roland Borchard"/>
    <x v="12"/>
  </r>
  <r>
    <x v="1792"/>
    <n v="4"/>
    <x v="65"/>
    <x v="27"/>
    <s v="Stada Powerspreadsheet Support Serverseitige Produktionsprobleme"/>
    <m/>
    <s v="Propp"/>
    <m/>
    <s v="4300058330"/>
    <s v="Taunus"/>
    <s v="Julia Propp"/>
    <s v="Roland Borchard"/>
    <x v="12"/>
  </r>
  <r>
    <x v="1792"/>
    <n v="4"/>
    <x v="40"/>
    <x v="2"/>
    <s v="Offline Demo Cube Böhringer"/>
    <m/>
    <s v="Borchard"/>
    <m/>
    <s v="4300058328"/>
    <s v="PP2"/>
    <s v="Sandra Despotovic"/>
    <s v="Roland Borchard"/>
    <x v="12"/>
  </r>
  <r>
    <x v="1792"/>
    <n v="1"/>
    <x v="69"/>
    <x v="31"/>
    <s v="PHSCalculator: Aufbau User Interface"/>
    <m/>
    <s v="Sdunzig"/>
    <m/>
    <s v="4300064785"/>
    <s v="Cost Calculator Regional"/>
    <s v="Claudia Herrmann"/>
    <s v="Claudia Herrmann"/>
    <x v="12"/>
  </r>
  <r>
    <x v="1793"/>
    <n v="3"/>
    <x v="40"/>
    <x v="2"/>
    <s v="Offline Demo Cube Böhringer"/>
    <m/>
    <s v="Borchard"/>
    <m/>
    <s v="4300058328"/>
    <s v="PP2"/>
    <s v="Sandra Despotovic"/>
    <s v="Roland Borchard"/>
    <x v="12"/>
  </r>
  <r>
    <x v="1791"/>
    <n v="2"/>
    <x v="69"/>
    <x v="31"/>
    <s v="Benutzeroberfläche (Titelleiste zum Speichern/Laden + Export)"/>
    <m/>
    <s v="Sdunzig"/>
    <m/>
    <s v="4300064785"/>
    <s v="Cost Calculator Regional"/>
    <s v="Claudia Herrmann"/>
    <s v="Claudia Herrmann"/>
    <x v="12"/>
  </r>
  <r>
    <x v="1794"/>
    <n v="5"/>
    <x v="65"/>
    <x v="27"/>
    <s v="Stada Powerspreadsheet Support Fehlersuche + Berichtserstellung 24 Mappen"/>
    <m/>
    <s v="Propp"/>
    <m/>
    <s v="4300058330"/>
    <s v="Taunus"/>
    <s v="Julia Propp"/>
    <s v="Roland Borchard"/>
    <x v="12"/>
  </r>
  <r>
    <x v="1795"/>
    <n v="3"/>
    <x v="40"/>
    <x v="2"/>
    <s v="Offline Demo Cube Böhringer Distribution"/>
    <m/>
    <s v="Borchard"/>
    <m/>
    <s v="4300058328"/>
    <s v="PP2"/>
    <s v="Sandra Despotovic"/>
    <s v="Roland Borchard"/>
    <x v="12"/>
  </r>
  <r>
    <x v="1795"/>
    <n v="1"/>
    <x v="40"/>
    <x v="2"/>
    <s v="PP2: 6 -&gt; 9a ohne Prodesis auch für Aktueller Monat"/>
    <m/>
    <s v="Despotovic"/>
    <m/>
    <s v="4300058328"/>
    <s v="PP2"/>
    <s v="Sandra Despotovic"/>
    <s v="Roland Borchard"/>
    <x v="12"/>
  </r>
  <r>
    <x v="1795"/>
    <n v="1"/>
    <x v="65"/>
    <x v="27"/>
    <s v="Stada Powerspreadsheet Berichtserstellung Dashboardintegration"/>
    <m/>
    <s v="Propp"/>
    <m/>
    <s v="4300058330"/>
    <s v="Taunus"/>
    <s v="Julia Propp"/>
    <s v="Roland Borchard"/>
    <x v="12"/>
  </r>
  <r>
    <x v="1795"/>
    <n v="1"/>
    <x v="69"/>
    <x v="31"/>
    <s v="PHSCalculator: Aufbau User Interface"/>
    <m/>
    <s v="Sdunzig"/>
    <m/>
    <s v="4300064785"/>
    <s v="Cost Calculator Regional"/>
    <s v="Claudia Herrmann"/>
    <s v="Claudia Herrmann"/>
    <x v="12"/>
  </r>
  <r>
    <x v="1796"/>
    <n v="5"/>
    <x v="40"/>
    <x v="2"/>
    <s v="Offline Demo Cube Böhringer Distribution"/>
    <m/>
    <s v="Borchard"/>
    <m/>
    <s v="4300058328"/>
    <s v="PP2"/>
    <s v="Sandra Despotovic"/>
    <s v="Roland Borchard"/>
    <x v="12"/>
  </r>
  <r>
    <x v="1796"/>
    <n v="2"/>
    <x v="65"/>
    <x v="27"/>
    <s v="Stada Powerspreadsheet Dashboard Integration 24 Mappen"/>
    <m/>
    <s v="Propp"/>
    <m/>
    <s v="4300058330"/>
    <s v="Taunus"/>
    <s v="Julia Propp"/>
    <s v="Roland Borchard"/>
    <x v="12"/>
  </r>
  <r>
    <x v="1797"/>
    <n v="2"/>
    <x v="40"/>
    <x v="2"/>
    <s v="Besprechung in Frankfurt (cognovo meets IMS)"/>
    <m/>
    <s v="Geiger"/>
    <m/>
    <s v="4300058328"/>
    <s v="PP2"/>
    <s v="Sandra Despotovic"/>
    <s v="Roland Borchard"/>
    <x v="12"/>
  </r>
  <r>
    <x v="1797"/>
    <n v="2"/>
    <x v="40"/>
    <x v="2"/>
    <s v="Besprechung projektübergreifend"/>
    <m/>
    <s v="Borchard"/>
    <m/>
    <s v="4300058328"/>
    <s v="PP2"/>
    <s v="Sandra Despotovic"/>
    <s v="Roland Borchard"/>
    <x v="12"/>
  </r>
  <r>
    <x v="1797"/>
    <n v="1"/>
    <x v="70"/>
    <x v="32"/>
    <s v="Besprechung Klosterfrau ScanTrack"/>
    <m/>
    <s v="Schilly"/>
    <m/>
    <s v="4300058330"/>
    <s v="Taunus"/>
    <s v="Birgit Schilly"/>
    <s v="Roland Borchard"/>
    <x v="12"/>
  </r>
  <r>
    <x v="1797"/>
    <n v="2"/>
    <x v="67"/>
    <x v="29"/>
    <s v="Besprechung Klosterfrau KLV Match"/>
    <m/>
    <s v="Crone"/>
    <m/>
    <s v="4300058330"/>
    <s v="Taunus"/>
    <s v="Tanja Geiger"/>
    <s v="Roland Borchard"/>
    <x v="12"/>
  </r>
  <r>
    <x v="1798"/>
    <n v="6"/>
    <x v="70"/>
    <x v="32"/>
    <s v="Klosterfrau ScanTrack"/>
    <m/>
    <s v="Schilly"/>
    <m/>
    <s v="4300058330"/>
    <s v="Taunus"/>
    <s v="Birgit Schilly"/>
    <s v="Roland Borchard"/>
    <x v="12"/>
  </r>
  <r>
    <x v="1798"/>
    <n v="1"/>
    <x v="71"/>
    <x v="33"/>
    <s v="Besprechung L'Oreal Reporting"/>
    <m/>
    <s v="Salwa-Emmel"/>
    <m/>
    <s v="4300058330"/>
    <s v="Taunus"/>
    <s v="Salwa-Emmel"/>
    <s v="Roland Borchard"/>
    <x v="12"/>
  </r>
  <r>
    <x v="1798"/>
    <n v="0.5"/>
    <x v="65"/>
    <x v="27"/>
    <s v="Besprechung Stada"/>
    <m/>
    <s v="Propp"/>
    <m/>
    <s v="4300058330"/>
    <s v="Taunus"/>
    <s v="Julia Propp"/>
    <s v="Roland Borchard"/>
    <x v="12"/>
  </r>
  <r>
    <x v="1798"/>
    <n v="0.5"/>
    <x v="46"/>
    <x v="8"/>
    <s v="Besprechung BBH"/>
    <m/>
    <s v="S.Borchard"/>
    <m/>
    <s v="4300042018"/>
    <s v="Berichtsbesonderheiten"/>
    <s v="Sabine Borchard"/>
    <s v="Sabine Borchard"/>
    <x v="12"/>
  </r>
  <r>
    <x v="1798"/>
    <n v="1"/>
    <x v="40"/>
    <x v="2"/>
    <s v="Besprechung PP2"/>
    <m/>
    <s v="Despotovic"/>
    <m/>
    <s v="4300058328"/>
    <s v="PP2"/>
    <s v="Sandra Despotovic"/>
    <s v="Roland Borchard"/>
    <x v="12"/>
  </r>
  <r>
    <x v="1799"/>
    <n v="10"/>
    <x v="70"/>
    <x v="32"/>
    <s v="Berichtserstellung"/>
    <m/>
    <s v="Schilly"/>
    <m/>
    <s v="4300058330"/>
    <s v="Taunus"/>
    <s v="Birgit Schilly"/>
    <s v="Roland Borchard"/>
    <x v="12"/>
  </r>
  <r>
    <x v="1800"/>
    <n v="6"/>
    <x v="70"/>
    <x v="32"/>
    <s v="Berichtserstellung"/>
    <m/>
    <s v="Schilly"/>
    <m/>
    <s v="4300058330"/>
    <s v="Taunus"/>
    <s v="Birgit Schilly"/>
    <s v="Roland Borchard"/>
    <x v="12"/>
  </r>
  <r>
    <x v="1800"/>
    <n v="2"/>
    <x v="68"/>
    <x v="30"/>
    <s v="ProdPack report"/>
    <m/>
    <s v="Propp"/>
    <m/>
    <s v="4300058330"/>
    <s v="Taunus"/>
    <s v="Tanja Geiger"/>
    <s v="Roland Borchard"/>
    <x v="12"/>
  </r>
  <r>
    <x v="1798"/>
    <n v="3"/>
    <x v="40"/>
    <x v="2"/>
    <s v="Cubeerstellung &gt; 100MB"/>
    <m/>
    <s v="Despotovic"/>
    <m/>
    <s v="4300058328"/>
    <s v="PP2"/>
    <s v="Sandra Despotovic"/>
    <s v="Roland Borchard"/>
    <x v="12"/>
  </r>
  <r>
    <x v="1799"/>
    <n v="1"/>
    <x v="70"/>
    <x v="32"/>
    <s v="Format, RowHeader ColumnHeader"/>
    <m/>
    <s v="Schilly"/>
    <m/>
    <s v="4300058330"/>
    <s v="Taunus"/>
    <s v="Birgit Schilly"/>
    <s v="Roland Borchard"/>
    <x v="12"/>
  </r>
  <r>
    <x v="1801"/>
    <n v="1"/>
    <x v="48"/>
    <x v="10"/>
    <s v="Bereitstellung neue Version"/>
    <m/>
    <s v="Sdunzig"/>
    <m/>
    <s v="4300064785"/>
    <s v="Cost Calculator Regional"/>
    <s v="Norbert Sdunzig"/>
    <s v="Norbert Sdunzig"/>
    <x v="12"/>
  </r>
  <r>
    <x v="1801"/>
    <n v="4"/>
    <x v="70"/>
    <x v="32"/>
    <s v="verschiede Anpassungen 13 Monate, Dateibezeichner,…"/>
    <m/>
    <s v="Schilly"/>
    <m/>
    <s v="4300058330"/>
    <s v="Taunus"/>
    <s v="Birgit Schilly"/>
    <s v="Roland Borchard"/>
    <x v="12"/>
  </r>
  <r>
    <x v="1801"/>
    <n v="1"/>
    <x v="68"/>
    <x v="30"/>
    <s v="Kennzeichnung Hersteller Micro und Micro ProdPack"/>
    <m/>
    <s v="Propp"/>
    <m/>
    <s v="4300058330"/>
    <s v="Taunus"/>
    <s v="Tanja Geiger"/>
    <s v="Roland Borchard"/>
    <x v="12"/>
  </r>
  <r>
    <x v="1802"/>
    <n v="3"/>
    <x v="65"/>
    <x v="27"/>
    <s v="Änderungen: auswählbare Brands"/>
    <m/>
    <s v="Propp"/>
    <s v="Erweiterung"/>
    <s v="4300058330"/>
    <s v="Taunus"/>
    <s v="Julia Propp"/>
    <s v="Roland Borchard"/>
    <x v="12"/>
  </r>
  <r>
    <x v="1802"/>
    <n v="0.5"/>
    <x v="51"/>
    <x v="13"/>
    <s v="Besprechung TM"/>
    <m/>
    <s v="Pechstein"/>
    <m/>
    <s v="4300064783"/>
    <s v="Cost Calculator National"/>
    <s v="Pechstein"/>
    <s v="Marlen Pechstein"/>
    <x v="12"/>
  </r>
  <r>
    <x v="1802"/>
    <n v="3"/>
    <x v="70"/>
    <x v="32"/>
    <s v="neue Variante zur Unterstützung von Herstellern statt Brands als Auswahl"/>
    <m/>
    <s v="Schilly"/>
    <s v="Erweiterung"/>
    <s v="4300058330"/>
    <s v="Taunus"/>
    <s v="Birgit Schilly"/>
    <s v="Roland Borchard"/>
    <x v="12"/>
  </r>
  <r>
    <x v="1803"/>
    <n v="1"/>
    <x v="68"/>
    <x v="30"/>
    <s v="Färbung, Bezeichnung"/>
    <m/>
    <s v="Propp"/>
    <s v="Erweiterung"/>
    <s v="4300058330"/>
    <s v="Taunus"/>
    <s v="Tanja Geiger"/>
    <s v="Roland Borchard"/>
    <x v="12"/>
  </r>
  <r>
    <x v="1803"/>
    <n v="2"/>
    <x v="56"/>
    <x v="18"/>
    <s v="Besprechung TM"/>
    <m/>
    <s v="Pechstein"/>
    <m/>
    <s v="4300064783"/>
    <s v="Cost Calculator National"/>
    <s v="Pechstein"/>
    <s v="Marlen Pechstein"/>
    <x v="12"/>
  </r>
  <r>
    <x v="1803"/>
    <n v="2"/>
    <x v="70"/>
    <x v="32"/>
    <s v="Zeilenfixierung erste 6 Zeilen für 6 Reports"/>
    <m/>
    <s v="Schilly"/>
    <s v="Erweiterung"/>
    <s v="4300058330"/>
    <s v="Taunus"/>
    <s v="Birgit Schilly"/>
    <s v="Roland Borchard"/>
    <x v="12"/>
  </r>
  <r>
    <x v="1803"/>
    <n v="1"/>
    <x v="68"/>
    <x v="30"/>
    <s v="Kennzeichnung Hersteller Micro und Micro ProdPack"/>
    <m/>
    <s v="Propp"/>
    <s v="Erweiterung"/>
    <s v="4300058330"/>
    <s v="Taunus"/>
    <s v="Tanja Geiger"/>
    <s v="Roland Borchard"/>
    <x v="12"/>
  </r>
  <r>
    <x v="1804"/>
    <n v="1"/>
    <x v="68"/>
    <x v="30"/>
    <s v="Formatierungsänderung"/>
    <m/>
    <s v="Propp"/>
    <s v="Erweiterung"/>
    <s v="4300058330"/>
    <s v="Taunus"/>
    <s v="Tanja Geiger"/>
    <s v="Roland Borchard"/>
    <x v="12"/>
  </r>
  <r>
    <x v="1804"/>
    <n v="1"/>
    <x v="66"/>
    <x v="28"/>
    <s v="Report Jun14"/>
    <m/>
    <s v="Schilly"/>
    <m/>
    <s v="4300058330"/>
    <s v="Taunus"/>
    <s v="Tanja Geiger"/>
    <s v="Roland Borchard"/>
    <x v="12"/>
  </r>
  <r>
    <x v="1803"/>
    <n v="1"/>
    <x v="56"/>
    <x v="18"/>
    <s v="Überprüfung Price Master Tables Cleanup"/>
    <m/>
    <s v="Pechstein"/>
    <m/>
    <s v="4300064783"/>
    <s v="Cost Calculator National"/>
    <s v="Pechstein"/>
    <s v="Marlen Pechstein"/>
    <x v="12"/>
  </r>
  <r>
    <x v="1803"/>
    <n v="4"/>
    <x v="70"/>
    <x v="32"/>
    <s v="Regio_0614 Reports"/>
    <m/>
    <s v="Schilly"/>
    <m/>
    <s v="4300058330"/>
    <s v="Taunus"/>
    <s v="Birgit Schilly"/>
    <s v="Roland Borchard"/>
    <x v="12"/>
  </r>
  <r>
    <x v="1804"/>
    <n v="1"/>
    <x v="68"/>
    <x v="30"/>
    <s v="letzter Test + Erstellung"/>
    <m/>
    <s v="Propp"/>
    <m/>
    <s v="4300058330"/>
    <s v="Taunus"/>
    <s v="Tanja Geiger"/>
    <s v="Roland Borchard"/>
    <x v="12"/>
  </r>
  <r>
    <x v="1804"/>
    <n v="2"/>
    <x v="66"/>
    <x v="28"/>
    <s v="Support + Anpassung Änderung Trinknahrungsmarkt interner Schlüssel"/>
    <m/>
    <s v="Schilly"/>
    <m/>
    <s v="4300058330"/>
    <s v="Taunus"/>
    <s v="Tanja Geiger"/>
    <s v="Roland Borchard"/>
    <x v="12"/>
  </r>
  <r>
    <x v="1804"/>
    <n v="2"/>
    <x v="66"/>
    <x v="28"/>
    <s v="Report Jun14, 2.Lauf"/>
    <m/>
    <s v="Schilly"/>
    <m/>
    <s v="4300058330"/>
    <s v="Taunus"/>
    <s v="Tanja Geiger"/>
    <s v="Roland Borchard"/>
    <x v="12"/>
  </r>
  <r>
    <x v="1804"/>
    <n v="1"/>
    <x v="71"/>
    <x v="33"/>
    <s v="Vorbereitung + DatenInput für Testdaten"/>
    <m/>
    <s v="Salwa-Emmel"/>
    <m/>
    <s v="4300058330"/>
    <s v="Taunus"/>
    <s v="Salwa-Emmel"/>
    <s v="Roland Borchard"/>
    <x v="12"/>
  </r>
  <r>
    <x v="1804"/>
    <n v="0.5"/>
    <x v="69"/>
    <x v="31"/>
    <s v="master Price Tables Vorlage 2014 + 2015"/>
    <m/>
    <s v="Sdunzig"/>
    <m/>
    <s v="4300064785"/>
    <s v="Cost Calculator Regional"/>
    <s v="Claudia Herrmann"/>
    <s v="Claudia Herrmann"/>
    <x v="12"/>
  </r>
  <r>
    <x v="1804"/>
    <n v="0.5"/>
    <x v="51"/>
    <x v="13"/>
    <s v="master Price Tables Vorlage 2014 + 2015"/>
    <m/>
    <s v="Pechstein"/>
    <m/>
    <s v="4300064783"/>
    <s v="Cost Calculator National"/>
    <s v="Pechstein"/>
    <s v="Marlen Pechstein"/>
    <x v="12"/>
  </r>
  <r>
    <x v="1804"/>
    <n v="1.5"/>
    <x v="56"/>
    <x v="18"/>
    <s v="master Price Tables Vorlage 2014 + 2015"/>
    <m/>
    <s v="Pechstein"/>
    <m/>
    <s v="4300064783"/>
    <s v="Cost Calculator National"/>
    <s v="Pechstein"/>
    <s v="Marlen Pechstein"/>
    <x v="12"/>
  </r>
  <r>
    <x v="1804"/>
    <n v="1"/>
    <x v="65"/>
    <x v="27"/>
    <s v="Änderungen: auswählbare Brands"/>
    <m/>
    <s v="Propp"/>
    <m/>
    <s v="4300058330"/>
    <s v="Taunus"/>
    <s v="Julia Propp"/>
    <s v="Roland Borchard"/>
    <x v="12"/>
  </r>
  <r>
    <x v="1804"/>
    <n v="2"/>
    <x v="70"/>
    <x v="32"/>
    <s v="Regio_0614 Reports"/>
    <m/>
    <s v="Schilly"/>
    <m/>
    <s v="4300058330"/>
    <s v="Taunus"/>
    <s v="Birgit Schilly"/>
    <s v="Roland Borchard"/>
    <x v="12"/>
  </r>
  <r>
    <x v="1805"/>
    <n v="8"/>
    <x v="72"/>
    <x v="34"/>
    <s v="Aggregations Cube Pfizer Offline 2"/>
    <m/>
    <s v="Hanke"/>
    <m/>
    <s v="4300058330"/>
    <s v="CH Pivot"/>
    <s v="Roland Borchard"/>
    <s v="Roland Borchard"/>
    <x v="12"/>
  </r>
  <r>
    <x v="1806"/>
    <n v="1.5"/>
    <x v="48"/>
    <x v="10"/>
    <s v="Kommentarfeld + Namensänderungen"/>
    <m/>
    <s v="Sdunzig"/>
    <m/>
    <s v="4300064785"/>
    <s v="Cost Calculator Regional"/>
    <s v="Norbert Sdunzig"/>
    <s v="Norbert Sdunzig"/>
    <x v="12"/>
  </r>
  <r>
    <x v="1806"/>
    <n v="4"/>
    <x v="56"/>
    <x v="18"/>
    <s v="MPT"/>
    <m/>
    <s v="Pechstein"/>
    <m/>
    <s v="4300064783"/>
    <s v="Cost Calculator National"/>
    <s v="Pechstein"/>
    <s v="Marlen Pechstein"/>
    <x v="12"/>
  </r>
  <r>
    <x v="1806"/>
    <n v="1"/>
    <x v="51"/>
    <x v="13"/>
    <s v="MPT"/>
    <m/>
    <s v="Pechstein"/>
    <m/>
    <s v="4300064783"/>
    <s v="Cost Calculator National"/>
    <s v="Pechstein"/>
    <s v="Marlen Pechstein"/>
    <x v="12"/>
  </r>
  <r>
    <x v="1806"/>
    <n v="1"/>
    <x v="48"/>
    <x v="10"/>
    <s v="MPT"/>
    <m/>
    <s v="Sdunzig"/>
    <m/>
    <s v="4300064785"/>
    <s v="Cost Calculator Regional"/>
    <s v="Norbert Sdunzig"/>
    <s v="Norbert Sdunzig"/>
    <x v="12"/>
  </r>
  <r>
    <x v="1806"/>
    <n v="1"/>
    <x v="69"/>
    <x v="31"/>
    <s v="MPT"/>
    <m/>
    <s v="Sdunzig"/>
    <m/>
    <s v="4300064785"/>
    <s v="Cost Calculator Regional"/>
    <s v="Claudia Herrmann"/>
    <s v="Claudia Herrmann"/>
    <x v="12"/>
  </r>
  <r>
    <x v="1807"/>
    <n v="2"/>
    <x v="41"/>
    <x v="3"/>
    <s v="Kommentarfeld + Namensänderungen"/>
    <m/>
    <s v="Spiegel"/>
    <m/>
    <s v="zu klären"/>
    <s v="CHA Calculator"/>
    <s v="Marlies Spiegel "/>
    <s v="Marlies Spiegel"/>
    <x v="12"/>
  </r>
  <r>
    <x v="1807"/>
    <n v="1"/>
    <x v="39"/>
    <x v="1"/>
    <s v="Anfrage, Prüfung und Check"/>
    <m/>
    <s v="Schilly"/>
    <m/>
    <s v="4300058330"/>
    <s v="Taunus"/>
    <s v="Birgit Schilly"/>
    <s v="Roland Borchard"/>
    <x v="12"/>
  </r>
  <r>
    <x v="1807"/>
    <n v="2"/>
    <x v="40"/>
    <x v="2"/>
    <s v="Kommentarfeld Zeichenbeschränkung"/>
    <m/>
    <s v="Despotovic"/>
    <m/>
    <s v="4300058328"/>
    <s v="PP2"/>
    <s v="Sandra Despotovic"/>
    <s v="Roland Borchard"/>
    <x v="12"/>
  </r>
  <r>
    <x v="1808"/>
    <n v="3"/>
    <x v="40"/>
    <x v="2"/>
    <s v="Neu Produktion aus Template soll Waienkind erstellen"/>
    <m/>
    <s v="Despotovic"/>
    <m/>
    <s v="4300058328"/>
    <s v="PP2"/>
    <s v="Sandra Despotovic"/>
    <s v="Roland Borchard"/>
    <x v="12"/>
  </r>
  <r>
    <x v="1809"/>
    <n v="1"/>
    <x v="39"/>
    <x v="1"/>
    <s v="Anfrage Change Request vom 14.08."/>
    <m/>
    <s v="Schilly"/>
    <m/>
    <s v="4300058330"/>
    <s v="Taunus"/>
    <s v="Birgit Schilly"/>
    <s v="Roland Borchard"/>
    <x v="12"/>
  </r>
  <r>
    <x v="1810"/>
    <n v="1"/>
    <x v="56"/>
    <x v="18"/>
    <s v="Kommentarfeld + Rückfragen MPTs"/>
    <m/>
    <s v="Pechstein"/>
    <m/>
    <s v="4300064783"/>
    <s v="Cost Calculator National"/>
    <s v="Pechstein"/>
    <s v="Marlen Pechstein"/>
    <x v="12"/>
  </r>
  <r>
    <x v="1810"/>
    <n v="4"/>
    <x v="39"/>
    <x v="1"/>
    <s v="Change Request vom 14.08."/>
    <m/>
    <s v="Schilly"/>
    <m/>
    <s v="4300058330"/>
    <s v="Taunus"/>
    <s v="Birgit Schilly"/>
    <s v="Roland Borchard"/>
    <x v="12"/>
  </r>
  <r>
    <x v="1811"/>
    <n v="3"/>
    <x v="69"/>
    <x v="31"/>
    <s v="Client, Oberfläche"/>
    <m/>
    <s v="Sdunzig"/>
    <m/>
    <s v="4300064785"/>
    <s v="Cost Calculator Regional"/>
    <s v="Claudia Herrmann"/>
    <s v="Claudia Herrmann"/>
    <x v="12"/>
  </r>
  <r>
    <x v="1806"/>
    <n v="1"/>
    <x v="51"/>
    <x v="13"/>
    <s v="Kommentafeld im Report ergänzt"/>
    <m/>
    <s v="Pechstein"/>
    <m/>
    <s v="4300064783"/>
    <s v="Cost Calculator National"/>
    <s v="Pechstein"/>
    <s v="Marlen Pechstein"/>
    <x v="12"/>
  </r>
  <r>
    <x v="1806"/>
    <n v="1"/>
    <x v="48"/>
    <x v="10"/>
    <s v="Kommentafeld im Report ergänzt"/>
    <m/>
    <s v="Sdunzig"/>
    <m/>
    <s v="4300064785"/>
    <s v="Cost Calculator Regional"/>
    <s v="Norbert Sdunzig"/>
    <s v="Norbert Sdunzig"/>
    <x v="12"/>
  </r>
  <r>
    <x v="1806"/>
    <n v="1"/>
    <x v="69"/>
    <x v="31"/>
    <s v="Kommentafeld im Report ergänzt"/>
    <m/>
    <s v="Sdunzig"/>
    <m/>
    <s v="4300064785"/>
    <s v="Cost Calculator Regional"/>
    <s v="Claudia Herrmann"/>
    <s v="Claudia Herrmann"/>
    <x v="12"/>
  </r>
  <r>
    <x v="1807"/>
    <n v="1"/>
    <x v="51"/>
    <x v="13"/>
    <s v="Kommentafeld im Report ergänzt"/>
    <m/>
    <s v="Pechstein"/>
    <m/>
    <s v="4300064783"/>
    <s v="Cost Calculator National"/>
    <s v="Pechstein"/>
    <s v="Marlen Pechstein"/>
    <x v="12"/>
  </r>
  <r>
    <x v="1811"/>
    <n v="2"/>
    <x v="39"/>
    <x v="1"/>
    <s v="Änderungen"/>
    <m/>
    <s v="Schilly"/>
    <m/>
    <s v="4300058330"/>
    <s v="Taunus"/>
    <s v="Birgit Schilly"/>
    <s v="Roland Borchard"/>
    <x v="12"/>
  </r>
  <r>
    <x v="1811"/>
    <n v="3.5"/>
    <x v="65"/>
    <x v="27"/>
    <s v="Änderungen Reports"/>
    <m/>
    <s v="Propp"/>
    <m/>
    <s v="4300058330"/>
    <s v="Taunus"/>
    <s v="Julia Propp"/>
    <s v="Roland Borchard"/>
    <x v="12"/>
  </r>
  <r>
    <x v="1811"/>
    <n v="1.5"/>
    <x v="65"/>
    <x v="27"/>
    <s v="Änderungen Reports"/>
    <m/>
    <s v="Propp"/>
    <m/>
    <s v="4300058330"/>
    <s v="Taunus"/>
    <s v="Julia Propp"/>
    <s v="Roland Borchard"/>
    <x v="12"/>
  </r>
  <r>
    <x v="1811"/>
    <n v="6"/>
    <x v="71"/>
    <x v="33"/>
    <s v="FlashScincare, FlashDermo, SyntheseDermo"/>
    <m/>
    <s v="Propp"/>
    <m/>
    <s v="4300058330"/>
    <s v="Taunus"/>
    <s v="Salwa-Emmel"/>
    <s v="Roland Borchard"/>
    <x v="12"/>
  </r>
  <r>
    <x v="1812"/>
    <n v="1"/>
    <x v="65"/>
    <x v="27"/>
    <s v="Umstellung von Top 5 auf auswählbare Brands"/>
    <m/>
    <s v="Propp"/>
    <m/>
    <s v="4300058330"/>
    <s v="Taunus"/>
    <s v="Julia Propp"/>
    <s v="Roland Borchard"/>
    <x v="12"/>
  </r>
  <r>
    <x v="1812"/>
    <n v="1"/>
    <x v="39"/>
    <x v="1"/>
    <s v="Abführmittel"/>
    <m/>
    <s v="Schilly"/>
    <m/>
    <s v="4300058330"/>
    <s v="Taunus"/>
    <s v="Birgit Schilly"/>
    <s v="Roland Borchard"/>
    <x v="12"/>
  </r>
  <r>
    <x v="1812"/>
    <n v="2"/>
    <x v="40"/>
    <x v="2"/>
    <s v="Support PP2 Troubleshooting, Ursache volle Platte, Ursachenforschung + Behebung"/>
    <m/>
    <s v="Despotovic"/>
    <m/>
    <s v="4300058328"/>
    <s v="PP2"/>
    <s v="Sandra Despotovic"/>
    <s v="Roland Borchard"/>
    <x v="12"/>
  </r>
  <r>
    <x v="1812"/>
    <n v="5"/>
    <x v="40"/>
    <x v="2"/>
    <s v="Adam Anpassung Geos aus Header"/>
    <m/>
    <s v="Burger, Despotovic"/>
    <m/>
    <s v="4300058328"/>
    <s v="PP2"/>
    <s v="Sandra Despotovic"/>
    <s v="Roland Borchard"/>
    <x v="12"/>
  </r>
  <r>
    <x v="1813"/>
    <n v="4"/>
    <x v="69"/>
    <x v="31"/>
    <s v="Kalkulation"/>
    <m/>
    <s v="Sdunzig"/>
    <m/>
    <s v="4300064785"/>
    <s v="Cost Calculator Regional"/>
    <s v="Claudia Herrmann"/>
    <s v="Claudia Herrmann"/>
    <x v="12"/>
  </r>
  <r>
    <x v="1813"/>
    <n v="1"/>
    <x v="39"/>
    <x v="1"/>
    <s v="Nationale Reports Juli"/>
    <m/>
    <s v="Schilly"/>
    <m/>
    <s v="4300058330"/>
    <s v="Taunus"/>
    <s v="Birgit Schilly"/>
    <s v="Roland Borchard"/>
    <x v="12"/>
  </r>
  <r>
    <x v="1813"/>
    <n v="1"/>
    <x v="70"/>
    <x v="32"/>
    <s v="Juli Reports"/>
    <m/>
    <s v="Schilly"/>
    <m/>
    <s v="4300058330"/>
    <s v="Taunus"/>
    <s v="Birgit Schilly"/>
    <s v="Roland Borchard"/>
    <x v="12"/>
  </r>
  <r>
    <x v="1813"/>
    <n v="6"/>
    <x v="40"/>
    <x v="2"/>
    <s v="Adam Anpassung Geos aus Header"/>
    <m/>
    <s v="Burger, Despotovic"/>
    <m/>
    <s v="4300058328"/>
    <s v="PP2"/>
    <s v="Sandra Despotovic"/>
    <s v="Roland Borchard"/>
    <x v="12"/>
  </r>
  <r>
    <x v="1813"/>
    <n v="2"/>
    <x v="65"/>
    <x v="27"/>
    <s v="Umstellung von Top 5 auf auswählbare Brands"/>
    <m/>
    <s v="Propp"/>
    <m/>
    <s v="4300058330"/>
    <s v="Taunus"/>
    <s v="Julia Propp"/>
    <s v="Roland Borchard"/>
    <x v="12"/>
  </r>
  <r>
    <x v="1814"/>
    <n v="4"/>
    <x v="69"/>
    <x v="31"/>
    <s v="Kalkulation, Oberfläche"/>
    <m/>
    <s v="Sdunzig"/>
    <m/>
    <s v="4300064785"/>
    <s v="Cost Calculator Regional"/>
    <s v="Claudia Herrmann"/>
    <s v="Claudia Herrmann"/>
    <x v="12"/>
  </r>
  <r>
    <x v="1814"/>
    <n v="2"/>
    <x v="40"/>
    <x v="2"/>
    <s v="Export Checkbox nur für Admins sichtbar (kein Neustart mehr nötig)"/>
    <m/>
    <s v="Despotovic"/>
    <m/>
    <s v="4300058328"/>
    <s v="PP2"/>
    <s v="Sandra Despotovic"/>
    <s v="Roland Borchard"/>
    <x v="12"/>
  </r>
  <r>
    <x v="1814"/>
    <n v="1"/>
    <x v="40"/>
    <x v="2"/>
    <s v="Export Prio 4 But versucht nachzustellen, konnte nicht nachvollzogen werden"/>
    <m/>
    <s v="Despotovic"/>
    <m/>
    <s v="4300058328"/>
    <s v="PP2"/>
    <s v="Sandra Despotovic"/>
    <s v="Roland Borchard"/>
    <x v="12"/>
  </r>
  <r>
    <x v="1814"/>
    <n v="1"/>
    <x v="40"/>
    <x v="2"/>
    <s v="neues Update bereitgestellt"/>
    <m/>
    <s v="Despotovic"/>
    <m/>
    <s v="4300058328"/>
    <s v="PP2"/>
    <s v="Sandra Despotovic"/>
    <s v="Roland Borchard"/>
    <x v="12"/>
  </r>
  <r>
    <x v="1814"/>
    <n v="1.5"/>
    <x v="39"/>
    <x v="1"/>
    <s v="Nationale Reports Juli"/>
    <m/>
    <s v="Schilly"/>
    <m/>
    <s v="4300058330"/>
    <s v="Taunus"/>
    <s v="Birgit Schilly"/>
    <s v="Roland Borchard"/>
    <x v="12"/>
  </r>
  <r>
    <x v="1814"/>
    <n v="3"/>
    <x v="69"/>
    <x v="31"/>
    <s v="Kalkulation, Oberfläche"/>
    <m/>
    <s v="Sdunzig"/>
    <m/>
    <s v="4300064785"/>
    <s v="Cost Calculator Regional"/>
    <s v="Claudia Herrmann"/>
    <s v="Claudia Herrmann"/>
    <x v="12"/>
  </r>
  <r>
    <x v="1815"/>
    <n v="8"/>
    <x v="70"/>
    <x v="32"/>
    <s v="POS report"/>
    <m/>
    <s v="Schilly"/>
    <m/>
    <s v="4300058330"/>
    <s v="Taunus"/>
    <s v="Birgit Schilly"/>
    <s v="Roland Borchard"/>
    <x v="12"/>
  </r>
  <r>
    <x v="1815"/>
    <n v="2"/>
    <x v="65"/>
    <x v="27"/>
    <s v="Vita Märkte fehlender Geolevel"/>
    <m/>
    <s v="Propp"/>
    <m/>
    <s v="4300058330"/>
    <s v="Taunus"/>
    <s v="Julia Propp"/>
    <s v="Roland Borchard"/>
    <x v="12"/>
  </r>
  <r>
    <x v="1815"/>
    <n v="2"/>
    <x v="39"/>
    <x v="1"/>
    <s v="Nationale Reports Juli"/>
    <m/>
    <s v="Schilly"/>
    <m/>
    <s v="4300058330"/>
    <s v="Taunus"/>
    <s v="Birgit Schilly"/>
    <s v="Roland Borchard"/>
    <x v="12"/>
  </r>
  <r>
    <x v="1815"/>
    <n v="2"/>
    <x v="65"/>
    <x v="27"/>
    <s v="Vita Märkte"/>
    <m/>
    <s v="Propp"/>
    <m/>
    <s v="4300058330"/>
    <s v="Taunus"/>
    <s v="Julia Propp"/>
    <s v="Roland Borchard"/>
    <x v="12"/>
  </r>
  <r>
    <x v="1815"/>
    <n v="2"/>
    <x v="65"/>
    <x v="27"/>
    <s v="Vita Märkte Produktion"/>
    <m/>
    <s v="Propp"/>
    <m/>
    <s v="4300058330"/>
    <s v="Taunus"/>
    <s v="Julia Propp"/>
    <s v="Roland Borchard"/>
    <x v="12"/>
  </r>
  <r>
    <x v="1816"/>
    <n v="8"/>
    <x v="39"/>
    <x v="1"/>
    <s v="Anpassungen + Produktion"/>
    <m/>
    <s v="Schilly"/>
    <m/>
    <s v="4300058330"/>
    <s v="Taunus"/>
    <s v="Birgit Schilly"/>
    <s v="Roland Borchard"/>
    <x v="12"/>
  </r>
  <r>
    <x v="1816"/>
    <n v="1.5"/>
    <x v="65"/>
    <x v="27"/>
    <s v="Änderung Produktreihenfolge + Juni reports"/>
    <m/>
    <s v="Propp"/>
    <m/>
    <s v="4300058330"/>
    <s v="Taunus"/>
    <s v="Julia Propp"/>
    <s v="Roland Borchard"/>
    <x v="12"/>
  </r>
  <r>
    <x v="1816"/>
    <n v="3"/>
    <x v="70"/>
    <x v="32"/>
    <s v="Anpassung Regio POS + Erzeugung 07/14"/>
    <m/>
    <s v="Schilly"/>
    <m/>
    <s v="4300058330"/>
    <s v="Taunus"/>
    <s v="Birgit Schilly"/>
    <s v="Roland Borchard"/>
    <x v="12"/>
  </r>
  <r>
    <x v="1816"/>
    <n v="1.5"/>
    <x v="39"/>
    <x v="1"/>
    <s v="Änderungen"/>
    <m/>
    <s v="Schilly"/>
    <m/>
    <s v="4300058330"/>
    <s v="Taunus"/>
    <s v="Birgit Schilly"/>
    <s v="Roland Borchard"/>
    <x v="12"/>
  </r>
  <r>
    <x v="1817"/>
    <n v="0"/>
    <x v="42"/>
    <x v="4"/>
    <s v="Refakturierung, Umstellung Code(2 Stunden, keine Berechnung)"/>
    <m/>
    <s v="Schilly"/>
    <m/>
    <s v="4300058330"/>
    <s v="Taunus"/>
    <s v="Tanja Geiger"/>
    <s v="Roland Borchard"/>
    <x v="12"/>
  </r>
  <r>
    <x v="1818"/>
    <n v="9"/>
    <x v="66"/>
    <x v="28"/>
    <s v="Anpassungen + Produktion"/>
    <m/>
    <s v="Schilly"/>
    <m/>
    <s v="4300058330"/>
    <s v="Taunus"/>
    <s v="Tanja Geiger"/>
    <s v="Roland Borchard"/>
    <x v="12"/>
  </r>
  <r>
    <x v="1819"/>
    <n v="2"/>
    <x v="42"/>
    <x v="4"/>
    <s v="Umbenennungen Reports"/>
    <m/>
    <s v="Geiger"/>
    <s v="Expektoranzien Report heisst jetzt National, Regio Report Benennung vereinheitlicht"/>
    <s v="4300058330"/>
    <s v="Taunus"/>
    <s v="Tanja Geiger"/>
    <s v="Roland Borchard"/>
    <x v="12"/>
  </r>
  <r>
    <x v="1819"/>
    <n v="2.5"/>
    <x v="42"/>
    <x v="4"/>
    <s v="Meeting"/>
    <m/>
    <s v="Schilly"/>
    <m/>
    <s v="4300058330"/>
    <s v="Taunus"/>
    <s v="Tanja Geiger"/>
    <s v="Roland Borchard"/>
    <x v="12"/>
  </r>
  <r>
    <x v="1819"/>
    <n v="2"/>
    <x v="66"/>
    <x v="28"/>
    <s v="% VO und % Bar Anteil Zähleinheiten"/>
    <m/>
    <s v="Schilly"/>
    <m/>
    <s v="4300058330"/>
    <s v="Taunus"/>
    <s v="Tanja Geiger"/>
    <s v="Roland Borchard"/>
    <x v="12"/>
  </r>
  <r>
    <x v="1819"/>
    <n v="2"/>
    <x v="70"/>
    <x v="32"/>
    <s v="Klosterfrau Regio Apo Unterstützung Products statt Companies und Brands"/>
    <m/>
    <s v="Schilly"/>
    <m/>
    <s v="4300058330"/>
    <s v="Taunus"/>
    <s v="Birgit Schilly"/>
    <s v="Roland Borchard"/>
    <x v="12"/>
  </r>
  <r>
    <x v="1819"/>
    <n v="1"/>
    <x v="66"/>
    <x v="28"/>
    <s v="Überprüfung HIPP Trinknahrung"/>
    <m/>
    <s v="Schilly"/>
    <m/>
    <s v="4300058330"/>
    <s v="Taunus"/>
    <s v="Tanja Geiger"/>
    <s v="Roland Borchard"/>
    <x v="12"/>
  </r>
  <r>
    <x v="1819"/>
    <n v="1"/>
    <x v="66"/>
    <x v="28"/>
    <s v="Erstellung"/>
    <m/>
    <s v="Schilly"/>
    <m/>
    <s v="4300058330"/>
    <s v="Taunus"/>
    <s v="Tanja Geiger"/>
    <s v="Roland Borchard"/>
    <x v="12"/>
  </r>
  <r>
    <x v="1820"/>
    <n v="8"/>
    <x v="65"/>
    <x v="27"/>
    <s v="Vitamärkte Erstellung und Bereitstellung"/>
    <m/>
    <s v="Propp"/>
    <m/>
    <s v="4300058330"/>
    <s v="Taunus"/>
    <s v="Julia Propp"/>
    <s v="Roland Borchard"/>
    <x v="12"/>
  </r>
  <r>
    <x v="1821"/>
    <n v="4"/>
    <x v="65"/>
    <x v="27"/>
    <s v="Vitamärkte Erstellung und Bereitstellung"/>
    <m/>
    <s v="Propp"/>
    <m/>
    <s v="4300058330"/>
    <s v="Taunus"/>
    <s v="Julia Propp"/>
    <s v="Roland Borchard"/>
    <x v="12"/>
  </r>
  <r>
    <x v="1822"/>
    <n v="4"/>
    <x v="71"/>
    <x v="33"/>
    <s v="Erstellung neuer Farbpaletten für L'Oreal spezifische Farben"/>
    <m/>
    <s v="Salwa-Emmel"/>
    <m/>
    <s v="4300058330"/>
    <s v="Taunus"/>
    <s v="Salwa-Emmel"/>
    <s v="Roland Borchard"/>
    <x v="12"/>
  </r>
  <r>
    <x v="1822"/>
    <n v="4"/>
    <x v="42"/>
    <x v="4"/>
    <s v="Arbeitsmappen spezifische Auswahl von Farbpaletten möglich"/>
    <m/>
    <s v="Geiger"/>
    <m/>
    <s v="4300058330"/>
    <s v="Taunus"/>
    <s v="Tanja Geiger"/>
    <s v="Roland Borchard"/>
    <x v="12"/>
  </r>
  <r>
    <x v="1822"/>
    <n v="2"/>
    <x v="42"/>
    <x v="4"/>
    <s v="Arbeitsmappen spezifische Auswahl von Farbpaletten möglich"/>
    <m/>
    <s v="Geiger"/>
    <m/>
    <s v="4300058330"/>
    <s v="Taunus"/>
    <s v="Tanja Geiger"/>
    <s v="Roland Borchard"/>
    <x v="12"/>
  </r>
  <r>
    <x v="1822"/>
    <n v="2"/>
    <x v="69"/>
    <x v="31"/>
    <s v="Oberfläche"/>
    <m/>
    <s v="Sdunzig"/>
    <m/>
    <s v="4300064785"/>
    <s v="Cost Calculator Regional"/>
    <s v="Claudia Herrmann"/>
    <s v="Claudia Herrmann"/>
    <x v="12"/>
  </r>
  <r>
    <x v="1823"/>
    <n v="3"/>
    <x v="69"/>
    <x v="31"/>
    <s v="Kundenname + Speichern/Laden + Oberfläche"/>
    <m/>
    <s v="Sdunzig"/>
    <m/>
    <s v="4300064785"/>
    <s v="Cost Calculator Regional"/>
    <s v="Claudia Herrmann"/>
    <s v="Claudia Herrmann"/>
    <x v="12"/>
  </r>
  <r>
    <x v="1823"/>
    <n v="2"/>
    <x v="39"/>
    <x v="1"/>
    <s v="KLV Match Export aus SSAS"/>
    <m/>
    <s v="Crone"/>
    <m/>
    <s v="4300058330"/>
    <s v="Taunus"/>
    <s v="Birgit Schilly"/>
    <s v="Roland Borchard"/>
    <x v="12"/>
  </r>
  <r>
    <x v="1823"/>
    <n v="4"/>
    <x v="54"/>
    <x v="16"/>
    <s v="Aktualisierung der Beschriftung von Relativperioden bei reports mit frei auswählbaren Perioden"/>
    <m/>
    <s v="Salwa-Emmel"/>
    <m/>
    <s v="4300058330"/>
    <s v="Powercharts"/>
    <s v="Voigt"/>
    <s v="Hema Gajjar"/>
    <x v="12"/>
  </r>
  <r>
    <x v="1824"/>
    <n v="4"/>
    <x v="54"/>
    <x v="16"/>
    <s v="Aktualisierung der Beschriftung von Relativperioden bei reports mit frei auswählbaren Perioden"/>
    <m/>
    <s v="Salwa-Emmel"/>
    <m/>
    <s v="4300058330"/>
    <s v="Powercharts"/>
    <s v="Voigt"/>
    <s v="Hema Gajjar"/>
    <x v="12"/>
  </r>
  <r>
    <x v="1824"/>
    <n v="1"/>
    <x v="40"/>
    <x v="2"/>
    <s v="Doppelte Monatseinträge in Produktionplan entfernt"/>
    <m/>
    <s v="Despotovic"/>
    <m/>
    <s v="4300058328"/>
    <s v="PP2"/>
    <s v="Sandra Despotovic"/>
    <s v="Roland Borchard"/>
    <x v="12"/>
  </r>
  <r>
    <x v="1825"/>
    <n v="1.5"/>
    <x v="73"/>
    <x v="35"/>
    <s v="KLV Match Export aus SSAS, ProdPack statt Pack weg. Sinupret"/>
    <m/>
    <s v="Crone"/>
    <m/>
    <s v="4300058330"/>
    <s v="Taunus"/>
    <s v="Birgit Schilly"/>
    <s v="Roland Borchard"/>
    <x v="12"/>
  </r>
  <r>
    <x v="1825"/>
    <n v="1.5"/>
    <x v="54"/>
    <x v="16"/>
    <s v="Support, Datenbank Verbindungsprobleme + Compress Tool"/>
    <m/>
    <s v="Janosch, Komissarenko"/>
    <m/>
    <s v="4300058330"/>
    <s v="Powercharts"/>
    <s v="Voigt"/>
    <s v="Hema Gajjar"/>
    <x v="12"/>
  </r>
  <r>
    <x v="1826"/>
    <n v="4"/>
    <x v="67"/>
    <x v="29"/>
    <s v="Vorbereitung Besprechung, Analyse DataView Massmarket File"/>
    <m/>
    <s v="Buteweg"/>
    <m/>
    <s v="4300058330"/>
    <s v="Taunus"/>
    <s v="Tanja Geiger"/>
    <s v="Roland Borchard"/>
    <x v="12"/>
  </r>
  <r>
    <x v="1826"/>
    <n v="1"/>
    <x v="69"/>
    <x v="31"/>
    <s v="Oberfläche"/>
    <m/>
    <s v="Sdunzig"/>
    <m/>
    <s v="4300064785"/>
    <s v="Cost Calculator Regional"/>
    <s v="Claudia Herrmann"/>
    <s v="Claudia Herrmann"/>
    <x v="12"/>
  </r>
  <r>
    <x v="1827"/>
    <n v="2"/>
    <x v="67"/>
    <x v="29"/>
    <s v="Besprechung, Telefonmeeting, Vor- und Nachbereitung"/>
    <m/>
    <s v="Buteweg"/>
    <m/>
    <s v="4300058330"/>
    <s v="Taunus"/>
    <s v="Tanja Geiger"/>
    <s v="Roland Borchard"/>
    <x v="12"/>
  </r>
  <r>
    <x v="1827"/>
    <n v="3"/>
    <x v="71"/>
    <x v="33"/>
    <s v="Reporterstellung"/>
    <m/>
    <s v="Salwa-Emmel"/>
    <m/>
    <s v="4300058330"/>
    <s v="Taunus"/>
    <s v="Salwa-Emmel"/>
    <s v="Roland Borchard"/>
    <x v="12"/>
  </r>
  <r>
    <x v="1827"/>
    <n v="1"/>
    <x v="56"/>
    <x v="18"/>
    <s v="Integration Kommentarfeld Export"/>
    <m/>
    <s v="Pechstein"/>
    <m/>
    <s v="4300064783"/>
    <s v="Cost Calculator National"/>
    <s v="Pechstein"/>
    <s v="Marlen Pechstein"/>
    <x v="12"/>
  </r>
  <r>
    <x v="1827"/>
    <n v="1"/>
    <x v="51"/>
    <x v="13"/>
    <s v="Integration Kommentarfeld Export"/>
    <m/>
    <s v="Pechstein"/>
    <m/>
    <s v="4300064783"/>
    <s v="Cost Calculator National"/>
    <s v="Pechstein"/>
    <s v="Marlen Pechstein"/>
    <x v="12"/>
  </r>
  <r>
    <x v="1827"/>
    <n v="1"/>
    <x v="48"/>
    <x v="10"/>
    <s v="Integration Kommentarfeld Export"/>
    <m/>
    <s v="Sdunzig"/>
    <m/>
    <s v="4300064785"/>
    <s v="Cost Calculator Regional"/>
    <s v="Norbert Sdunzig"/>
    <s v="Norbert Sdunzig"/>
    <x v="12"/>
  </r>
  <r>
    <x v="1828"/>
    <n v="0.5"/>
    <x v="54"/>
    <x v="16"/>
    <s v="Support Datenbankzugriff"/>
    <m/>
    <s v="Janosch"/>
    <m/>
    <s v="4300058330"/>
    <s v="Powercharts"/>
    <s v="Voigt"/>
    <s v="Hema Gajjar"/>
    <x v="12"/>
  </r>
  <r>
    <x v="1828"/>
    <n v="1"/>
    <x v="51"/>
    <x v="13"/>
    <s v="Szenario Kalkulation"/>
    <m/>
    <s v="Pechstein"/>
    <m/>
    <s v="4300064783"/>
    <s v="Cost Calculator National"/>
    <s v="Pechstein"/>
    <s v="Marlen Pechstein"/>
    <x v="12"/>
  </r>
  <r>
    <x v="1828"/>
    <n v="1"/>
    <x v="54"/>
    <x v="16"/>
    <s v="Keyfacts Charts, Fehler bei Folien ohne Periodenauswahl"/>
    <m/>
    <s v="Netz"/>
    <m/>
    <s v="4300058330"/>
    <s v="Powercharts"/>
    <s v="Voigt"/>
    <s v="Hema Gajjar"/>
    <x v="12"/>
  </r>
  <r>
    <x v="1829"/>
    <n v="1.5"/>
    <x v="65"/>
    <x v="27"/>
    <s v="Anpassung + Rerun Vita-Zink-Reports"/>
    <m/>
    <s v="Propp"/>
    <m/>
    <s v="4300058330"/>
    <s v="Taunus"/>
    <s v="Julia Propp"/>
    <s v="Roland Borchard"/>
    <x v="12"/>
  </r>
  <r>
    <x v="1830"/>
    <n v="2"/>
    <x v="69"/>
    <x v="31"/>
    <s v="neues Kommentarfeld, Oberfläche Finetuning"/>
    <m/>
    <s v="Sdunzig"/>
    <m/>
    <s v="4300064785"/>
    <s v="Cost Calculator Regional"/>
    <s v="Claudia Herrmann"/>
    <s v="Claudia Herrmann"/>
    <x v="12"/>
  </r>
  <r>
    <x v="1830"/>
    <n v="2.5"/>
    <x v="51"/>
    <x v="13"/>
    <s v="Szenario Kalkulation, Datenbank Anpassungen"/>
    <m/>
    <s v="Pechstein"/>
    <m/>
    <s v="4300064783"/>
    <s v="Cost Calculator National"/>
    <s v="Pechstein"/>
    <s v="Marlen Pechstein"/>
    <x v="12"/>
  </r>
  <r>
    <x v="1830"/>
    <n v="3.5"/>
    <x v="69"/>
    <x v="31"/>
    <s v="Excel Export"/>
    <m/>
    <s v="Sdunzig"/>
    <m/>
    <s v="4300064785"/>
    <s v="Cost Calculator Regional"/>
    <s v="Claudia Herrmann"/>
    <s v="Claudia Herrmann"/>
    <x v="12"/>
  </r>
  <r>
    <x v="1831"/>
    <n v="8"/>
    <x v="46"/>
    <x v="8"/>
    <s v="Automatisierung durch Jobsystem, Einrichtung Jobhistorie, Sicherheitsarchitektur Aktualisierung der Daten"/>
    <m/>
    <s v="S.Borchard"/>
    <m/>
    <s v="4300042018"/>
    <s v="Berichtsbesonderheiten"/>
    <s v="Sabine Borchard"/>
    <s v="Sabine Borchard"/>
    <x v="12"/>
  </r>
  <r>
    <x v="1832"/>
    <n v="1"/>
    <x v="40"/>
    <x v="2"/>
    <s v="Test, Bereitstellung + Installation neue Version"/>
    <m/>
    <s v="Despotovic"/>
    <m/>
    <s v="4300058328"/>
    <s v="PP2"/>
    <s v="Sandra Despotovic"/>
    <s v="Roland Borchard"/>
    <x v="12"/>
  </r>
  <r>
    <x v="1832"/>
    <n v="1"/>
    <x v="46"/>
    <x v="8"/>
    <s v="Integration von neuem User internal\BBHLoadUser + Test"/>
    <m/>
    <s v="S.Borchard"/>
    <m/>
    <s v="4300042018"/>
    <s v="Berichtsbesonderheiten"/>
    <s v="Sabine Borchard"/>
    <s v="Sabine Borchard"/>
    <x v="12"/>
  </r>
  <r>
    <x v="1832"/>
    <n v="2"/>
    <x v="39"/>
    <x v="1"/>
    <s v="falsche MAT 07 Umsätze + Marktanteile Abführmittel, konnte nicht nachvollzogen werden"/>
    <m/>
    <s v="Crone"/>
    <m/>
    <s v="4300058330"/>
    <s v="Taunus"/>
    <s v="Birgit Schilly"/>
    <s v="Roland Borchard"/>
    <x v="12"/>
  </r>
  <r>
    <x v="1832"/>
    <n v="3.5"/>
    <x v="69"/>
    <x v="31"/>
    <s v="Oberfläche Finetuning"/>
    <m/>
    <s v="Sdunzig"/>
    <m/>
    <s v="4300064785"/>
    <s v="Cost Calculator Regional"/>
    <s v="Claudia Herrmann"/>
    <s v="Claudia Herrmann"/>
    <x v="12"/>
  </r>
  <r>
    <x v="1832"/>
    <n v="2"/>
    <x v="67"/>
    <x v="29"/>
    <s v="Einrichtung Entwicklungsumgebung"/>
    <m/>
    <s v="Buteweg"/>
    <m/>
    <s v="4300058330"/>
    <s v="Taunus"/>
    <s v="Tanja Geiger"/>
    <s v="Roland Borchard"/>
    <x v="12"/>
  </r>
  <r>
    <x v="1832"/>
    <n v="6"/>
    <x v="67"/>
    <x v="29"/>
    <s v="Datenbankerstellung + Datenimport "/>
    <m/>
    <s v="Buteweg"/>
    <m/>
    <s v="4300058330"/>
    <s v="Taunus"/>
    <s v="Tanja Geiger"/>
    <s v="Roland Borchard"/>
    <x v="12"/>
  </r>
  <r>
    <x v="1833"/>
    <n v="3.5"/>
    <x v="42"/>
    <x v="4"/>
    <s v="DashboardIntegration "/>
    <m/>
    <s v="Borchard"/>
    <m/>
    <s v="4300058330"/>
    <s v="Taunus"/>
    <s v="Tanja Geiger"/>
    <s v="Roland Borchard"/>
    <x v="12"/>
  </r>
  <r>
    <x v="1833"/>
    <n v="3"/>
    <x v="51"/>
    <x v="13"/>
    <s v="Szenario Kalkulation"/>
    <m/>
    <s v="Pechstein"/>
    <m/>
    <s v="4300064783"/>
    <s v="Cost Calculator National"/>
    <s v="Pechstein"/>
    <s v="Marlen Pechstein"/>
    <x v="12"/>
  </r>
  <r>
    <x v="1833"/>
    <n v="1"/>
    <x v="46"/>
    <x v="8"/>
    <s v="Test Hinzufügung neuer BBHs"/>
    <m/>
    <s v="S.Borchard"/>
    <m/>
    <s v="4300042018"/>
    <s v="Berichtsbesonderheiten"/>
    <s v="Sabine Borchard"/>
    <s v="Sabine Borchard"/>
    <x v="12"/>
  </r>
  <r>
    <x v="1833"/>
    <n v="7"/>
    <x v="67"/>
    <x v="29"/>
    <s v="Datenbankerstellung + Datenimport "/>
    <m/>
    <s v="Buteweg"/>
    <m/>
    <s v="4300058330"/>
    <s v="Taunus"/>
    <s v="Tanja Geiger"/>
    <s v="Roland Borchard"/>
    <x v="12"/>
  </r>
  <r>
    <x v="1834"/>
    <n v="3"/>
    <x v="71"/>
    <x v="33"/>
    <s v="Reporterstellung"/>
    <m/>
    <s v="Salwa-Emmel"/>
    <m/>
    <s v="4300058330"/>
    <s v="Taunus"/>
    <s v="Salwa-Emmel"/>
    <s v="Roland Borchard"/>
    <x v="12"/>
  </r>
  <r>
    <x v="1834"/>
    <n v="4"/>
    <x v="54"/>
    <x v="16"/>
    <s v="DashboardIntegration "/>
    <m/>
    <s v="Borchard"/>
    <m/>
    <s v="4300058330"/>
    <s v="Powercharts"/>
    <s v="Voigt"/>
    <s v="Hema Gajjar"/>
    <x v="12"/>
  </r>
  <r>
    <x v="1834"/>
    <n v="0"/>
    <x v="42"/>
    <x v="4"/>
    <s v="(5 Stunden, keine Berechnung), DashboardIntegration, Erweiterung spreadsheet light Bibliothek"/>
    <m/>
    <s v="Borchard"/>
    <m/>
    <s v="4300058330"/>
    <s v="Taunus"/>
    <s v="Tanja Geiger"/>
    <s v="Roland Borchard"/>
    <x v="12"/>
  </r>
  <r>
    <x v="1834"/>
    <n v="1"/>
    <x v="69"/>
    <x v="31"/>
    <s v="Oberfläche Finetuning"/>
    <m/>
    <s v="Sdunzig"/>
    <m/>
    <s v="4300064785"/>
    <s v="Cost Calculator Regional"/>
    <s v="Claudia Herrmann"/>
    <s v="Claudia Herrmann"/>
    <x v="12"/>
  </r>
  <r>
    <x v="1834"/>
    <n v="1"/>
    <x v="56"/>
    <x v="18"/>
    <s v="Telefonmeeting"/>
    <m/>
    <s v="Pechstein"/>
    <m/>
    <s v="4300064783"/>
    <s v="Cost Calculator National"/>
    <s v="Pechstein"/>
    <s v="Marlen Pechstein"/>
    <x v="12"/>
  </r>
  <r>
    <x v="1834"/>
    <n v="1.5"/>
    <x v="56"/>
    <x v="18"/>
    <s v="Breakup Id, Funktion, Dokumentation"/>
    <m/>
    <s v="Pechstein"/>
    <m/>
    <s v="4300064783"/>
    <s v="Cost Calculator National"/>
    <s v="Pechstein"/>
    <s v="Marlen Pechstein"/>
    <x v="12"/>
  </r>
  <r>
    <x v="1835"/>
    <n v="1"/>
    <x v="52"/>
    <x v="14"/>
    <s v="Gewichtete Distribution"/>
    <m/>
    <s v="Geiger"/>
    <m/>
    <s v="4300058330"/>
    <s v="Taunus"/>
    <s v="Tanja Geiger"/>
    <s v="Roland Borchard"/>
    <x v="12"/>
  </r>
  <r>
    <x v="1835"/>
    <n v="2"/>
    <x v="74"/>
    <x v="36"/>
    <s v="erste Analyse für Umsetzung + Machbarkeit"/>
    <m/>
    <s v="Geiger"/>
    <m/>
    <s v="4300058330"/>
    <s v="Taunus"/>
    <s v="Tanja Geiger"/>
    <s v="Roland Borchard"/>
    <x v="12"/>
  </r>
  <r>
    <x v="1835"/>
    <n v="1"/>
    <x v="69"/>
    <x v="31"/>
    <s v="Reporting + abschließende Tests"/>
    <m/>
    <s v="Sdunzig"/>
    <m/>
    <s v="4300064785"/>
    <s v="Cost Calculator Regional"/>
    <s v="Claudia Herrmann"/>
    <s v="Claudia Herrmann"/>
    <x v="12"/>
  </r>
  <r>
    <x v="1835"/>
    <n v="1"/>
    <x v="51"/>
    <x v="13"/>
    <s v="Berechnungen + abschließende Tests"/>
    <m/>
    <s v="Pechstein"/>
    <m/>
    <s v="4300064783"/>
    <s v="Cost Calculator National"/>
    <s v="Pechstein"/>
    <s v="Marlen Pechstein"/>
    <x v="12"/>
  </r>
  <r>
    <x v="1835"/>
    <n v="0.5"/>
    <x v="48"/>
    <x v="10"/>
    <s v="abschließende Tests"/>
    <m/>
    <s v="Sdunzig"/>
    <m/>
    <s v="4300064785"/>
    <s v="Cost Calculator Regional"/>
    <s v="Norbert Sdunzig"/>
    <s v="Norbert Sdunzig"/>
    <x v="12"/>
  </r>
  <r>
    <x v="1835"/>
    <n v="1"/>
    <x v="56"/>
    <x v="18"/>
    <s v="abschließende Tests"/>
    <m/>
    <s v="Pechstein"/>
    <m/>
    <s v="4300064783"/>
    <s v="Cost Calculator National"/>
    <s v="Pechstein"/>
    <s v="Marlen Pechstein"/>
    <x v="12"/>
  </r>
  <r>
    <x v="1836"/>
    <n v="1"/>
    <x v="65"/>
    <x v="27"/>
    <s v="Anpassung psh-files für August Produktion"/>
    <m/>
    <s v="Propp"/>
    <m/>
    <s v="4300058330"/>
    <s v="Taunus"/>
    <s v="Julia Propp"/>
    <s v="Roland Borchard"/>
    <x v="12"/>
  </r>
  <r>
    <x v="1836"/>
    <n v="1"/>
    <x v="51"/>
    <x v="13"/>
    <s v="Bereitstellung neue Version"/>
    <m/>
    <s v="Pechstein"/>
    <m/>
    <s v="4300064783"/>
    <s v="Cost Calculator National"/>
    <s v="Pechstein"/>
    <s v="Marlen Pechstein"/>
    <x v="12"/>
  </r>
  <r>
    <x v="1836"/>
    <n v="5"/>
    <x v="65"/>
    <x v="27"/>
    <s v="Neuer Beruhigungsreport, Exklusion von Junek, Anpassung bestehender Reports"/>
    <m/>
    <s v="Propp"/>
    <m/>
    <s v="4300058330"/>
    <s v="Taunus"/>
    <s v="Julia Propp"/>
    <s v="Roland Borchard"/>
    <x v="12"/>
  </r>
  <r>
    <x v="1836"/>
    <n v="1"/>
    <x v="65"/>
    <x v="27"/>
    <s v="Neuer Beruhigungsreport, Exklusion von Junek, Anpassung bestehender Reports"/>
    <m/>
    <s v="Propp"/>
    <m/>
    <s v="4300058330"/>
    <s v="Taunus"/>
    <s v="Julia Propp"/>
    <s v="Roland Borchard"/>
    <x v="12"/>
  </r>
  <r>
    <x v="1836"/>
    <n v="1"/>
    <x v="52"/>
    <x v="14"/>
    <s v="Gewichtete Distribution"/>
    <m/>
    <s v="Geiger"/>
    <m/>
    <s v="4300058330"/>
    <s v="Taunus"/>
    <s v="Tanja Geiger"/>
    <s v="Roland Borchard"/>
    <x v="12"/>
  </r>
  <r>
    <x v="1837"/>
    <n v="1"/>
    <x v="54"/>
    <x v="16"/>
    <s v="Überarbeitung aller psh files auf Server wegen Umstrukturierung der Reportbezeichnungen"/>
    <m/>
    <s v="Geiger"/>
    <m/>
    <s v="4300058330"/>
    <s v="Powercharts"/>
    <s v="Voigt"/>
    <s v="Hema Gajjar"/>
    <x v="12"/>
  </r>
  <r>
    <x v="1837"/>
    <n v="2"/>
    <x v="65"/>
    <x v="27"/>
    <s v="Produktion August (Sonne, Schlafmarkt ausgenommen)"/>
    <m/>
    <s v="Propp"/>
    <m/>
    <s v="4300058330"/>
    <s v="Taunus"/>
    <s v="Julia Propp"/>
    <s v="Roland Borchard"/>
    <x v="12"/>
  </r>
  <r>
    <x v="1837"/>
    <n v="4"/>
    <x v="51"/>
    <x v="13"/>
    <s v="Scenario Feature"/>
    <m/>
    <s v="Pechstein"/>
    <m/>
    <s v="4300064783"/>
    <s v="Cost Calculator National"/>
    <s v="Pechstein"/>
    <s v="Marlen Pechstein"/>
    <x v="12"/>
  </r>
  <r>
    <x v="1837"/>
    <n v="1"/>
    <x v="69"/>
    <x v="31"/>
    <s v="Telefonmeeting PHS Rx Erweiterungen"/>
    <m/>
    <s v="Herrmann"/>
    <m/>
    <s v="4300064785"/>
    <s v="Cost Calculator Regional"/>
    <s v="Claudia Herrmann"/>
    <s v="Claudia Herrmann"/>
    <x v="12"/>
  </r>
  <r>
    <x v="1838"/>
    <n v="3"/>
    <x v="70"/>
    <x v="32"/>
    <s v="Anpassungen wegen neuer Gebietsstruktur + August Produktion"/>
    <m/>
    <s v="Crone"/>
    <m/>
    <s v="4300058330"/>
    <s v="Taunus"/>
    <s v="Birgit Schilly"/>
    <s v="Roland Borchard"/>
    <x v="12"/>
  </r>
  <r>
    <x v="1838"/>
    <n v="1"/>
    <x v="39"/>
    <x v="1"/>
    <s v="August Produktion Klosterfrau National"/>
    <m/>
    <s v="Crone"/>
    <m/>
    <s v="4300058330"/>
    <s v="Taunus"/>
    <s v="Birgit Schilly"/>
    <s v="Roland Borchard"/>
    <x v="12"/>
  </r>
  <r>
    <x v="1838"/>
    <n v="2"/>
    <x v="51"/>
    <x v="13"/>
    <s v="Szenario Kalkulation"/>
    <m/>
    <s v="Pechstein"/>
    <m/>
    <s v="4300064783"/>
    <s v="Cost Calculator National"/>
    <s v="Pechstein"/>
    <s v="Marlen Pechstein"/>
    <x v="12"/>
  </r>
  <r>
    <x v="1838"/>
    <n v="7"/>
    <x v="65"/>
    <x v="27"/>
    <s v="Anpassungen Sonnenmarkt + Zink"/>
    <m/>
    <s v="Propp"/>
    <s v="8 Templates betroffen"/>
    <s v="4300058330"/>
    <s v="Taunus"/>
    <s v="Julia Propp"/>
    <s v="Roland Borchard"/>
    <x v="12"/>
  </r>
  <r>
    <x v="1838"/>
    <n v="3"/>
    <x v="69"/>
    <x v="31"/>
    <s v="diverse Änderungsanforderungen für Oberfläche"/>
    <m/>
    <s v="Herrmann"/>
    <m/>
    <s v="4300064785"/>
    <s v="Cost Calculator Regional"/>
    <s v="Claudia Herrmann"/>
    <s v="Claudia Herrmann"/>
    <x v="12"/>
  </r>
  <r>
    <x v="1839"/>
    <n v="3.5"/>
    <x v="71"/>
    <x v="33"/>
    <s v="Reporterstellung"/>
    <m/>
    <s v="Salwa-Emmel"/>
    <m/>
    <s v="4300058330"/>
    <s v="Taunus"/>
    <s v="Salwa-Emmel"/>
    <s v="Roland Borchard"/>
    <x v="12"/>
  </r>
  <r>
    <x v="1839"/>
    <n v="1"/>
    <x v="48"/>
    <x v="10"/>
    <s v="Line Pricing"/>
    <m/>
    <s v="Sdunzig"/>
    <m/>
    <s v="4300064785"/>
    <s v="Cost Calculator Regional"/>
    <s v="Norbert Sdunzig"/>
    <s v="Norbert Sdunzig"/>
    <x v="12"/>
  </r>
  <r>
    <x v="1839"/>
    <n v="1"/>
    <x v="51"/>
    <x v="13"/>
    <s v="Szenario Kalkulation"/>
    <m/>
    <s v="Pechstein"/>
    <m/>
    <s v="4300064783"/>
    <s v="Cost Calculator National"/>
    <s v="Pechstein"/>
    <s v="Marlen Pechstein"/>
    <x v="12"/>
  </r>
  <r>
    <x v="1839"/>
    <n v="6"/>
    <x v="65"/>
    <x v="27"/>
    <s v="Anpassungen für Distributionsberechnungen Sonnenmarkt"/>
    <m/>
    <s v="Propp"/>
    <s v="aufwendige Optimierung für Distributionen"/>
    <s v="4300058330"/>
    <s v="Taunus"/>
    <s v="Julia Propp"/>
    <s v="Roland Borchard"/>
    <x v="12"/>
  </r>
  <r>
    <x v="1839"/>
    <n v="2"/>
    <x v="66"/>
    <x v="28"/>
    <s v="August Produktion "/>
    <m/>
    <s v="Crone"/>
    <m/>
    <s v="4300058330"/>
    <s v="Taunus"/>
    <s v="Tanja Geiger"/>
    <s v="Roland Borchard"/>
    <x v="12"/>
  </r>
  <r>
    <x v="1839"/>
    <n v="2"/>
    <x v="56"/>
    <x v="18"/>
    <s v="MPTs Dokumentation + Mail an Frau Pechstein"/>
    <m/>
    <s v="Pechstein"/>
    <m/>
    <s v="4300064783"/>
    <s v="Cost Calculator National"/>
    <s v="Pechstein"/>
    <s v="Marlen Pechstein"/>
    <x v="12"/>
  </r>
  <r>
    <x v="1840"/>
    <n v="1"/>
    <x v="63"/>
    <x v="25"/>
    <s v="Erweiterug um neue Produkte"/>
    <m/>
    <s v="Propp"/>
    <m/>
    <s v="4300058330"/>
    <s v="Taunus"/>
    <s v="Tanja Geiger"/>
    <s v="Roland Borchard"/>
    <x v="12"/>
  </r>
  <r>
    <x v="1840"/>
    <n v="0.5"/>
    <x v="75"/>
    <x v="37"/>
    <s v="Telefonmeeting Prototyp Datenfeed"/>
    <m/>
    <s v="Hanke / Borchard"/>
    <m/>
    <s v="4300058330"/>
    <s v="CH Pivot"/>
    <s v="Roland Borchard"/>
    <s v="Roland Borchard"/>
    <x v="12"/>
  </r>
  <r>
    <x v="1840"/>
    <n v="4"/>
    <x v="67"/>
    <x v="29"/>
    <s v="Datenimport Ermittlung Anzahl matchbarer Produkte"/>
    <m/>
    <s v="Buteweg"/>
    <m/>
    <s v="4300058330"/>
    <s v="Taunus"/>
    <s v="Tanja Geiger"/>
    <s v="Roland Borchard"/>
    <x v="12"/>
  </r>
  <r>
    <x v="1840"/>
    <n v="1"/>
    <x v="69"/>
    <x v="31"/>
    <s v="Versionierung"/>
    <m/>
    <s v="Herrmann"/>
    <m/>
    <s v="4300064785"/>
    <s v="Cost Calculator Regional"/>
    <s v="Claudia Herrmann"/>
    <s v="Claudia Herrmann"/>
    <x v="12"/>
  </r>
  <r>
    <x v="1840"/>
    <n v="0.5"/>
    <x v="56"/>
    <x v="18"/>
    <s v="Runden Problematik, Doku + Mail an Frau Pechstein"/>
    <m/>
    <s v="Pechstein"/>
    <m/>
    <s v="4300064783"/>
    <s v="Cost Calculator National"/>
    <s v="Pechstein"/>
    <s v="Marlen Pechstein"/>
    <x v="12"/>
  </r>
  <r>
    <x v="1841"/>
    <n v="1"/>
    <x v="69"/>
    <x v="31"/>
    <s v="Rabatt Funktion Bemerkungsfelder entfernen"/>
    <m/>
    <s v="Herrmann"/>
    <m/>
    <s v="4300064785"/>
    <s v="Cost Calculator Regional"/>
    <s v="Claudia Herrmann"/>
    <s v="Claudia Herrmann"/>
    <x v="12"/>
  </r>
  <r>
    <x v="1841"/>
    <n v="2"/>
    <x v="75"/>
    <x v="37"/>
    <s v="Prototyp Datenfeed"/>
    <m/>
    <s v="Hanke"/>
    <m/>
    <s v="4300058330"/>
    <s v="CH Pivot"/>
    <s v="Roland Borchard"/>
    <s v="Roland Borchard"/>
    <x v="12"/>
  </r>
  <r>
    <x v="1842"/>
    <n v="3"/>
    <x v="75"/>
    <x v="37"/>
    <s v="Prototyp Datenfeed"/>
    <m/>
    <s v="Hanke"/>
    <m/>
    <s v="4300058330"/>
    <s v="CH Pivot"/>
    <s v="Roland Borchard"/>
    <s v="Roland Borchard"/>
    <x v="12"/>
  </r>
  <r>
    <x v="1843"/>
    <n v="5"/>
    <x v="65"/>
    <x v="27"/>
    <s v="Anpassungen restliche Sonnenmärkte + Produktion"/>
    <m/>
    <s v="Propp"/>
    <m/>
    <s v="4300058330"/>
    <s v="Taunus"/>
    <s v="Julia Propp"/>
    <s v="Roland Borchard"/>
    <x v="12"/>
  </r>
  <r>
    <x v="1843"/>
    <n v="1"/>
    <x v="67"/>
    <x v="29"/>
    <s v="Telefonmeeting"/>
    <m/>
    <s v="Buteweg / Despotovic"/>
    <m/>
    <s v="4300058330"/>
    <s v="Taunus"/>
    <s v="Tanja Geiger"/>
    <s v="Roland Borchard"/>
    <x v="12"/>
  </r>
  <r>
    <x v="1843"/>
    <n v="3"/>
    <x v="65"/>
    <x v="27"/>
    <s v="Neuer Schlaf- und Beruhigungsmarkt Phyto/Nicht Phyto"/>
    <m/>
    <s v="Propp"/>
    <m/>
    <s v="4300058330"/>
    <s v="Taunus"/>
    <s v="Julia Propp"/>
    <s v="Roland Borchard"/>
    <x v="12"/>
  </r>
  <r>
    <x v="1844"/>
    <n v="1"/>
    <x v="40"/>
    <x v="2"/>
    <s v="Support Reporterstellung 201408"/>
    <m/>
    <s v="Despotovic"/>
    <m/>
    <s v="4300058328"/>
    <s v="PP2"/>
    <s v="Sandra Despotovic"/>
    <s v="Roland Borchard"/>
    <x v="12"/>
  </r>
  <r>
    <x v="1844"/>
    <n v="0"/>
    <x v="39"/>
    <x v="1"/>
    <s v="Bugfix: Prop. Klosterfrau National gew. Distrib. (1 Stunde)"/>
    <m/>
    <s v="Crone"/>
    <m/>
    <s v="4300058330"/>
    <s v="Taunus"/>
    <s v="Birgit Schilly"/>
    <s v="Roland Borchard"/>
    <x v="12"/>
  </r>
  <r>
    <x v="1844"/>
    <n v="4"/>
    <x v="65"/>
    <x v="27"/>
    <s v="Neuer Schlaf- und Beruhigungsmarkt report MDX"/>
    <m/>
    <s v="Propp"/>
    <m/>
    <s v="4300058330"/>
    <s v="Taunus"/>
    <s v="Julia Propp"/>
    <s v="Roland Borchard"/>
    <x v="12"/>
  </r>
  <r>
    <x v="1844"/>
    <n v="3"/>
    <x v="65"/>
    <x v="27"/>
    <s v="Neuer Schlaf- und Beruhigungsmarkt Optimierung für Distri Berechnungen"/>
    <m/>
    <s v="Propp"/>
    <s v="auch viele Restmärkte, die eine Optimierung erfordern"/>
    <s v="4300058330"/>
    <s v="Taunus"/>
    <s v="Julia Propp"/>
    <s v="Roland Borchard"/>
    <x v="12"/>
  </r>
  <r>
    <x v="1844"/>
    <n v="1"/>
    <x v="69"/>
    <x v="31"/>
    <s v="3 verschiedene Farbentwürfe vorbereitet"/>
    <m/>
    <s v="Herrmann"/>
    <m/>
    <s v="4300064785"/>
    <s v="Cost Calculator Regional"/>
    <s v="Claudia Herrmann"/>
    <s v="Claudia Herrmann"/>
    <x v="12"/>
  </r>
  <r>
    <x v="1845"/>
    <n v="4"/>
    <x v="65"/>
    <x v="27"/>
    <s v="Neuer Schlaf- und Beruhigungsmarkt Phyto/Nicht Phyto"/>
    <m/>
    <s v="Propp"/>
    <m/>
    <s v="4300058330"/>
    <s v="Taunus"/>
    <s v="Julia Propp"/>
    <s v="Roland Borchard"/>
    <x v="12"/>
  </r>
  <r>
    <x v="1845"/>
    <n v="4"/>
    <x v="75"/>
    <x v="37"/>
    <s v="Prototyp Datenfeed"/>
    <m/>
    <s v="Hanke"/>
    <m/>
    <s v="4300058330"/>
    <s v="CH Pivot"/>
    <s v="Roland Borchard"/>
    <s v="Roland Borchard"/>
    <x v="12"/>
  </r>
  <r>
    <x v="1846"/>
    <n v="3"/>
    <x v="75"/>
    <x v="37"/>
    <s v="Prototyp Datenfeed"/>
    <m/>
    <s v="Hanke"/>
    <m/>
    <s v="4300058330"/>
    <s v="CH Pivot"/>
    <s v="Roland Borchard"/>
    <s v="Roland Borchard"/>
    <x v="12"/>
  </r>
  <r>
    <x v="1846"/>
    <n v="2"/>
    <x v="70"/>
    <x v="32"/>
    <s v="Regio Reports Umsatz Absatz Detail Variante"/>
    <m/>
    <s v="Crone"/>
    <m/>
    <s v="4300058330"/>
    <s v="Taunus"/>
    <s v="Birgit Schilly"/>
    <s v="Roland Borchard"/>
    <x v="12"/>
  </r>
  <r>
    <x v="1847"/>
    <n v="5"/>
    <x v="67"/>
    <x v="29"/>
    <s v="erste Analyse WorkTable Matching"/>
    <m/>
    <s v="Buteweg / Despotovic"/>
    <m/>
    <s v="4300058330"/>
    <s v="Taunus"/>
    <s v="Tanja Geiger"/>
    <s v="Roland Borchard"/>
    <x v="12"/>
  </r>
  <r>
    <x v="1847"/>
    <n v="3"/>
    <x v="75"/>
    <x v="37"/>
    <s v="Prototyp Datenfeed"/>
    <m/>
    <s v="Hanke"/>
    <m/>
    <s v="4300058330"/>
    <s v="CH Pivot"/>
    <s v="Roland Borchard"/>
    <s v="Roland Borchard"/>
    <x v="12"/>
  </r>
  <r>
    <x v="1848"/>
    <n v="6"/>
    <x v="75"/>
    <x v="37"/>
    <s v="Prototyp Datenfeed"/>
    <m/>
    <s v="Hanke"/>
    <m/>
    <s v="4300058330"/>
    <s v="CH Pivot"/>
    <s v="Roland Borchard"/>
    <s v="Roland Borchard"/>
    <x v="12"/>
  </r>
  <r>
    <x v="1848"/>
    <n v="1"/>
    <x v="75"/>
    <x v="37"/>
    <s v="Prototyp Datenfeed Telefonmeeting"/>
    <m/>
    <s v="Hanke / Borchard"/>
    <m/>
    <s v="4300058330"/>
    <s v="CH Pivot"/>
    <s v="Roland Borchard"/>
    <s v="Roland Borchard"/>
    <x v="12"/>
  </r>
  <r>
    <x v="1848"/>
    <n v="1"/>
    <x v="69"/>
    <x v="31"/>
    <s v="Oberfläche"/>
    <m/>
    <s v="Sdunzig"/>
    <m/>
    <s v="4300064785"/>
    <s v="Cost Calculator Regional"/>
    <s v="Claudia Herrmann"/>
    <s v="Claudia Herrmann"/>
    <x v="12"/>
  </r>
  <r>
    <x v="1848"/>
    <n v="1"/>
    <x v="67"/>
    <x v="29"/>
    <s v="zweite Analyse WorkTable Matching"/>
    <m/>
    <s v="Buteweg / Despotovic"/>
    <m/>
    <s v="4300058330"/>
    <s v="Taunus"/>
    <s v="Tanja Geiger"/>
    <s v="Roland Borchard"/>
    <x v="12"/>
  </r>
  <r>
    <x v="1849"/>
    <n v="1"/>
    <x v="67"/>
    <x v="29"/>
    <s v="dritte Analyse WorkTable Matching"/>
    <m/>
    <s v="Buteweg / Despotovic"/>
    <m/>
    <s v="4300058330"/>
    <s v="Taunus"/>
    <s v="Tanja Geiger"/>
    <s v="Roland Borchard"/>
    <x v="12"/>
  </r>
  <r>
    <x v="1849"/>
    <n v="7"/>
    <x v="75"/>
    <x v="37"/>
    <s v="Prototyp DatenFeed, Relative Perioden, Relative Kalkulierte Perioden"/>
    <m/>
    <s v="Hanke / Borchard"/>
    <s v="zusätzlich Troubleshooting wegen instabilem SSAS OLE DB Treiber. Tritt nur in Entwicklungsumgebung 32 bit auf. Deployed nicht mehr"/>
    <s v="4300058330"/>
    <s v="CH Pivot"/>
    <s v="Roland Borchard"/>
    <s v="Roland Borchard"/>
    <x v="12"/>
  </r>
  <r>
    <x v="1850"/>
    <n v="2"/>
    <x v="75"/>
    <x v="37"/>
    <s v="Prototyp DatenFeed, Support und Anpassungen Relative Perioden, Relative Kalkulierte Perioden"/>
    <m/>
    <s v="Hanke / Borchard"/>
    <m/>
    <s v="4300058330"/>
    <s v="CH Pivot"/>
    <s v="Roland Borchard"/>
    <s v="Roland Borchard"/>
    <x v="12"/>
  </r>
  <r>
    <x v="1850"/>
    <n v="2"/>
    <x v="69"/>
    <x v="31"/>
    <s v="Test und Aufnahme und Abklärung weiterer Anforderungen"/>
    <m/>
    <s v="Herrmann"/>
    <s v="Anzahl Linien mit mehreren Perioden, Beispielrechnungen"/>
    <s v="4300064785"/>
    <s v="Cost Calculator Regional"/>
    <s v="Claudia Herrmann"/>
    <s v="Claudia Herrmann"/>
    <x v="12"/>
  </r>
  <r>
    <x v="1850"/>
    <n v="0.5"/>
    <x v="46"/>
    <x v="8"/>
    <s v="Anfrage SSRS Log Tabelle, Mail"/>
    <m/>
    <s v="Borchard S."/>
    <m/>
    <s v="4300042018"/>
    <s v="Berichtsbesonderheiten"/>
    <s v="Sabine Borchard"/>
    <s v="Sabine Borchard"/>
    <x v="12"/>
  </r>
  <r>
    <x v="1850"/>
    <n v="2"/>
    <x v="70"/>
    <x v="32"/>
    <s v="MDX Anpassungen"/>
    <m/>
    <s v="Schoening"/>
    <m/>
    <s v="4300058330"/>
    <s v="Taunus"/>
    <s v="Birgit Schilly"/>
    <s v="Roland Borchard"/>
    <x v="12"/>
  </r>
  <r>
    <x v="1850"/>
    <n v="2"/>
    <x v="51"/>
    <x v="13"/>
    <s v="Szenario Feature, Test + Anpassungen"/>
    <m/>
    <s v="Pechstein"/>
    <m/>
    <s v="4300064783"/>
    <s v="Cost Calculator National"/>
    <s v="Pechstein"/>
    <s v="Marlen Pechstein"/>
    <x v="12"/>
  </r>
  <r>
    <x v="1851"/>
    <n v="1"/>
    <x v="41"/>
    <x v="3"/>
    <s v="Support"/>
    <m/>
    <s v="Paul"/>
    <m/>
    <s v="zu klären"/>
    <s v="CHA Calculator"/>
    <s v="Marlies Spiegel "/>
    <s v="Marlies Spiegel"/>
    <x v="12"/>
  </r>
  <r>
    <x v="1851"/>
    <n v="7"/>
    <x v="67"/>
    <x v="29"/>
    <s v="Datenbankimportautomatisierung"/>
    <m/>
    <s v="Buteweg"/>
    <m/>
    <s v="4300058330"/>
    <s v="Taunus"/>
    <s v="Tanja Geiger"/>
    <s v="Roland Borchard"/>
    <x v="12"/>
  </r>
  <r>
    <x v="1852"/>
    <n v="3"/>
    <x v="65"/>
    <x v="27"/>
    <s v="Beruhingungsmarkt, Baldriparan für Nicht Phyto entfernt + Distri Werte angepasst"/>
    <m/>
    <s v="Propp"/>
    <s v="zeitaufwendige Tests wegen Distriwerten"/>
    <s v="4300058330"/>
    <s v="Taunus"/>
    <s v="Julia Propp"/>
    <s v="Roland Borchard"/>
    <x v="12"/>
  </r>
  <r>
    <x v="1853"/>
    <n v="8"/>
    <x v="67"/>
    <x v="29"/>
    <s v="Datenbankimportautomatisierung"/>
    <m/>
    <s v="Buteweg"/>
    <m/>
    <s v="4300058330"/>
    <s v="Taunus"/>
    <s v="Tanja Geiger"/>
    <s v="Roland Borchard"/>
    <x v="12"/>
  </r>
  <r>
    <x v="1854"/>
    <n v="8"/>
    <x v="67"/>
    <x v="29"/>
    <s v="Cubeerstellung Quickview"/>
    <m/>
    <s v="Buteweg"/>
    <m/>
    <s v="4300058330"/>
    <s v="Taunus"/>
    <s v="Tanja Geiger"/>
    <s v="Roland Borchard"/>
    <x v="12"/>
  </r>
  <r>
    <x v="1855"/>
    <n v="8"/>
    <x v="67"/>
    <x v="29"/>
    <s v="Cubeerstellung Quickview + erste Tests auf Datenkonsistenz mit Vorlage"/>
    <m/>
    <s v="Buteweg"/>
    <m/>
    <s v="4300058330"/>
    <s v="Taunus"/>
    <s v="Tanja Geiger"/>
    <s v="Roland Borchard"/>
    <x v="12"/>
  </r>
  <r>
    <x v="1856"/>
    <n v="1"/>
    <x v="51"/>
    <x v="13"/>
    <s v="Telko PHS + NPA Kalkulator"/>
    <m/>
    <s v="Pechstein"/>
    <m/>
    <s v="4300064783"/>
    <s v="Cost Calculator National"/>
    <s v="Pechstein"/>
    <s v="Marlen Pechstein"/>
    <x v="12"/>
  </r>
  <r>
    <x v="1856"/>
    <n v="1"/>
    <x v="75"/>
    <x v="37"/>
    <s v="Telko Boehringer + Pfizer, weitere Vorgehensweise"/>
    <m/>
    <s v="Hanke"/>
    <m/>
    <s v="4300058330"/>
    <s v="CH Pivot"/>
    <s v="Roland Borchard"/>
    <s v="Roland Borchard"/>
    <x v="12"/>
  </r>
  <r>
    <x v="1856"/>
    <n v="2"/>
    <x v="56"/>
    <x v="18"/>
    <s v="Test und Bereitstellung neue Version"/>
    <m/>
    <s v="Pechstein"/>
    <m/>
    <s v="4300064783"/>
    <s v="Cost Calculator National"/>
    <s v="Pechstein"/>
    <s v="Marlen Pechstein"/>
    <x v="12"/>
  </r>
  <r>
    <x v="1856"/>
    <n v="4"/>
    <x v="67"/>
    <x v="29"/>
    <s v="Cubeerstellung Quickview + weitere Tests auf Datenkonsistenz mit Vorlage"/>
    <m/>
    <s v="Buteweg"/>
    <m/>
    <s v="4300058330"/>
    <s v="Taunus"/>
    <s v="Tanja Geiger"/>
    <s v="Roland Borchard"/>
    <x v="12"/>
  </r>
  <r>
    <x v="1857"/>
    <n v="6"/>
    <x v="67"/>
    <x v="29"/>
    <s v="Klosterfrau QuickView Cube Optimierung und Fertigstellung"/>
    <m/>
    <s v="Buteweg"/>
    <m/>
    <s v="4300058330"/>
    <s v="Taunus"/>
    <s v="Tanja Geiger"/>
    <s v="Roland Borchard"/>
    <x v="12"/>
  </r>
  <r>
    <x v="1857"/>
    <n v="2"/>
    <x v="51"/>
    <x v="13"/>
    <s v="Versionierung"/>
    <m/>
    <s v="Pechstein"/>
    <m/>
    <s v="4300064783"/>
    <s v="Cost Calculator National"/>
    <s v="Pechstein"/>
    <s v="Marlen Pechstein"/>
    <x v="12"/>
  </r>
  <r>
    <x v="1858"/>
    <n v="3"/>
    <x v="65"/>
    <x v="27"/>
    <s v="PTR Regions Mdxe"/>
    <m/>
    <s v="Propp"/>
    <m/>
    <s v="4300058330"/>
    <s v="Taunus"/>
    <s v="Julia Propp"/>
    <s v="Roland Borchard"/>
    <x v="12"/>
  </r>
  <r>
    <x v="1858"/>
    <n v="4"/>
    <x v="67"/>
    <x v="29"/>
    <s v="Klosterfrau QuickView Anpassung numerische als exakt numerisch, Rundungsprobleme"/>
    <m/>
    <s v="Buteweg"/>
    <m/>
    <s v="4300058330"/>
    <s v="Taunus"/>
    <s v="Tanja Geiger"/>
    <s v="Roland Borchard"/>
    <x v="12"/>
  </r>
  <r>
    <x v="1859"/>
    <n v="2"/>
    <x v="65"/>
    <x v="27"/>
    <s v="PTR Regions Mdxe"/>
    <m/>
    <s v="Propp"/>
    <m/>
    <s v="4300058330"/>
    <s v="Taunus"/>
    <s v="Julia Propp"/>
    <s v="Roland Borchard"/>
    <x v="12"/>
  </r>
  <r>
    <x v="1859"/>
    <n v="2"/>
    <x v="67"/>
    <x v="29"/>
    <s v="Klosterfrau QuickView Datenabgleich Dataview QuickView"/>
    <m/>
    <s v="Buteweg"/>
    <m/>
    <s v="4300058330"/>
    <s v="Taunus"/>
    <s v="Tanja Geiger"/>
    <s v="Roland Borchard"/>
    <x v="12"/>
  </r>
  <r>
    <x v="1859"/>
    <n v="4"/>
    <x v="75"/>
    <x v="37"/>
    <s v="Ost West Integration"/>
    <m/>
    <s v="Hanke"/>
    <m/>
    <s v="4300058330"/>
    <s v="CH Pivot"/>
    <s v="Roland Borchard"/>
    <s v="Roland Borchard"/>
    <x v="12"/>
  </r>
  <r>
    <x v="1860"/>
    <n v="8"/>
    <x v="39"/>
    <x v="1"/>
    <s v="dynamische Seitenumbrüche für print, Klosterfrau National"/>
    <m/>
    <s v="Crone"/>
    <m/>
    <s v="4300058330"/>
    <s v="Taunus"/>
    <s v="Birgit Schilly"/>
    <s v="Roland Borchard"/>
    <x v="12"/>
  </r>
  <r>
    <x v="1861"/>
    <n v="3"/>
    <x v="67"/>
    <x v="29"/>
    <s v="Fertigstellung Aggregierung von Handelmarken, Analyse minimaler Abweichungen"/>
    <m/>
    <s v="Buteweg"/>
    <m/>
    <s v="4300058330"/>
    <s v="Taunus"/>
    <s v="Tanja Geiger"/>
    <s v="Roland Borchard"/>
    <x v="12"/>
  </r>
  <r>
    <x v="1861"/>
    <n v="1"/>
    <x v="55"/>
    <x v="17"/>
    <s v="Anpassung an neue Franchisen Attribute + Produktion"/>
    <m/>
    <s v="Salwa-Emmel"/>
    <m/>
    <s v="4300058330"/>
    <s v="Taunus"/>
    <s v="Tanja Geiger"/>
    <s v="Roland Borchard"/>
    <x v="12"/>
  </r>
  <r>
    <x v="1861"/>
    <n v="2"/>
    <x v="65"/>
    <x v="27"/>
    <s v="Produktion September, National, Micro,  zusammen 32 Märkte"/>
    <m/>
    <s v="Propp"/>
    <m/>
    <s v="4300058330"/>
    <s v="Taunus"/>
    <s v="Julia Propp"/>
    <s v="Roland Borchard"/>
    <x v="12"/>
  </r>
  <r>
    <x v="1861"/>
    <n v="2"/>
    <x v="55"/>
    <x v="17"/>
    <s v="Produktion September Daten, Vichy, LRP + Distri"/>
    <m/>
    <s v="Salwa-Emmel"/>
    <m/>
    <s v="4300058330"/>
    <s v="Taunus"/>
    <s v="Tanja Geiger"/>
    <s v="Roland Borchard"/>
    <x v="12"/>
  </r>
  <r>
    <x v="1862"/>
    <n v="4"/>
    <x v="75"/>
    <x v="37"/>
    <s v="Ost West Integration"/>
    <m/>
    <s v="Hanke"/>
    <m/>
    <s v="4300058330"/>
    <s v="CH Pivot"/>
    <s v="Roland Borchard"/>
    <s v="Roland Borchard"/>
    <x v="12"/>
  </r>
  <r>
    <x v="1863"/>
    <n v="4"/>
    <x v="75"/>
    <x v="37"/>
    <s v="DatafeedAutomation, Unterteilung der MDX Abfrage pro Periode"/>
    <m/>
    <s v="Hanke"/>
    <m/>
    <s v="4300058330"/>
    <s v="CH Pivot"/>
    <s v="Roland Borchard"/>
    <s v="Roland Borchard"/>
    <x v="12"/>
  </r>
  <r>
    <x v="1864"/>
    <n v="6"/>
    <x v="75"/>
    <x v="37"/>
    <s v="Integration Einkauf, Einkauf direkt + Einkauf indirekt, Direkteinkaufsanteil, Anpassung Ost West hierarchisch"/>
    <m/>
    <s v="Hanke"/>
    <m/>
    <s v="4300058330"/>
    <s v="CH Pivot"/>
    <s v="Roland Borchard"/>
    <s v="Roland Borchard"/>
    <x v="12"/>
  </r>
  <r>
    <x v="1864"/>
    <n v="2"/>
    <x v="67"/>
    <x v="29"/>
    <s v="MDX Erstellung für Report"/>
    <m/>
    <s v="Buteweg"/>
    <m/>
    <s v="4300058330"/>
    <s v="Taunus"/>
    <s v="Tanja Geiger"/>
    <s v="Roland Borchard"/>
    <x v="12"/>
  </r>
  <r>
    <x v="1865"/>
    <n v="1"/>
    <x v="65"/>
    <x v="27"/>
    <s v="Stada Ptr Regions Gesamtmarktlinien"/>
    <m/>
    <s v="Propp"/>
    <m/>
    <s v="4300058330"/>
    <s v="Taunus"/>
    <s v="Julia Propp"/>
    <s v="Roland Borchard"/>
    <x v="12"/>
  </r>
  <r>
    <x v="1865"/>
    <n v="2"/>
    <x v="75"/>
    <x v="37"/>
    <s v="Änderung Marktanteilsberechnung Umsatz, Absatz"/>
    <m/>
    <s v="Hanke"/>
    <m/>
    <s v="4300058330"/>
    <s v="CH Pivot"/>
    <s v="Roland Borchard"/>
    <s v="Roland Borchard"/>
    <x v="12"/>
  </r>
  <r>
    <x v="1865"/>
    <n v="1"/>
    <x v="75"/>
    <x v="37"/>
    <s v="dynamische Erkennung Aktueller Monat in Datenfeedautomatisierung"/>
    <m/>
    <s v="Hanke"/>
    <m/>
    <s v="4300058330"/>
    <s v="CH Pivot"/>
    <s v="Roland Borchard"/>
    <s v="Roland Borchard"/>
    <x v="12"/>
  </r>
  <r>
    <x v="1865"/>
    <n v="3"/>
    <x v="72"/>
    <x v="34"/>
    <s v="Erstellung Request File + DataFeed Automation"/>
    <m/>
    <s v="Hanke"/>
    <m/>
    <s v="4300058330"/>
    <s v="CH Pivot"/>
    <s v="Roland Borchard"/>
    <s v="Roland Borchard"/>
    <x v="12"/>
  </r>
  <r>
    <x v="1866"/>
    <n v="8"/>
    <x v="72"/>
    <x v="34"/>
    <s v="DataFeed Automation, Relative Perioden, Erstellung September Datenfeed"/>
    <m/>
    <s v="Hanke"/>
    <m/>
    <s v="4300058330"/>
    <s v="CH Pivot"/>
    <s v="Roland Borchard"/>
    <s v="Roland Borchard"/>
    <x v="12"/>
  </r>
  <r>
    <x v="1867"/>
    <n v="2"/>
    <x v="67"/>
    <x v="29"/>
    <s v="Brand Matching September"/>
    <m/>
    <s v="Buteweg"/>
    <m/>
    <s v="4300058330"/>
    <s v="Taunus"/>
    <s v="Tanja Geiger"/>
    <s v="Roland Borchard"/>
    <x v="12"/>
  </r>
  <r>
    <x v="1868"/>
    <n v="3"/>
    <x v="67"/>
    <x v="29"/>
    <s v="Reporterstellung"/>
    <m/>
    <s v="Buteweg"/>
    <m/>
    <s v="4300058330"/>
    <s v="Taunus"/>
    <s v="Tanja Geiger"/>
    <s v="Roland Borchard"/>
    <x v="12"/>
  </r>
  <r>
    <x v="1868"/>
    <n v="2"/>
    <x v="56"/>
    <x v="18"/>
    <s v="Reporterstellung"/>
    <m/>
    <s v="Pechstein"/>
    <m/>
    <s v="4300064783"/>
    <s v="Cost Calculator National"/>
    <s v="Pechstein"/>
    <s v="Marlen Pechstein"/>
    <x v="12"/>
  </r>
  <r>
    <x v="1869"/>
    <n v="8"/>
    <x v="67"/>
    <x v="29"/>
    <s v="Reporterstellung Hersteller"/>
    <m/>
    <s v="Buteweg"/>
    <m/>
    <s v="4300058330"/>
    <s v="Taunus"/>
    <s v="Tanja Geiger"/>
    <s v="Roland Borchard"/>
    <x v="12"/>
  </r>
  <r>
    <x v="1870"/>
    <n v="8"/>
    <x v="67"/>
    <x v="29"/>
    <s v="Reporterstellung Marken"/>
    <m/>
    <s v="Buteweg"/>
    <m/>
    <s v="4300058330"/>
    <s v="Taunus"/>
    <s v="Tanja Geiger"/>
    <s v="Roland Borchard"/>
    <x v="12"/>
  </r>
  <r>
    <x v="1871"/>
    <n v="8"/>
    <x v="67"/>
    <x v="29"/>
    <s v="Reporterstellung Marken Detail"/>
    <m/>
    <s v="Buteweg"/>
    <m/>
    <s v="4300058330"/>
    <s v="Taunus"/>
    <s v="Tanja Geiger"/>
    <s v="Roland Borchard"/>
    <x v="12"/>
  </r>
  <r>
    <x v="1872"/>
    <n v="4"/>
    <x v="67"/>
    <x v="29"/>
    <s v="Reporterstellung Marken Detail"/>
    <m/>
    <s v="Buteweg"/>
    <m/>
    <s v="4300058330"/>
    <s v="Taunus"/>
    <s v="Tanja Geiger"/>
    <s v="Roland Borchard"/>
    <x v="12"/>
  </r>
  <r>
    <x v="1872"/>
    <n v="1"/>
    <x v="56"/>
    <x v="18"/>
    <s v="Telefon Meeting offene Punkte"/>
    <m/>
    <s v="Pechstein"/>
    <m/>
    <s v="4300064783"/>
    <s v="Cost Calculator National"/>
    <s v="Pechstein"/>
    <s v="Marlen Pechstein"/>
    <x v="12"/>
  </r>
  <r>
    <x v="1873"/>
    <n v="1"/>
    <x v="75"/>
    <x v="37"/>
    <s v="Telefonmeeting Boehringer + Pfizer Distribution"/>
    <m/>
    <s v="Hanke"/>
    <m/>
    <s v="4300058330"/>
    <s v="CH Pivot"/>
    <s v="Roland Borchard"/>
    <s v="Roland Borchard"/>
    <x v="12"/>
  </r>
  <r>
    <x v="1873"/>
    <n v="1"/>
    <x v="75"/>
    <x v="37"/>
    <s v="Telefonmeeting Boehringer + Pfizer Distribution"/>
    <m/>
    <s v="Hanke"/>
    <m/>
    <s v="4300058330"/>
    <s v="CH Pivot"/>
    <s v="Roland Borchard"/>
    <s v="Roland Borchard"/>
    <x v="12"/>
  </r>
  <r>
    <x v="1873"/>
    <n v="4"/>
    <x v="67"/>
    <x v="29"/>
    <s v="Weleda Detaildaten auf ProdPack und Monatsebene zwecks Datenvergleich"/>
    <m/>
    <s v="Buteweg"/>
    <s v="Datenrundung"/>
    <s v="4300058330"/>
    <s v="Taunus"/>
    <s v="Tanja Geiger"/>
    <s v="Roland Borchard"/>
    <x v="12"/>
  </r>
  <r>
    <x v="1874"/>
    <n v="8"/>
    <x v="67"/>
    <x v="29"/>
    <s v="Anpassung alle Reports: Topbrands pro Kanal,  zusätzliche Spalten Marktanteil, Marktanteilsveränderung alle Reports"/>
    <m/>
    <s v="Buteweg"/>
    <m/>
    <s v="4300058330"/>
    <s v="Taunus"/>
    <s v="Tanja Geiger"/>
    <s v="Roland Borchard"/>
    <x v="12"/>
  </r>
  <r>
    <x v="1875"/>
    <n v="2"/>
    <x v="40"/>
    <x v="2"/>
    <s v="Besprechung Frankfurt Projektplanung und weitere Vorgehensweise"/>
    <m/>
    <s v="Borchard"/>
    <m/>
    <s v="4300058328"/>
    <s v="PP2"/>
    <s v="Sandra Despotovic"/>
    <s v="Roland Borchard"/>
    <x v="12"/>
  </r>
  <r>
    <x v="1875"/>
    <n v="0.5"/>
    <x v="75"/>
    <x v="37"/>
    <s v="Besprechung Powerpivot, weitere Vorgehensweise"/>
    <m/>
    <s v="Hanke"/>
    <m/>
    <s v="4300058330"/>
    <s v="CH Pivot"/>
    <s v="Roland Borchard"/>
    <s v="Roland Borchard"/>
    <x v="12"/>
  </r>
  <r>
    <x v="1875"/>
    <n v="1"/>
    <x v="40"/>
    <x v="2"/>
    <s v="Marktliste Alle Kunden 201409"/>
    <m/>
    <s v="Burger"/>
    <m/>
    <s v="4300058328"/>
    <s v="PP2"/>
    <s v="Sandra Despotovic"/>
    <s v="Roland Borchard"/>
    <x v="12"/>
  </r>
  <r>
    <x v="1875"/>
    <n v="1.5"/>
    <x v="67"/>
    <x v="29"/>
    <s v="Besprechung Frankfurt Projektplanung und weitere Vorgehensweise"/>
    <m/>
    <s v="Buteweg"/>
    <m/>
    <s v="4300058330"/>
    <s v="Taunus"/>
    <s v="Tanja Geiger"/>
    <s v="Roland Borchard"/>
    <x v="12"/>
  </r>
  <r>
    <x v="1876"/>
    <n v="8"/>
    <x v="72"/>
    <x v="34"/>
    <s v="Powerpivot Pfizer Distributionen automatischer DateFeed"/>
    <m/>
    <s v="Hanke"/>
    <m/>
    <s v="4300058330"/>
    <s v="CH Pivot"/>
    <s v="Roland Borchard"/>
    <s v="Roland Borchard"/>
    <x v="12"/>
  </r>
  <r>
    <x v="1877"/>
    <n v="4"/>
    <x v="72"/>
    <x v="34"/>
    <s v="Powerpivot Pfizer Distributionen automatischer DateFeed"/>
    <m/>
    <s v="Hanke"/>
    <m/>
    <s v="4300058330"/>
    <s v="CH Pivot"/>
    <s v="Roland Borchard"/>
    <s v="Roland Borchard"/>
    <x v="12"/>
  </r>
  <r>
    <x v="1877"/>
    <n v="5"/>
    <x v="67"/>
    <x v="29"/>
    <s v="Anpassungen Top 40 Liste + farbliche Markierung Klosterfrau"/>
    <m/>
    <s v="Schoening"/>
    <m/>
    <s v="4300058330"/>
    <s v="Taunus"/>
    <s v="Tanja Geiger"/>
    <s v="Roland Borchard"/>
    <x v="12"/>
  </r>
  <r>
    <x v="1878"/>
    <n v="7"/>
    <x v="72"/>
    <x v="34"/>
    <s v="Erweiterung auf 10 Facts + Relative Perioden"/>
    <m/>
    <s v="Hanke"/>
    <m/>
    <s v="4300058330"/>
    <s v="CH Pivot"/>
    <s v="Roland Borchard"/>
    <s v="Roland Borchard"/>
    <x v="12"/>
  </r>
  <r>
    <x v="1879"/>
    <n v="6"/>
    <x v="72"/>
    <x v="34"/>
    <s v="Erweiterung auf 10 Facts + Relative Perioden"/>
    <m/>
    <s v="Hanke"/>
    <m/>
    <s v="4300058330"/>
    <s v="CH Pivot"/>
    <s v="Roland Borchard"/>
    <s v="Roland Borchard"/>
    <x v="12"/>
  </r>
  <r>
    <x v="1880"/>
    <n v="3"/>
    <x v="72"/>
    <x v="34"/>
    <s v="Erweiterung auf 10 Facts + Relative Perioden"/>
    <m/>
    <s v="Hanke"/>
    <m/>
    <s v="4300058330"/>
    <s v="CH Pivot"/>
    <s v="Roland Borchard"/>
    <s v="Roland Borchard"/>
    <x v="12"/>
  </r>
  <r>
    <x v="1881"/>
    <n v="3"/>
    <x v="42"/>
    <x v="4"/>
    <s v="Batchautomatisierung"/>
    <m/>
    <s v="Borchard"/>
    <m/>
    <s v="4300058330"/>
    <s v="Taunus"/>
    <s v="Tanja Geiger"/>
    <s v="Roland Borchard"/>
    <x v="12"/>
  </r>
  <r>
    <x v="1882"/>
    <n v="2"/>
    <x v="42"/>
    <x v="4"/>
    <s v="Fehleranalyse Powerspreadsheetserver"/>
    <m/>
    <s v="Borchard"/>
    <s v="Ergebnis: keine alte Versionen von Powerspreadsheet mit psh Files verwenden"/>
    <s v="4300058330"/>
    <s v="Taunus"/>
    <s v="Tanja Geiger"/>
    <s v="Roland Borchard"/>
    <x v="12"/>
  </r>
  <r>
    <x v="1883"/>
    <n v="1"/>
    <x v="75"/>
    <x v="37"/>
    <s v="Offline Cube Distributionen Datafeed"/>
    <m/>
    <s v="Hanke"/>
    <m/>
    <s v="4300058330"/>
    <s v="CH Pivot"/>
    <s v="Roland Borchard"/>
    <s v="Roland Borchard"/>
    <x v="12"/>
  </r>
  <r>
    <x v="1883"/>
    <n v="7"/>
    <x v="46"/>
    <x v="8"/>
    <s v="Konvertierung auf Integration Services 2012"/>
    <m/>
    <s v="Borchard S."/>
    <m/>
    <s v="4300042018"/>
    <s v="Berichtsbesonderheiten"/>
    <s v="Sabine Borchard"/>
    <s v="Sabine Borchard"/>
    <x v="12"/>
  </r>
  <r>
    <x v="1884"/>
    <n v="1"/>
    <x v="40"/>
    <x v="2"/>
    <s v="Support CMJCHFKV Produktion"/>
    <m/>
    <s v="Despotovic"/>
    <s v="weitere Analysen notwendig"/>
    <s v="4300058328"/>
    <s v="PP2"/>
    <s v="Sandra Despotovic"/>
    <s v="Roland Borchard"/>
    <x v="12"/>
  </r>
  <r>
    <x v="1884"/>
    <n v="2"/>
    <x v="46"/>
    <x v="8"/>
    <s v="Sicherheitseinstellungen auf neuem Server"/>
    <m/>
    <s v="Borchard S."/>
    <m/>
    <s v="4300042018"/>
    <s v="Berichtsbesonderheiten"/>
    <s v="Sabine Borchard"/>
    <s v="Sabine Borchard"/>
    <x v="12"/>
  </r>
  <r>
    <x v="1884"/>
    <n v="5"/>
    <x v="75"/>
    <x v="37"/>
    <s v="Datenfeed Distributionen"/>
    <m/>
    <s v="Hanke"/>
    <m/>
    <s v="4300058330"/>
    <s v="CH Pivot"/>
    <s v="Roland Borchard"/>
    <s v="Roland Borchard"/>
    <x v="12"/>
  </r>
  <r>
    <x v="1885"/>
    <n v="1"/>
    <x v="46"/>
    <x v="8"/>
    <s v="Sicherheitseinstellungen auf neuem Server"/>
    <m/>
    <s v="Borchard S."/>
    <m/>
    <s v="4300042018"/>
    <s v="Berichtsbesonderheiten"/>
    <s v="Sabine Borchard"/>
    <s v="Sabine Borchard"/>
    <x v="12"/>
  </r>
  <r>
    <x v="1885"/>
    <n v="1"/>
    <x v="75"/>
    <x v="37"/>
    <s v="Erstellung Datenfeed"/>
    <m/>
    <s v="Hanke"/>
    <m/>
    <s v="4300058330"/>
    <s v="CH Pivot"/>
    <s v="Roland Borchard"/>
    <s v="Roland Borchard"/>
    <x v="12"/>
  </r>
  <r>
    <x v="1886"/>
    <n v="2"/>
    <x v="69"/>
    <x v="31"/>
    <s v="Zusammenführung PHS Zweig mit restlichen Kalkulatoren"/>
    <m/>
    <s v="Pechstein"/>
    <m/>
    <s v="4300064785"/>
    <s v="Cost Calculator Regional"/>
    <s v="Claudia Herrmann"/>
    <s v="Claudia Herrmann"/>
    <x v="12"/>
  </r>
  <r>
    <x v="1886"/>
    <n v="2"/>
    <x v="67"/>
    <x v="29"/>
    <s v="Marken Detail Hersteller entfernt + Entfernung leerer OTC3s"/>
    <m/>
    <s v="Buteweg"/>
    <m/>
    <s v="4300058330"/>
    <s v="Taunus"/>
    <s v="Tanja Geiger"/>
    <s v="Roland Borchard"/>
    <x v="12"/>
  </r>
  <r>
    <x v="1886"/>
    <n v="1"/>
    <x v="75"/>
    <x v="37"/>
    <s v="Erstellung Datenfeed"/>
    <m/>
    <s v="Hanke"/>
    <m/>
    <s v="4300058330"/>
    <s v="CH Pivot"/>
    <s v="Roland Borchard"/>
    <s v="Roland Borchard"/>
    <x v="12"/>
  </r>
  <r>
    <x v="1887"/>
    <n v="2"/>
    <x v="75"/>
    <x v="37"/>
    <s v="Erstellung Datenfeed"/>
    <m/>
    <s v="Hanke"/>
    <m/>
    <s v="4300058330"/>
    <s v="CH Pivot"/>
    <s v="Roland Borchard"/>
    <s v="Roland Borchard"/>
    <x v="12"/>
  </r>
  <r>
    <x v="1888"/>
    <n v="1"/>
    <x v="39"/>
    <x v="1"/>
    <s v="zusätlich Produkte Nasic-Cur und Laxatan"/>
    <m/>
    <s v="Crone"/>
    <m/>
    <s v="4300058330"/>
    <s v="Taunus"/>
    <s v="Birgit Schilly"/>
    <s v="Roland Borchard"/>
    <x v="12"/>
  </r>
  <r>
    <x v="1888"/>
    <n v="4"/>
    <x v="69"/>
    <x v="31"/>
    <s v="Szenario Feature + Line Berechnung"/>
    <m/>
    <s v="Pechstein"/>
    <m/>
    <s v="4300064785"/>
    <s v="Cost Calculator Regional"/>
    <s v="Claudia Herrmann"/>
    <s v="Claudia Herrmann"/>
    <x v="12"/>
  </r>
  <r>
    <x v="1888"/>
    <n v="8"/>
    <x v="75"/>
    <x v="37"/>
    <s v="Powerpivot Hinzufügung neue Measures, Anpassung der Berechnungen, relative Perioden"/>
    <m/>
    <s v="Hanke"/>
    <m/>
    <s v="4300058330"/>
    <s v="CH Pivot"/>
    <s v="Roland Borchard"/>
    <s v="Roland Borchard"/>
    <x v="12"/>
  </r>
  <r>
    <x v="1888"/>
    <n v="1"/>
    <x v="69"/>
    <x v="31"/>
    <s v="MPTs + Datenbank abgeglichen"/>
    <m/>
    <s v="Pechstein"/>
    <m/>
    <s v="4300064785"/>
    <s v="Cost Calculator Regional"/>
    <s v="Claudia Herrmann"/>
    <s v="Claudia Herrmann"/>
    <x v="12"/>
  </r>
  <r>
    <x v="1889"/>
    <n v="4"/>
    <x v="56"/>
    <x v="18"/>
    <s v="Szenario Feature"/>
    <m/>
    <s v="Pechstein"/>
    <m/>
    <s v="4300064783"/>
    <s v="Cost Calculator National"/>
    <s v="Pechstein"/>
    <s v="Marlen Pechstein"/>
    <x v="12"/>
  </r>
  <r>
    <x v="1889"/>
    <n v="2.5"/>
    <x v="65"/>
    <x v="27"/>
    <s v="Dashboards erstellt für Stada Regions"/>
    <m/>
    <s v="Propp"/>
    <m/>
    <s v="4300058330"/>
    <s v="Taunus"/>
    <s v="Julia Propp"/>
    <s v="Roland Borchard"/>
    <x v="12"/>
  </r>
  <r>
    <x v="1889"/>
    <n v="3"/>
    <x v="67"/>
    <x v="29"/>
    <s v="Restmarkt YTD, YTD Veränderungsrate, YTD Marktanteilsveränderungsrate"/>
    <m/>
    <s v="Buteweg"/>
    <m/>
    <s v="4300058330"/>
    <s v="Taunus"/>
    <s v="Tanja Geiger"/>
    <s v="Roland Borchard"/>
    <x v="12"/>
  </r>
  <r>
    <x v="1889"/>
    <n v="2"/>
    <x v="69"/>
    <x v="31"/>
    <s v="Anordnung der Elemente im Excelexport geändert, Farben angepasst"/>
    <m/>
    <s v="Pechstein"/>
    <m/>
    <s v="4300064785"/>
    <s v="Cost Calculator Regional"/>
    <s v="Claudia Herrmann"/>
    <s v="Claudia Herrmann"/>
    <x v="12"/>
  </r>
  <r>
    <x v="1889"/>
    <n v="4"/>
    <x v="52"/>
    <x v="14"/>
    <s v="Distributionsreport Performancetuning"/>
    <m/>
    <s v="Geiger"/>
    <m/>
    <s v="4300058330"/>
    <s v="Taunus"/>
    <s v="Tanja Geiger"/>
    <s v="Roland Borchard"/>
    <x v="12"/>
  </r>
  <r>
    <x v="1890"/>
    <n v="4"/>
    <x v="40"/>
    <x v="2"/>
    <s v="NVHF61PP Bug: doppelte Einträge in tblProduktionKeyInfo"/>
    <m/>
    <s v="Despotovic"/>
    <m/>
    <s v="4300058328"/>
    <s v="PP2"/>
    <s v="Sandra Despotovic"/>
    <s v="Roland Borchard"/>
    <x v="12"/>
  </r>
  <r>
    <x v="1890"/>
    <n v="1"/>
    <x v="52"/>
    <x v="14"/>
    <s v="Anpassungen Produktauswahl + Oktoberproduktion"/>
    <m/>
    <s v="Geiger"/>
    <m/>
    <s v="4300058330"/>
    <s v="Taunus"/>
    <s v="Tanja Geiger"/>
    <s v="Roland Borchard"/>
    <x v="12"/>
  </r>
  <r>
    <x v="1890"/>
    <n v="3"/>
    <x v="67"/>
    <x v="29"/>
    <s v="Hersteller Report Restmarkt YTD, YTD Veränderungsrate, YTD Marktanteilsveränderungsrate"/>
    <m/>
    <s v="Buteweg"/>
    <m/>
    <s v="4300058330"/>
    <s v="Taunus"/>
    <s v="Tanja Geiger"/>
    <s v="Roland Borchard"/>
    <x v="12"/>
  </r>
  <r>
    <x v="1890"/>
    <n v="1.5"/>
    <x v="42"/>
    <x v="4"/>
    <s v="Versionierungskonzept"/>
    <m/>
    <s v="Geiger"/>
    <m/>
    <s v="4300058330"/>
    <s v="Taunus"/>
    <s v="Tanja Geiger"/>
    <s v="Roland Borchard"/>
    <x v="12"/>
  </r>
  <r>
    <x v="1890"/>
    <n v="0.5"/>
    <x v="46"/>
    <x v="8"/>
    <s v="Security"/>
    <m/>
    <s v="S.Borchard"/>
    <m/>
    <s v="4300042018"/>
    <s v="Berichtsbesonderheiten"/>
    <s v="Sabine Borchard"/>
    <s v="Sabine Borchard"/>
    <x v="12"/>
  </r>
  <r>
    <x v="1891"/>
    <n v="3"/>
    <x v="40"/>
    <x v="2"/>
    <s v="kein Prodesisexport für Bayer PHS Produktionen"/>
    <m/>
    <s v="Despotovic"/>
    <m/>
    <s v="4300058328"/>
    <s v="PP2"/>
    <s v="Sandra Despotovic"/>
    <s v="Roland Borchard"/>
    <x v="12"/>
  </r>
  <r>
    <x v="1891"/>
    <n v="2"/>
    <x v="40"/>
    <x v="2"/>
    <s v="Support Adhoc Produktionen + Konzept für neue Verarbeitung"/>
    <m/>
    <s v="Despotovic"/>
    <m/>
    <s v="4300058328"/>
    <s v="PP2"/>
    <s v="Sandra Despotovic"/>
    <s v="Roland Borchard"/>
    <x v="12"/>
  </r>
  <r>
    <x v="1891"/>
    <n v="1"/>
    <x v="39"/>
    <x v="1"/>
    <s v="Aussteuern bestimmter Brands per MDX"/>
    <m/>
    <s v="Crone"/>
    <m/>
    <s v="4300058330"/>
    <s v="Taunus"/>
    <s v="Birgit Schilly"/>
    <s v="Roland Borchard"/>
    <x v="12"/>
  </r>
  <r>
    <x v="1891"/>
    <n v="1"/>
    <x v="67"/>
    <x v="29"/>
    <s v="Neuproduktion"/>
    <m/>
    <s v="Buteweg"/>
    <m/>
    <s v="4300058330"/>
    <s v="Taunus"/>
    <s v="Tanja Geiger"/>
    <s v="Roland Borchard"/>
    <x v="12"/>
  </r>
  <r>
    <x v="1892"/>
    <n v="4"/>
    <x v="69"/>
    <x v="31"/>
    <s v="Anpassungen Oberfläche + Excel Export"/>
    <m/>
    <s v="Pechstein"/>
    <m/>
    <s v="4300064785"/>
    <s v="Cost Calculator Regional"/>
    <s v="Claudia Herrmann"/>
    <s v="Claudia Herrmann"/>
    <x v="12"/>
  </r>
  <r>
    <x v="1892"/>
    <n v="3"/>
    <x v="69"/>
    <x v="31"/>
    <s v="Line Pricing + Meldung Änderungen verwerfen erstellt"/>
    <m/>
    <s v="Pechstein"/>
    <m/>
    <s v="4300064785"/>
    <s v="Cost Calculator Regional"/>
    <s v="Claudia Herrmann"/>
    <s v="Claudia Herrmann"/>
    <x v="12"/>
  </r>
  <r>
    <x v="1892"/>
    <n v="0.5"/>
    <x v="67"/>
    <x v="29"/>
    <s v="Telefonat Abweichungen"/>
    <m/>
    <s v="Crone"/>
    <m/>
    <s v="4300058330"/>
    <s v="Taunus"/>
    <s v="Tanja Geiger"/>
    <s v="Roland Borchard"/>
    <x v="12"/>
  </r>
  <r>
    <x v="1892"/>
    <n v="3"/>
    <x v="70"/>
    <x v="32"/>
    <s v="Reproduktion + Manuelle Anpassungen Oktober Report"/>
    <m/>
    <s v="Crone"/>
    <m/>
    <s v="4300058330"/>
    <s v="Taunus"/>
    <s v="Birgit Schilly"/>
    <s v="Roland Borchard"/>
    <x v="12"/>
  </r>
  <r>
    <x v="1892"/>
    <n v="2"/>
    <x v="56"/>
    <x v="18"/>
    <s v="Szenario Feature"/>
    <m/>
    <s v="Pechstein"/>
    <m/>
    <s v="4300064783"/>
    <s v="Cost Calculator National"/>
    <s v="Pechstein"/>
    <s v="Marlen Pechstein"/>
    <x v="12"/>
  </r>
  <r>
    <x v="1893"/>
    <n v="2"/>
    <x v="46"/>
    <x v="8"/>
    <s v="Security"/>
    <m/>
    <s v="S.Borchard"/>
    <m/>
    <s v="4300042018"/>
    <s v="Berichtsbesonderheiten"/>
    <s v="Sabine Borchard"/>
    <s v="Sabine Borchard"/>
    <x v="12"/>
  </r>
  <r>
    <x v="1893"/>
    <n v="4"/>
    <x v="67"/>
    <x v="29"/>
    <s v="Produktion + Qualicheck Oktober Datenbank"/>
    <m/>
    <s v="Buteweg"/>
    <m/>
    <s v="4300058330"/>
    <s v="Taunus"/>
    <s v="Tanja Geiger"/>
    <s v="Roland Borchard"/>
    <x v="12"/>
  </r>
  <r>
    <x v="1894"/>
    <n v="2"/>
    <x v="67"/>
    <x v="29"/>
    <s v="Produktion + Qualicheck Oktober Datenbank"/>
    <m/>
    <s v="Despotovic"/>
    <m/>
    <s v="4300058330"/>
    <s v="Taunus"/>
    <s v="Tanja Geiger"/>
    <s v="Roland Borchard"/>
    <x v="12"/>
  </r>
  <r>
    <x v="1894"/>
    <n v="1"/>
    <x v="56"/>
    <x v="18"/>
    <s v="Telefonat aktueller Stand"/>
    <m/>
    <s v="Pechstein"/>
    <m/>
    <s v="4300064783"/>
    <s v="Cost Calculator National"/>
    <s v="Pechstein"/>
    <s v="Marlen Pechstein"/>
    <x v="12"/>
  </r>
  <r>
    <x v="1895"/>
    <n v="5"/>
    <x v="56"/>
    <x v="18"/>
    <s v="Szeanrio Feature"/>
    <m/>
    <s v="Pechstein"/>
    <m/>
    <s v="4300064783"/>
    <s v="Cost Calculator National"/>
    <s v="Pechstein"/>
    <s v="Marlen Pechstein"/>
    <x v="12"/>
  </r>
  <r>
    <x v="1895"/>
    <n v="2"/>
    <x v="67"/>
    <x v="29"/>
    <s v="Produktion + Qualicheck Oktober Datenbank"/>
    <m/>
    <s v="Despotovic"/>
    <m/>
    <s v="4300058330"/>
    <s v="Taunus"/>
    <s v="Tanja Geiger"/>
    <s v="Roland Borchard"/>
    <x v="12"/>
  </r>
  <r>
    <x v="1895"/>
    <n v="3"/>
    <x v="69"/>
    <x v="31"/>
    <s v="Berechnung Aufpreis korrigiert + Usability optimiert"/>
    <m/>
    <s v="Pechstein"/>
    <m/>
    <s v="4300064785"/>
    <s v="Cost Calculator Regional"/>
    <s v="Claudia Herrmann"/>
    <s v="Claudia Herrmann"/>
    <x v="12"/>
  </r>
  <r>
    <x v="1895"/>
    <n v="2"/>
    <x v="51"/>
    <x v="13"/>
    <s v="Berechnung ATC Preis + Telefonat"/>
    <m/>
    <s v="Pechstein"/>
    <m/>
    <s v="4300064783"/>
    <s v="Cost Calculator National"/>
    <s v="Pechstein"/>
    <s v="Marlen Pechstein"/>
    <x v="12"/>
  </r>
  <r>
    <x v="1896"/>
    <n v="3"/>
    <x v="40"/>
    <x v="2"/>
    <s v="Fehleranalyse Import Adhoc Produktionen"/>
    <m/>
    <s v="Despotovic"/>
    <m/>
    <s v="4300058328"/>
    <s v="PP2"/>
    <s v="Sandra Despotovic"/>
    <s v="Roland Borchard"/>
    <x v="12"/>
  </r>
  <r>
    <x v="1896"/>
    <n v="2"/>
    <x v="67"/>
    <x v="29"/>
    <s v="Produktion + Qualicheck Oktober Datenbank"/>
    <m/>
    <s v="Despotovic"/>
    <m/>
    <s v="4300058330"/>
    <s v="Taunus"/>
    <s v="Tanja Geiger"/>
    <s v="Roland Borchard"/>
    <x v="12"/>
  </r>
  <r>
    <x v="1896"/>
    <n v="1"/>
    <x v="56"/>
    <x v="18"/>
    <s v="Punkt 14 Anleitung Excel Einstellungen + UAT Sichtung und Priorisierung"/>
    <m/>
    <s v="Despotovic"/>
    <m/>
    <s v="4300064783"/>
    <s v="Cost Calculator National"/>
    <s v="Pechstein"/>
    <s v="Marlen Pechstein"/>
    <x v="12"/>
  </r>
  <r>
    <x v="1896"/>
    <n v="3"/>
    <x v="67"/>
    <x v="29"/>
    <s v="Programmierung Druckeinstellungen"/>
    <m/>
    <s v="Crone"/>
    <m/>
    <s v="4300058330"/>
    <s v="Taunus"/>
    <s v="Tanja Geiger"/>
    <s v="Roland Borchard"/>
    <x v="12"/>
  </r>
  <r>
    <x v="1896"/>
    <n v="1"/>
    <x v="67"/>
    <x v="29"/>
    <s v="Neuproduktion nach Anpassung Druckeinstellungen"/>
    <m/>
    <s v="Crone"/>
    <m/>
    <s v="4300058330"/>
    <s v="Taunus"/>
    <s v="Tanja Geiger"/>
    <s v="Roland Borchard"/>
    <x v="12"/>
  </r>
  <r>
    <x v="1897"/>
    <n v="4"/>
    <x v="56"/>
    <x v="18"/>
    <s v="Szenario Feature"/>
    <m/>
    <s v="Pechstein"/>
    <m/>
    <s v="4300064783"/>
    <s v="Cost Calculator National"/>
    <s v="Pechstein"/>
    <s v="Marlen Pechstein"/>
    <x v="12"/>
  </r>
  <r>
    <x v="1897"/>
    <n v="2"/>
    <x v="75"/>
    <x v="37"/>
    <s v="Lagerbestand, Wechsel Perioden"/>
    <m/>
    <s v="Hanke"/>
    <m/>
    <s v="4300058330"/>
    <s v="CH Pivot"/>
    <s v="Roland Borchard"/>
    <s v="Roland Borchard"/>
    <x v="12"/>
  </r>
  <r>
    <x v="1897"/>
    <n v="5"/>
    <x v="56"/>
    <x v="18"/>
    <s v="Szenario Feature"/>
    <m/>
    <s v="Pechstein"/>
    <m/>
    <s v="4300064783"/>
    <s v="Cost Calculator National"/>
    <s v="Pechstein"/>
    <s v="Marlen Pechstein"/>
    <x v="12"/>
  </r>
  <r>
    <x v="1897"/>
    <n v="1"/>
    <x v="56"/>
    <x v="18"/>
    <s v="Szenario Feature"/>
    <m/>
    <s v="Pechstein"/>
    <m/>
    <s v="4300064783"/>
    <s v="Cost Calculator National"/>
    <s v="Pechstein"/>
    <s v="Marlen Pechstein"/>
    <x v="12"/>
  </r>
  <r>
    <x v="1898"/>
    <n v="2.5"/>
    <x v="51"/>
    <x v="13"/>
    <s v="Berechnung ATC Preis korrigiert"/>
    <m/>
    <s v="Pechstein"/>
    <m/>
    <s v="4300064783"/>
    <s v="Cost Calculator National"/>
    <s v="Pechstein"/>
    <s v="Marlen Pechstein"/>
    <x v="12"/>
  </r>
  <r>
    <x v="1898"/>
    <n v="1.5"/>
    <x v="67"/>
    <x v="29"/>
    <s v="Update Cube, Neuproduktion + manuelle Anpassungen"/>
    <m/>
    <s v="Crone"/>
    <m/>
    <s v="4300058330"/>
    <s v="Taunus"/>
    <s v="Tanja Geiger"/>
    <s v="Roland Borchard"/>
    <x v="12"/>
  </r>
  <r>
    <x v="1898"/>
    <n v="1"/>
    <x v="40"/>
    <x v="2"/>
    <s v="manuelle Zuordnung Analyse und Support"/>
    <m/>
    <s v="Despotovic"/>
    <m/>
    <s v="4300058328"/>
    <s v="PP2"/>
    <s v="Sandra Despotovic"/>
    <s v="Roland Borchard"/>
    <x v="12"/>
  </r>
  <r>
    <x v="1898"/>
    <n v="1"/>
    <x v="69"/>
    <x v="31"/>
    <s v="Usability Optimierungen"/>
    <m/>
    <s v="Pechstein"/>
    <m/>
    <s v="4300064785"/>
    <s v="Cost Calculator Regional"/>
    <s v="Claudia Herrmann"/>
    <s v="Claudia Herrmann"/>
    <x v="12"/>
  </r>
  <r>
    <x v="1897"/>
    <n v="2"/>
    <x v="56"/>
    <x v="18"/>
    <s v="Szenario Feature"/>
    <m/>
    <s v="Pechstein"/>
    <m/>
    <s v="4300064783"/>
    <s v="Cost Calculator National"/>
    <s v="Pechstein"/>
    <s v="Marlen Pechstein"/>
    <x v="12"/>
  </r>
  <r>
    <x v="1899"/>
    <n v="1.5"/>
    <x v="69"/>
    <x v="31"/>
    <s v="Formatierung Rabatt + ATC Grid"/>
    <m/>
    <s v="Pechstein"/>
    <m/>
    <s v="4300064785"/>
    <s v="Cost Calculator Regional"/>
    <s v="Claudia Herrmann"/>
    <s v="Claudia Herrmann"/>
    <x v="12"/>
  </r>
  <r>
    <x v="1900"/>
    <n v="1.5"/>
    <x v="69"/>
    <x v="31"/>
    <s v="Anpassungen Excel Export"/>
    <m/>
    <s v="Pechstein"/>
    <m/>
    <s v="4300064785"/>
    <s v="Cost Calculator Regional"/>
    <s v="Claudia Herrmann"/>
    <s v="Claudia Herrmann"/>
    <x v="12"/>
  </r>
  <r>
    <x v="1900"/>
    <n v="1.5"/>
    <x v="51"/>
    <x v="13"/>
    <s v="Anpassungen Excel Export"/>
    <m/>
    <s v="Pechstein"/>
    <m/>
    <s v="4300064783"/>
    <s v="Cost Calculator National"/>
    <s v="Pechstein"/>
    <s v="Marlen Pechstein"/>
    <x v="12"/>
  </r>
  <r>
    <x v="1900"/>
    <n v="2"/>
    <x v="69"/>
    <x v="31"/>
    <s v="Test + Bereitstellung neue Version"/>
    <m/>
    <s v="Pechstein"/>
    <m/>
    <s v="4300064785"/>
    <s v="Cost Calculator Regional"/>
    <s v="Claudia Herrmann"/>
    <s v="Claudia Herrmann"/>
    <x v="12"/>
  </r>
  <r>
    <x v="1900"/>
    <n v="1.5"/>
    <x v="39"/>
    <x v="1"/>
    <s v="Ausschluss Dobendan Nurofen"/>
    <m/>
    <s v="Crone"/>
    <m/>
    <s v="4300058330"/>
    <s v="Taunus"/>
    <s v="Birgit Schilly"/>
    <s v="Roland Borchard"/>
    <x v="12"/>
  </r>
  <r>
    <x v="1901"/>
    <n v="5"/>
    <x v="39"/>
    <x v="1"/>
    <s v="Ausschluss Dobendan Nurofen"/>
    <m/>
    <s v="Crone"/>
    <m/>
    <s v="4300058330"/>
    <s v="Taunus"/>
    <s v="Birgit Schilly"/>
    <s v="Roland Borchard"/>
    <x v="12"/>
  </r>
  <r>
    <x v="1902"/>
    <n v="3"/>
    <x v="39"/>
    <x v="1"/>
    <s v="Ausschluss Dobendan Nurofen"/>
    <m/>
    <s v="Crone"/>
    <m/>
    <s v="4300058330"/>
    <s v="Taunus"/>
    <s v="Birgit Schilly"/>
    <s v="Roland Borchard"/>
    <x v="12"/>
  </r>
  <r>
    <x v="1902"/>
    <n v="2"/>
    <x v="39"/>
    <x v="1"/>
    <s v="Manuelle Anpassungen + Auslieferung November"/>
    <m/>
    <s v="Crone"/>
    <m/>
    <s v="4300058330"/>
    <s v="Taunus"/>
    <s v="Birgit Schilly"/>
    <s v="Roland Borchard"/>
    <x v="12"/>
  </r>
  <r>
    <x v="1902"/>
    <n v="1.5"/>
    <x v="66"/>
    <x v="28"/>
    <s v="Manuelle Anpassungen + Auslieferung November"/>
    <m/>
    <s v="Crone"/>
    <m/>
    <s v="4300058330"/>
    <s v="Taunus"/>
    <s v="Tanja Geiger"/>
    <s v="Roland Borchard"/>
    <x v="12"/>
  </r>
  <r>
    <x v="1903"/>
    <n v="4"/>
    <x v="70"/>
    <x v="32"/>
    <s v="Integration Attribut Dr.Soldan Hubo"/>
    <m/>
    <s v="Crone"/>
    <m/>
    <s v="4300058330"/>
    <s v="Taunus"/>
    <s v="Birgit Schilly"/>
    <s v="Roland Borchard"/>
    <x v="12"/>
  </r>
  <r>
    <x v="1904"/>
    <n v="2"/>
    <x v="70"/>
    <x v="32"/>
    <s v="Manuelle Anpassungen + Auslieferung November"/>
    <m/>
    <s v="Crone"/>
    <m/>
    <s v="4300058330"/>
    <s v="Taunus"/>
    <s v="Birgit Schilly"/>
    <s v="Roland Borchard"/>
    <x v="12"/>
  </r>
  <r>
    <x v="1904"/>
    <n v="1"/>
    <x v="69"/>
    <x v="31"/>
    <s v="weitere Vorgehensweise Absprache per email"/>
    <m/>
    <s v="Herrmann"/>
    <m/>
    <s v="4300064785"/>
    <s v="Cost Calculator Regional"/>
    <s v="Claudia Herrmann"/>
    <s v="Claudia Herrmann"/>
    <x v="12"/>
  </r>
  <r>
    <x v="1905"/>
    <n v="1.5"/>
    <x v="70"/>
    <x v="32"/>
    <s v="Korrektur Integration Rheila"/>
    <m/>
    <s v="Crone"/>
    <m/>
    <s v="4300058330"/>
    <s v="Taunus"/>
    <s v="Birgit Schilly"/>
    <s v="Roland Borchard"/>
    <x v="12"/>
  </r>
  <r>
    <x v="1905"/>
    <n v="0.5"/>
    <x v="52"/>
    <x v="14"/>
    <s v="Beantwortung Rückfragen Umesh"/>
    <m/>
    <s v="Umesh"/>
    <m/>
    <s v="4300058330"/>
    <s v="Taunus"/>
    <s v="Tanja Geiger"/>
    <s v="Roland Borchard"/>
    <x v="12"/>
  </r>
  <r>
    <x v="1906"/>
    <n v="3.5"/>
    <x v="69"/>
    <x v="31"/>
    <s v="Versionierung"/>
    <m/>
    <s v="Pechstein"/>
    <m/>
    <s v="4300064785"/>
    <s v="Cost Calculator Regional"/>
    <s v="Claudia Herrmann"/>
    <s v="Claudia Herrmann"/>
    <x v="12"/>
  </r>
  <r>
    <x v="1906"/>
    <n v="2"/>
    <x v="65"/>
    <x v="27"/>
    <s v="Produktion November"/>
    <m/>
    <s v="Propp"/>
    <m/>
    <s v="4300058330"/>
    <s v="Taunus"/>
    <s v="Julia Propp"/>
    <s v="Roland Borchard"/>
    <x v="12"/>
  </r>
  <r>
    <x v="1906"/>
    <n v="3"/>
    <x v="65"/>
    <x v="27"/>
    <s v="Produktion November, Nachbearbeitung"/>
    <m/>
    <s v="Propp"/>
    <m/>
    <s v="4300058330"/>
    <s v="Taunus"/>
    <s v="Julia Propp"/>
    <s v="Roland Borchard"/>
    <x v="12"/>
  </r>
  <r>
    <x v="1907"/>
    <n v="2"/>
    <x v="76"/>
    <x v="38"/>
    <s v="Adminschnittstelle"/>
    <m/>
    <s v="Pechstein"/>
    <m/>
    <s v="4300064782"/>
    <s v="Cost Calculator übergreifend"/>
    <s v="Katharina Werner"/>
    <s v="Katharina Werner"/>
    <x v="13"/>
  </r>
  <r>
    <x v="1907"/>
    <n v="2"/>
    <x v="56"/>
    <x v="18"/>
    <s v="Lizenzpreisberechnung angepasst"/>
    <m/>
    <s v="Pechstein"/>
    <m/>
    <s v="4300064783"/>
    <s v="Cost Calculator National"/>
    <s v="Pechstein"/>
    <s v="Marlen Pechstein"/>
    <x v="13"/>
  </r>
  <r>
    <x v="1908"/>
    <n v="4"/>
    <x v="40"/>
    <x v="2"/>
    <s v="Support Administrations Button"/>
    <m/>
    <s v="Despotovic"/>
    <s v="an der Server Konfiguration scheint etwas verändert worden zu sein, mehrer Dinge funktionieren nicht mehr, weitere Analysen erforderlich"/>
    <s v="4300058328"/>
    <s v="PP2"/>
    <s v="Sandra Despotovic"/>
    <s v="Roland Borchard"/>
    <x v="13"/>
  </r>
  <r>
    <x v="1908"/>
    <n v="4"/>
    <x v="76"/>
    <x v="38"/>
    <s v="Adminschnittstelle + Versionierung"/>
    <m/>
    <s v="Pechstein"/>
    <m/>
    <s v="4300064782"/>
    <s v="Cost Calculator übergreifend"/>
    <s v="Katharina Werner"/>
    <s v="Katharina Werner"/>
    <x v="13"/>
  </r>
  <r>
    <x v="1909"/>
    <n v="2"/>
    <x v="40"/>
    <x v="2"/>
    <s v="Support Export Files"/>
    <m/>
    <s v="Despotovic"/>
    <m/>
    <s v="4300058328"/>
    <s v="PP2"/>
    <s v="Sandra Despotovic"/>
    <s v="Roland Borchard"/>
    <x v="13"/>
  </r>
  <r>
    <x v="1909"/>
    <n v="1"/>
    <x v="77"/>
    <x v="39"/>
    <s v="Versionierung"/>
    <m/>
    <s v="Pechstein"/>
    <m/>
    <s v="4300064782"/>
    <s v="Cost Calculator übergreifend"/>
    <s v="Katharina Werner"/>
    <s v="Katharina Werner"/>
    <x v="13"/>
  </r>
  <r>
    <x v="1909"/>
    <n v="2"/>
    <x v="76"/>
    <x v="38"/>
    <s v="Adminschnittstelle + MPTs restrukturieren"/>
    <m/>
    <s v="Pechstein"/>
    <m/>
    <s v="4300064782"/>
    <s v="Cost Calculator übergreifend"/>
    <s v="Katharina Werner"/>
    <s v="Katharina Werner"/>
    <x v="13"/>
  </r>
  <r>
    <x v="1909"/>
    <n v="7"/>
    <x v="56"/>
    <x v="18"/>
    <s v="DPMPSN letzte Tests und Feinschliff"/>
    <m/>
    <s v="Pechstein"/>
    <m/>
    <s v="4300064783"/>
    <s v="Cost Calculator National"/>
    <s v="Pechstein"/>
    <s v="Marlen Pechstein"/>
    <x v="13"/>
  </r>
  <r>
    <x v="1909"/>
    <n v="2"/>
    <x v="56"/>
    <x v="18"/>
    <s v="Anpassungen Excel Export"/>
    <m/>
    <s v="Pechstein"/>
    <m/>
    <s v="4300064783"/>
    <s v="Cost Calculator National"/>
    <s v="Pechstein"/>
    <s v="Marlen Pechstein"/>
    <x v="13"/>
  </r>
  <r>
    <x v="1909"/>
    <n v="1.5"/>
    <x v="65"/>
    <x v="27"/>
    <s v="Produktion + manuelle Anpassungen PtrRegions"/>
    <m/>
    <s v="Propp"/>
    <m/>
    <s v="4300058330"/>
    <s v="Taunus"/>
    <s v="Julia Propp"/>
    <s v="Roland Borchard"/>
    <x v="13"/>
  </r>
  <r>
    <x v="1909"/>
    <n v="3"/>
    <x v="42"/>
    <x v="4"/>
    <s v="Produktionsprozess Ausarbeitung Vorschlag für Indien"/>
    <m/>
    <s v="Geiger"/>
    <m/>
    <s v="4300058330"/>
    <s v="Taunus"/>
    <s v="Tanja Geiger"/>
    <s v="Roland Borchard"/>
    <x v="13"/>
  </r>
  <r>
    <x v="1910"/>
    <n v="1"/>
    <x v="56"/>
    <x v="18"/>
    <s v="Zusatzdienstleistungen Anpassung Preise"/>
    <m/>
    <s v="Pechstein"/>
    <m/>
    <s v="4300064783"/>
    <s v="Cost Calculator National"/>
    <s v="Pechstein"/>
    <s v="Marlen Pechstein"/>
    <x v="13"/>
  </r>
  <r>
    <x v="1910"/>
    <n v="5"/>
    <x v="56"/>
    <x v="18"/>
    <s v="DPMPSN letzte Tests + Installation neue Version"/>
    <m/>
    <s v="Pechstein"/>
    <m/>
    <s v="4300064783"/>
    <s v="Cost Calculator National"/>
    <s v="Pechstein"/>
    <s v="Marlen Pechstein"/>
    <x v="13"/>
  </r>
  <r>
    <x v="1910"/>
    <n v="0.5"/>
    <x v="56"/>
    <x v="18"/>
    <s v="Telko Frau Pechstein Szenario Feature"/>
    <m/>
    <s v="Pechstein"/>
    <m/>
    <s v="4300064783"/>
    <s v="Cost Calculator National"/>
    <s v="Pechstein"/>
    <s v="Marlen Pechstein"/>
    <x v="13"/>
  </r>
  <r>
    <x v="1910"/>
    <n v="4"/>
    <x v="67"/>
    <x v="29"/>
    <s v="November Produktion und Anpassung Brand Match File "/>
    <m/>
    <s v="Buteweg"/>
    <m/>
    <s v="4300058330"/>
    <s v="Taunus"/>
    <s v="Tanja Geiger"/>
    <s v="Roland Borchard"/>
    <x v="13"/>
  </r>
  <r>
    <x v="1910"/>
    <n v="0.5"/>
    <x v="56"/>
    <x v="18"/>
    <s v="Besprechung aktueller Stand"/>
    <m/>
    <s v="Pechstein"/>
    <m/>
    <s v="4300064783"/>
    <s v="Cost Calculator National"/>
    <s v="Pechstein"/>
    <s v="Marlen Pechstein"/>
    <x v="13"/>
  </r>
  <r>
    <x v="1911"/>
    <n v="1"/>
    <x v="56"/>
    <x v="18"/>
    <s v="Mindestpreis, TM Lizenzen"/>
    <m/>
    <s v="Pechstein"/>
    <m/>
    <s v="4300064783"/>
    <s v="Cost Calculator National"/>
    <s v="Pechstein"/>
    <s v="Marlen Pechstein"/>
    <x v="13"/>
  </r>
  <r>
    <x v="1912"/>
    <n v="1"/>
    <x v="56"/>
    <x v="18"/>
    <s v="Verlagerung Produktionskosten in Datenbank"/>
    <m/>
    <s v="Pechstein"/>
    <m/>
    <s v="4300064783"/>
    <s v="Cost Calculator National"/>
    <s v="Pechstein"/>
    <s v="Marlen Pechstein"/>
    <x v="13"/>
  </r>
  <r>
    <x v="1912"/>
    <n v="1"/>
    <x v="77"/>
    <x v="39"/>
    <s v="Standardisierung MPT Files als Vorbereitung Admin Schnittstelle"/>
    <m/>
    <s v="Pechstein"/>
    <m/>
    <s v="4300064782"/>
    <s v="Cost Calculator übergreifend"/>
    <s v="Katharina Werner"/>
    <s v="Katharina Werner"/>
    <x v="13"/>
  </r>
  <r>
    <x v="1913"/>
    <n v="2"/>
    <x v="56"/>
    <x v="18"/>
    <s v="ATC Minimalpreis in Datenbank verlegt"/>
    <m/>
    <s v="Pechstein"/>
    <m/>
    <s v="4300064783"/>
    <s v="Cost Calculator National"/>
    <s v="Pechstein"/>
    <s v="Marlen Pechstein"/>
    <x v="13"/>
  </r>
  <r>
    <x v="1913"/>
    <n v="1"/>
    <x v="42"/>
    <x v="4"/>
    <s v="Doku für ProductionMap"/>
    <m/>
    <s v="Geiger"/>
    <m/>
    <s v="4300058330"/>
    <s v="Taunus"/>
    <s v="Tanja Geiger"/>
    <s v="Roland Borchard"/>
    <x v="13"/>
  </r>
  <r>
    <x v="1913"/>
    <n v="0.5"/>
    <x v="67"/>
    <x v="29"/>
    <s v="Analyse Kalkulation Klosterfrau"/>
    <m/>
    <s v="Buteweg"/>
    <m/>
    <s v="4300058330"/>
    <s v="Taunus"/>
    <s v="Tanja Geiger"/>
    <s v="Roland Borchard"/>
    <x v="13"/>
  </r>
  <r>
    <x v="1913"/>
    <n v="5"/>
    <x v="76"/>
    <x v="38"/>
    <s v="Adminschnittstelle + Sicherheit begonnen"/>
    <m/>
    <s v="Pechstein"/>
    <m/>
    <s v="4300064782"/>
    <s v="Cost Calculator übergreifend"/>
    <s v="Katharina Werner"/>
    <s v="Katharina Werner"/>
    <x v="13"/>
  </r>
  <r>
    <x v="1913"/>
    <n v="2"/>
    <x v="77"/>
    <x v="39"/>
    <s v="Standardisierung MPT Files als Vorbereitung Admin Schnittstelle"/>
    <m/>
    <s v="Pechstein"/>
    <m/>
    <s v="4300064782"/>
    <s v="Cost Calculator übergreifend"/>
    <s v="Katharina Werner"/>
    <s v="Katharina Werner"/>
    <x v="13"/>
  </r>
  <r>
    <x v="1913"/>
    <n v="0.5"/>
    <x v="46"/>
    <x v="8"/>
    <s v="Support und Test BBH report nicht erreichbar"/>
    <m/>
    <s v="Pechstein"/>
    <s v="Der verwendete Link war falsch"/>
    <s v="4300042018"/>
    <s v="Berichtsbesonderheiten"/>
    <s v="Sabine Borchard"/>
    <s v="Sabine Borchard"/>
    <x v="13"/>
  </r>
  <r>
    <x v="1914"/>
    <n v="3"/>
    <x v="77"/>
    <x v="39"/>
    <s v="MPTs restrukturieren"/>
    <m/>
    <s v="Pechstein"/>
    <m/>
    <s v="4300064782"/>
    <s v="Cost Calculator übergreifend"/>
    <s v="Katharina Werner"/>
    <s v="Katharina Werner"/>
    <x v="13"/>
  </r>
  <r>
    <x v="1914"/>
    <n v="1"/>
    <x v="40"/>
    <x v="2"/>
    <s v="Neuorganisation der PP2 Gruppen + Rücksprache"/>
    <m/>
    <s v="Despotovic"/>
    <m/>
    <s v="4300058328"/>
    <s v="PP2"/>
    <s v="Sandra Despotovic"/>
    <s v="Roland Borchard"/>
    <x v="13"/>
  </r>
  <r>
    <x v="1914"/>
    <n v="3"/>
    <x v="77"/>
    <x v="39"/>
    <s v="MPTs restrukturieren"/>
    <m/>
    <s v="Pechstein"/>
    <m/>
    <s v="4300064782"/>
    <s v="Cost Calculator übergreifend"/>
    <s v="Katharina Werner"/>
    <s v="Katharina Werner"/>
    <x v="13"/>
  </r>
  <r>
    <x v="1915"/>
    <n v="2"/>
    <x v="76"/>
    <x v="38"/>
    <s v="Administration UI erstellt"/>
    <m/>
    <s v="Pechstein"/>
    <m/>
    <s v="4300064782"/>
    <s v="Cost Calculator übergreifend"/>
    <s v="Katharina Werner"/>
    <s v="Katharina Werner"/>
    <x v="13"/>
  </r>
  <r>
    <x v="1915"/>
    <n v="0.5"/>
    <x v="67"/>
    <x v="29"/>
    <s v="Entfernung 3 Marken aus Eigen und Vertriebsmarken, Rücksprache"/>
    <m/>
    <s v="Buteweg"/>
    <m/>
    <s v="4300058330"/>
    <s v="Taunus"/>
    <s v="Tanja Geiger"/>
    <s v="Roland Borchard"/>
    <x v="13"/>
  </r>
  <r>
    <x v="1915"/>
    <n v="2"/>
    <x v="42"/>
    <x v="4"/>
    <s v="DashboardIntegration "/>
    <m/>
    <s v="Borchard"/>
    <s v="spreadsheet light kann Seite aus Template nicht kopieren, Recherche nach neuer Bibliothek"/>
    <s v="4300058330"/>
    <s v="Taunus"/>
    <s v="Tanja Geiger"/>
    <s v="Roland Borchard"/>
    <x v="13"/>
  </r>
  <r>
    <x v="1916"/>
    <n v="1"/>
    <x v="69"/>
    <x v="31"/>
    <s v="Meeting Support Excelkonfiguration, weitere Todos"/>
    <m/>
    <s v="C. Herrmann"/>
    <m/>
    <s v="4300064785"/>
    <s v="Cost Calculator Regional"/>
    <s v="C. Herrmann"/>
    <s v="Claudia Herrmann"/>
    <x v="13"/>
  </r>
  <r>
    <x v="1916"/>
    <n v="1"/>
    <x v="48"/>
    <x v="10"/>
    <s v="Besprechung weitere Todos"/>
    <m/>
    <s v="N. Sdunzig"/>
    <m/>
    <s v="4300064785"/>
    <s v="Cost Calculator Regional"/>
    <s v="N. Sdunzig"/>
    <s v="Norbert Sdunzig"/>
    <x v="13"/>
  </r>
  <r>
    <x v="1916"/>
    <n v="2"/>
    <x v="40"/>
    <x v="2"/>
    <s v="Besprechung weitere Todos"/>
    <m/>
    <s v="Despotovic"/>
    <m/>
    <s v="4300058328"/>
    <s v="PP2"/>
    <s v="Sandra Despotovic"/>
    <s v="Roland Borchard"/>
    <x v="13"/>
  </r>
  <r>
    <x v="1916"/>
    <n v="2"/>
    <x v="40"/>
    <x v="2"/>
    <s v="Meeting Planung, weitere Projekte"/>
    <m/>
    <s v="Borchard"/>
    <m/>
    <s v="4300058328"/>
    <s v="PP2"/>
    <s v="Sandra Despotovic"/>
    <s v="Roland Borchard"/>
    <x v="13"/>
  </r>
  <r>
    <x v="1917"/>
    <n v="1"/>
    <x v="76"/>
    <x v="38"/>
    <s v="Erstellung Funktionalität für Admin View"/>
    <m/>
    <s v="Pechstein"/>
    <m/>
    <s v="4300064782"/>
    <s v="Cost Calculator übergreifend"/>
    <s v="Katharina Werner"/>
    <s v="Katharina Werner"/>
    <x v="13"/>
  </r>
  <r>
    <x v="1918"/>
    <n v="4"/>
    <x v="76"/>
    <x v="38"/>
    <s v="Erstellung Funktionalität für Admin View"/>
    <m/>
    <s v="Pechstein"/>
    <m/>
    <s v="4300064782"/>
    <s v="Cost Calculator übergreifend"/>
    <s v="Katharina Werner"/>
    <s v="Katharina Werner"/>
    <x v="13"/>
  </r>
  <r>
    <x v="1918"/>
    <n v="1"/>
    <x v="40"/>
    <x v="2"/>
    <s v="Lebensdauer Adhoc Productionkeys"/>
    <m/>
    <s v="Borchard"/>
    <m/>
    <s v="4300058328"/>
    <s v="PP2"/>
    <s v="Sandra Despotovic"/>
    <s v="Roland Borchard"/>
    <x v="13"/>
  </r>
  <r>
    <x v="1918"/>
    <n v="3"/>
    <x v="67"/>
    <x v="29"/>
    <s v="Markenanpassung + Abstimmung mit Andreas Buteweg"/>
    <m/>
    <s v="Buteweg"/>
    <m/>
    <s v="4300058330"/>
    <s v="Taunus"/>
    <s v="Tanja Geiger"/>
    <s v="Roland Borchard"/>
    <x v="13"/>
  </r>
  <r>
    <x v="1919"/>
    <n v="1"/>
    <x v="76"/>
    <x v="38"/>
    <s v="Adminschnittstelle"/>
    <m/>
    <s v="Pechstein"/>
    <m/>
    <s v="4300064782"/>
    <s v="Cost Calculator übergreifend"/>
    <s v="Katharina Werner"/>
    <s v="Katharina Werner"/>
    <x v="13"/>
  </r>
  <r>
    <x v="1919"/>
    <n v="2"/>
    <x v="40"/>
    <x v="2"/>
    <s v="Adhoc Produktionen, geplante Produktionen, Besprechung neue Strategien zur Fehlervermeidung"/>
    <m/>
    <s v="Despotovic"/>
    <s v="Vorbereitung Telefonmeeting mit Sandra"/>
    <s v="4300058328"/>
    <s v="PP2"/>
    <s v="Sandra Despotovic"/>
    <s v="Roland Borchard"/>
    <x v="13"/>
  </r>
  <r>
    <x v="1919"/>
    <n v="1"/>
    <x v="73"/>
    <x v="35"/>
    <s v="Produktion Dezember"/>
    <m/>
    <s v="Crone"/>
    <m/>
    <s v="4300058330"/>
    <s v="Taunus"/>
    <s v="Birgit Schilly"/>
    <s v="Roland Borchard"/>
    <x v="13"/>
  </r>
  <r>
    <x v="1919"/>
    <n v="1.5"/>
    <x v="69"/>
    <x v="31"/>
    <s v="Pfeilsteuerung"/>
    <m/>
    <s v="C. Herrmann"/>
    <s v="Optimierung der Overfläche zusätzlich zu Tabs, Machbarkeit"/>
    <s v="4300064785"/>
    <s v="Cost Calculator Regional"/>
    <s v="C. Herrmann"/>
    <s v="Claudia Herrmann"/>
    <x v="13"/>
  </r>
  <r>
    <x v="1919"/>
    <n v="1"/>
    <x v="77"/>
    <x v="39"/>
    <s v="Standardisierung MPT Files als Vorbereitung Admin Schnittstelle"/>
    <m/>
    <s v="Pechstein"/>
    <m/>
    <s v="4300064782"/>
    <s v="Cost Calculator übergreifend"/>
    <s v="Katharina Werner"/>
    <s v="Katharina Werner"/>
    <x v="13"/>
  </r>
  <r>
    <x v="1919"/>
    <n v="2"/>
    <x v="39"/>
    <x v="1"/>
    <s v="Produktion, manuelle Anpassungen Dez 2014"/>
    <m/>
    <s v="Propp"/>
    <m/>
    <s v="4300058330"/>
    <s v="Taunus"/>
    <s v="Birgit Schilly"/>
    <s v="Roland Borchard"/>
    <x v="13"/>
  </r>
  <r>
    <x v="1919"/>
    <n v="1"/>
    <x v="48"/>
    <x v="10"/>
    <s v="Anpassung Berechnung"/>
    <m/>
    <s v="N. Sdunzig"/>
    <m/>
    <s v="4300064785"/>
    <s v="Cost Calculator Regional"/>
    <s v="N. Sdunzig"/>
    <s v="Norbert Sdunzig"/>
    <x v="13"/>
  </r>
  <r>
    <x v="1920"/>
    <n v="3"/>
    <x v="42"/>
    <x v="4"/>
    <s v="DashboardIntegration "/>
    <m/>
    <s v="Borchard"/>
    <s v="Evaluierung von Bibliotheken und Programmierung eines Prototypen um Dashboard zu integrieren"/>
    <s v="4300058330"/>
    <s v="Taunus"/>
    <s v="Tanja Geiger"/>
    <s v="Roland Borchard"/>
    <x v="13"/>
  </r>
  <r>
    <x v="1920"/>
    <n v="0.5"/>
    <x v="69"/>
    <x v="31"/>
    <s v="Besprechung Oberflächenoptimierung"/>
    <m/>
    <s v="C. Herrmann"/>
    <m/>
    <s v="4300064785"/>
    <s v="Cost Calculator Regional"/>
    <s v="C. Herrmann"/>
    <s v="Claudia Herrmann"/>
    <x v="13"/>
  </r>
  <r>
    <x v="1920"/>
    <n v="2.5"/>
    <x v="40"/>
    <x v="2"/>
    <s v="Besprechung Adhoc und geplante Produktionen + Umsetzung"/>
    <m/>
    <s v="Despotovic"/>
    <m/>
    <s v="4300058328"/>
    <s v="PP2"/>
    <s v="Sandra Despotovic"/>
    <s v="Roland Borchard"/>
    <x v="13"/>
  </r>
  <r>
    <x v="1920"/>
    <n v="1"/>
    <x v="40"/>
    <x v="2"/>
    <s v="Erweiterung manuelle Produktionen + fehlerhafte Studyerkennung"/>
    <m/>
    <s v="Despotovic"/>
    <m/>
    <s v="4300058328"/>
    <s v="PP2"/>
    <s v="Sandra Despotovic"/>
    <s v="Roland Borchard"/>
    <x v="13"/>
  </r>
  <r>
    <x v="1920"/>
    <n v="1"/>
    <x v="66"/>
    <x v="28"/>
    <s v="Dez 14 Produktion"/>
    <m/>
    <s v="Crone"/>
    <m/>
    <s v="4300058330"/>
    <s v="Taunus"/>
    <s v="Tanja Geiger"/>
    <s v="Roland Borchard"/>
    <x v="13"/>
  </r>
  <r>
    <x v="1920"/>
    <n v="1"/>
    <x v="70"/>
    <x v="32"/>
    <s v="Dez 14 Produktion Regio Apo"/>
    <m/>
    <s v="Crone"/>
    <m/>
    <s v="4300058330"/>
    <s v="Taunus"/>
    <s v="Birgit Schilly"/>
    <s v="Roland Borchard"/>
    <x v="13"/>
  </r>
  <r>
    <x v="1920"/>
    <n v="1.5"/>
    <x v="70"/>
    <x v="32"/>
    <s v="Dez 14 Produktion Regio Apo Spezial"/>
    <m/>
    <s v="Crone"/>
    <m/>
    <s v="4300058330"/>
    <s v="Taunus"/>
    <s v="Birgit Schilly"/>
    <s v="Roland Borchard"/>
    <x v="13"/>
  </r>
  <r>
    <x v="1921"/>
    <n v="2"/>
    <x v="55"/>
    <x v="17"/>
    <s v="Produktion Dezember"/>
    <m/>
    <s v="Salwa-Emmel"/>
    <m/>
    <s v="4300058330"/>
    <s v="Taunus"/>
    <s v="Tanja Geiger"/>
    <s v="Roland Borchard"/>
    <x v="13"/>
  </r>
  <r>
    <x v="1921"/>
    <n v="1"/>
    <x v="61"/>
    <x v="23"/>
    <s v="Produktion Dezember"/>
    <m/>
    <s v="Salwa-Emmel"/>
    <m/>
    <s v="4300058330"/>
    <s v="Taunus"/>
    <s v="Tanja Geiger"/>
    <s v="Roland Borchard"/>
    <x v="13"/>
  </r>
  <r>
    <x v="1921"/>
    <n v="2"/>
    <x v="78"/>
    <x v="40"/>
    <s v="Machbarkeits- und Aufwandsanalyse"/>
    <m/>
    <s v="Burger"/>
    <m/>
    <s v="4300059525"/>
    <s v="Subterritory Planner"/>
    <s v="Udo Burger"/>
    <s v="Udo Burger"/>
    <x v="13"/>
  </r>
  <r>
    <x v="1921"/>
    <n v="1"/>
    <x v="48"/>
    <x v="10"/>
    <s v="Analyse Durchschnittspreisberechnung"/>
    <m/>
    <s v="N. Sdunzig"/>
    <m/>
    <s v="4300064785"/>
    <s v="Cost Calculator Regional"/>
    <s v="N. Sdunzig"/>
    <s v="Norbert Sdunzig"/>
    <x v="13"/>
  </r>
  <r>
    <x v="1922"/>
    <n v="1"/>
    <x v="48"/>
    <x v="10"/>
    <s v="Rückfrage Anpassung Durchschnittspreisberechnung"/>
    <m/>
    <s v="N. Sdunzig"/>
    <m/>
    <s v="4300064785"/>
    <s v="Cost Calculator Regional"/>
    <s v="N. Sdunzig"/>
    <s v="Norbert Sdunzig"/>
    <x v="13"/>
  </r>
  <r>
    <x v="1922"/>
    <n v="2"/>
    <x v="69"/>
    <x v="31"/>
    <s v="Anpassung Cursorsteuerung + Anpassung Durchschnittspreis"/>
    <m/>
    <s v="C. Herrmann"/>
    <m/>
    <s v="4300064785"/>
    <s v="Cost Calculator Regional"/>
    <s v="C. Herrmann"/>
    <s v="Claudia Herrmann"/>
    <x v="13"/>
  </r>
  <r>
    <x v="1922"/>
    <n v="4"/>
    <x v="42"/>
    <x v="4"/>
    <s v="DashboardIntegration "/>
    <m/>
    <s v="Borchard"/>
    <m/>
    <s v="4300058330"/>
    <s v="Taunus"/>
    <s v="Tanja Geiger"/>
    <s v="Roland Borchard"/>
    <x v="13"/>
  </r>
  <r>
    <x v="1922"/>
    <n v="1"/>
    <x v="68"/>
    <x v="30"/>
    <s v="Produktion Dez 14"/>
    <m/>
    <s v="Propp"/>
    <m/>
    <s v="4300058330"/>
    <s v="Taunus"/>
    <s v="Tanja Geiger"/>
    <s v="Roland Borchard"/>
    <x v="13"/>
  </r>
  <r>
    <x v="1922"/>
    <n v="1"/>
    <x v="63"/>
    <x v="25"/>
    <s v="Produktion Dez 14"/>
    <m/>
    <s v="Propp"/>
    <m/>
    <s v="4300058330"/>
    <s v="Taunus"/>
    <s v="Tanja Geiger"/>
    <s v="Roland Borchard"/>
    <x v="13"/>
  </r>
  <r>
    <x v="1922"/>
    <n v="3"/>
    <x v="65"/>
    <x v="27"/>
    <s v="Produktion Dez 14 Ptr PtrMicro + PtrRegions"/>
    <m/>
    <s v="Propp"/>
    <m/>
    <s v="4300058330"/>
    <s v="Taunus"/>
    <s v="Julia Propp"/>
    <s v="Roland Borchard"/>
    <x v="13"/>
  </r>
  <r>
    <x v="1923"/>
    <n v="1"/>
    <x v="79"/>
    <x v="41"/>
    <s v="Reorganisation Projektstruktur"/>
    <m/>
    <s v="Pechstein"/>
    <s v="die Projektstruktur musste reorganisiert werden, um die vielen Teilprojekte effektiver verwalten zu können"/>
    <s v="4300064782"/>
    <s v="Cost Calculator übergreifend"/>
    <s v="Katharina Werner"/>
    <s v="Katharina Werner"/>
    <x v="13"/>
  </r>
  <r>
    <x v="1923"/>
    <n v="1"/>
    <x v="77"/>
    <x v="39"/>
    <s v="Restrukturierung MPTs"/>
    <m/>
    <s v="Pechstein"/>
    <s v="Anpassung der Datenbanktabellen ebenfalls erforderlich"/>
    <s v="4300064782"/>
    <s v="Cost Calculator übergreifend"/>
    <s v="Katharina Werner"/>
    <s v="Katharina Werner"/>
    <x v="13"/>
  </r>
  <r>
    <x v="1924"/>
    <n v="7"/>
    <x v="42"/>
    <x v="4"/>
    <s v="DashboardIntegration "/>
    <m/>
    <s v="Borchard"/>
    <m/>
    <s v="4300058330"/>
    <s v="Taunus"/>
    <s v="Tanja Geiger"/>
    <s v="Roland Borchard"/>
    <x v="13"/>
  </r>
  <r>
    <x v="1924"/>
    <n v="1"/>
    <x v="67"/>
    <x v="29"/>
    <s v="Vergleich Automation + manuell Produktion"/>
    <m/>
    <s v="Buteweg"/>
    <m/>
    <s v="4300058330"/>
    <s v="Taunus"/>
    <s v="Tanja Geiger"/>
    <s v="Roland Borchard"/>
    <x v="13"/>
  </r>
  <r>
    <x v="1925"/>
    <n v="8"/>
    <x v="42"/>
    <x v="4"/>
    <s v="DashboardIntegration "/>
    <m/>
    <s v="Borchard"/>
    <m/>
    <s v="4300058330"/>
    <s v="Taunus"/>
    <s v="Tanja Geiger"/>
    <s v="Roland Borchard"/>
    <x v="13"/>
  </r>
  <r>
    <x v="1925"/>
    <n v="1"/>
    <x v="40"/>
    <x v="2"/>
    <s v="Analyse ob zwei Studies pro Production Key über Adhoc Produktionen eingegeben werden können"/>
    <m/>
    <s v="Despotovic"/>
    <s v="Ergebnis: nicht möglich"/>
    <s v="4300058328"/>
    <s v="PP2"/>
    <s v="Sandra Despotovic"/>
    <s v="Roland Borchard"/>
    <x v="13"/>
  </r>
  <r>
    <x v="1926"/>
    <n v="4"/>
    <x v="69"/>
    <x v="31"/>
    <s v="Cursorsteuerung"/>
    <m/>
    <s v="C. Herrmann"/>
    <s v="nun über ein Kombi aus TAB und Cursor möglich"/>
    <s v="4300064785"/>
    <s v="Cost Calculator Regional"/>
    <s v="C. Herrmann"/>
    <s v="Claudia Herrmann"/>
    <x v="13"/>
  </r>
  <r>
    <x v="1927"/>
    <n v="4"/>
    <x v="42"/>
    <x v="4"/>
    <s v="DashboardIntegration "/>
    <m/>
    <s v="Borchard"/>
    <m/>
    <s v="4300058330"/>
    <s v="Taunus"/>
    <s v="Tanja Geiger"/>
    <s v="Roland Borchard"/>
    <x v="13"/>
  </r>
  <r>
    <x v="1927"/>
    <n v="4"/>
    <x v="42"/>
    <x v="4"/>
    <s v="Batchautomatisierung"/>
    <m/>
    <s v="Borchard"/>
    <m/>
    <s v="4300058330"/>
    <s v="Taunus"/>
    <s v="Tanja Geiger"/>
    <s v="Roland Borchard"/>
    <x v="13"/>
  </r>
  <r>
    <x v="1926"/>
    <n v="4"/>
    <x v="79"/>
    <x v="41"/>
    <s v="Reorganisation Projektstruktur"/>
    <m/>
    <s v="Pechstein"/>
    <s v="die Projektstruktur musste reorganisiert werden, um die vielen Teilprojekte effektiver verwalten zu können"/>
    <s v="4300064782"/>
    <s v="Cost Calculator übergreifend"/>
    <s v="Katharina Werner"/>
    <s v="Katharina Werner"/>
    <x v="13"/>
  </r>
  <r>
    <x v="1926"/>
    <n v="8"/>
    <x v="42"/>
    <x v="4"/>
    <s v="Batchautomatisierung"/>
    <m/>
    <s v="Borchard"/>
    <m/>
    <s v="4300058330"/>
    <s v="Taunus"/>
    <s v="Tanja Geiger"/>
    <s v="Roland Borchard"/>
    <x v="13"/>
  </r>
  <r>
    <x v="1926"/>
    <n v="2"/>
    <x v="40"/>
    <x v="2"/>
    <s v="Änderung manueller Prodesisexport"/>
    <m/>
    <s v="Despotovic"/>
    <m/>
    <s v="4300058328"/>
    <s v="PP2"/>
    <s v="Sandra Despotovic"/>
    <s v="Roland Borchard"/>
    <x v="13"/>
  </r>
  <r>
    <x v="1926"/>
    <n v="1"/>
    <x v="40"/>
    <x v="2"/>
    <s v="Automation und Reorganisation Projektstruktur"/>
    <m/>
    <s v="Despotovic"/>
    <m/>
    <s v="4300058328"/>
    <s v="PP2"/>
    <s v="Sandra Despotovic"/>
    <s v="Roland Borchard"/>
    <x v="13"/>
  </r>
  <r>
    <x v="1926"/>
    <n v="0.5"/>
    <x v="40"/>
    <x v="2"/>
    <s v="Analyse Fehler beim Kopieren von Produktion"/>
    <m/>
    <s v="Despotovic"/>
    <m/>
    <s v="4300058328"/>
    <s v="PP2"/>
    <s v="Sandra Despotovic"/>
    <s v="Roland Borchard"/>
    <x v="13"/>
  </r>
  <r>
    <x v="1926"/>
    <n v="1"/>
    <x v="69"/>
    <x v="31"/>
    <s v="Entfernung Listpreis"/>
    <m/>
    <s v="C. Herrmann"/>
    <m/>
    <s v="4300064785"/>
    <s v="Cost Calculator Regional"/>
    <s v="C. Herrmann"/>
    <s v="Claudia Herrmann"/>
    <x v="13"/>
  </r>
  <r>
    <x v="1928"/>
    <n v="2"/>
    <x v="51"/>
    <x v="13"/>
    <s v="Restrukturierung MPTs"/>
    <m/>
    <s v="Pechstein"/>
    <m/>
    <s v="4300064783"/>
    <s v="Cost Calculator National"/>
    <s v="Pechstein"/>
    <s v="Marlen Pechstein"/>
    <x v="13"/>
  </r>
  <r>
    <x v="1928"/>
    <n v="2.5"/>
    <x v="56"/>
    <x v="18"/>
    <s v="neue ATC Liste + Adminschnittstelle"/>
    <m/>
    <s v="Pechstein"/>
    <m/>
    <s v="4300064783"/>
    <s v="Cost Calculator National"/>
    <s v="Pechstein"/>
    <s v="Marlen Pechstein"/>
    <x v="13"/>
  </r>
  <r>
    <x v="1928"/>
    <n v="1"/>
    <x v="40"/>
    <x v="2"/>
    <s v="Manuelle Freigabe auch von 9a Status"/>
    <m/>
    <s v="Despotovic"/>
    <m/>
    <s v="4300058328"/>
    <s v="PP2"/>
    <s v="Sandra Despotovic"/>
    <s v="Roland Borchard"/>
    <x v="13"/>
  </r>
  <r>
    <x v="1928"/>
    <n v="3"/>
    <x v="42"/>
    <x v="4"/>
    <s v="Setup Dashboardintegration für bestehende Reportings"/>
    <m/>
    <s v="Borchard"/>
    <s v="nach Fertigstellung des Integrationsfeatures müssen noch alle Reportings umgestellt werden"/>
    <s v="4300058330"/>
    <s v="Taunus"/>
    <s v="Tanja Geiger"/>
    <s v="Roland Borchard"/>
    <x v="13"/>
  </r>
  <r>
    <x v="1928"/>
    <n v="6"/>
    <x v="42"/>
    <x v="4"/>
    <s v="Batchautomatisierung"/>
    <m/>
    <s v="Borchard"/>
    <m/>
    <s v="4300058330"/>
    <s v="Taunus"/>
    <s v="Tanja Geiger"/>
    <s v="Roland Borchard"/>
    <x v="13"/>
  </r>
  <r>
    <x v="1929"/>
    <n v="1"/>
    <x v="56"/>
    <x v="18"/>
    <s v="Restrukturierung MPTs"/>
    <m/>
    <s v="Pechstein"/>
    <m/>
    <s v="4300064783"/>
    <s v="Cost Calculator National"/>
    <s v="Pechstein"/>
    <s v="Marlen Pechstein"/>
    <x v="13"/>
  </r>
  <r>
    <x v="1929"/>
    <n v="2"/>
    <x v="42"/>
    <x v="4"/>
    <s v="Batchautomatisierung"/>
    <m/>
    <s v="Borchard"/>
    <m/>
    <s v="4300058330"/>
    <s v="Taunus"/>
    <s v="Tanja Geiger"/>
    <s v="Roland Borchard"/>
    <x v="13"/>
  </r>
  <r>
    <x v="1929"/>
    <n v="2"/>
    <x v="42"/>
    <x v="4"/>
    <s v="Setup Dashboardintegration für bestehende Reportings"/>
    <m/>
    <s v="Borchard"/>
    <m/>
    <s v="4300058330"/>
    <s v="Taunus"/>
    <s v="Tanja Geiger"/>
    <s v="Roland Borchard"/>
    <x v="13"/>
  </r>
  <r>
    <x v="1930"/>
    <n v="8"/>
    <x v="42"/>
    <x v="4"/>
    <s v="Batchautomatisierung"/>
    <m/>
    <s v="Borchard"/>
    <m/>
    <s v="4300058330"/>
    <s v="Taunus"/>
    <s v="Tanja Geiger"/>
    <s v="Roland Borchard"/>
    <x v="13"/>
  </r>
  <r>
    <x v="1931"/>
    <n v="6"/>
    <x v="42"/>
    <x v="4"/>
    <s v="Batchautomatisierung"/>
    <m/>
    <s v="Borchard"/>
    <m/>
    <s v="4300058330"/>
    <s v="Taunus"/>
    <s v="Tanja Geiger"/>
    <s v="Roland Borchard"/>
    <x v="13"/>
  </r>
  <r>
    <x v="1931"/>
    <n v="2"/>
    <x v="42"/>
    <x v="4"/>
    <s v="DashboardIntegration "/>
    <m/>
    <s v="Borchard"/>
    <m/>
    <s v="4300058330"/>
    <s v="Taunus"/>
    <s v="Tanja Geiger"/>
    <s v="Roland Borchard"/>
    <x v="13"/>
  </r>
  <r>
    <x v="1931"/>
    <n v="2"/>
    <x v="56"/>
    <x v="18"/>
    <s v="Atc Picklist"/>
    <m/>
    <s v="Pechstein"/>
    <m/>
    <s v="4300064783"/>
    <s v="Cost Calculator National"/>
    <s v="Pechstein"/>
    <s v="Marlen Pechstein"/>
    <x v="13"/>
  </r>
  <r>
    <x v="1932"/>
    <n v="0.5"/>
    <x v="48"/>
    <x v="10"/>
    <s v="Anpassung MPTs"/>
    <m/>
    <s v="Pechstein"/>
    <m/>
    <s v="4300064785"/>
    <s v="Cost Calculator Regional"/>
    <s v="Norbert Sdunzig"/>
    <s v="Norbert Sdunzig"/>
    <x v="13"/>
  </r>
  <r>
    <x v="1932"/>
    <n v="0.5"/>
    <x v="69"/>
    <x v="31"/>
    <s v="Anpassung MPTs"/>
    <m/>
    <s v="Pechstein"/>
    <m/>
    <s v="4300064785"/>
    <s v="Cost Calculator Regional"/>
    <s v="Claudia Herrmann"/>
    <s v="Claudia Herrmann"/>
    <x v="13"/>
  </r>
  <r>
    <x v="1932"/>
    <n v="6"/>
    <x v="42"/>
    <x v="4"/>
    <s v="Batchautomatisierung"/>
    <m/>
    <s v="Borchard"/>
    <m/>
    <s v="4300058330"/>
    <s v="Taunus"/>
    <s v="Tanja Geiger"/>
    <s v="Roland Borchard"/>
    <x v="13"/>
  </r>
  <r>
    <x v="1932"/>
    <n v="1"/>
    <x v="51"/>
    <x v="13"/>
    <s v="Anpassung MPTs"/>
    <m/>
    <s v="Pechstein"/>
    <m/>
    <s v="4300064783"/>
    <s v="Cost Calculator National"/>
    <s v="Pechstein"/>
    <s v="Marlen Pechstein"/>
    <x v="13"/>
  </r>
  <r>
    <x v="1932"/>
    <n v="1"/>
    <x v="56"/>
    <x v="18"/>
    <s v="Anpassung MPTs"/>
    <m/>
    <s v="Pechstein"/>
    <m/>
    <s v="4300064783"/>
    <s v="Cost Calculator National"/>
    <s v="Pechstein"/>
    <s v="Marlen Pechstein"/>
    <x v="13"/>
  </r>
  <r>
    <x v="1932"/>
    <n v="2.5"/>
    <x v="42"/>
    <x v="4"/>
    <s v="Dashboardintegration Automatisierung manueller Anpassungen Klosterfrau"/>
    <m/>
    <s v="Borchard"/>
    <s v="nach der Fertigstellung mussten die einzelnen Produktionen der Kunden ncoh auf die neue Logik umgestellt werden"/>
    <s v="4300058330"/>
    <s v="Taunus"/>
    <s v="Tanja Geiger"/>
    <s v="Roland Borchard"/>
    <x v="13"/>
  </r>
  <r>
    <x v="1932"/>
    <n v="2"/>
    <x v="40"/>
    <x v="2"/>
    <s v="Analyse Logmeldung für nicht relevante Produktion"/>
    <m/>
    <s v="Despotovic"/>
    <m/>
    <s v="4300058328"/>
    <s v="PP2"/>
    <s v="Sandra Despotovic"/>
    <s v="Roland Borchard"/>
    <x v="13"/>
  </r>
  <r>
    <x v="1932"/>
    <n v="2"/>
    <x v="77"/>
    <x v="39"/>
    <s v="Kundenliste"/>
    <m/>
    <s v="Pechstein"/>
    <m/>
    <s v="4300064782"/>
    <s v="Cost Calculator übergreifend"/>
    <s v="Katharina Werner"/>
    <s v="Katharina Werner"/>
    <x v="13"/>
  </r>
  <r>
    <x v="1933"/>
    <n v="3"/>
    <x v="56"/>
    <x v="18"/>
    <s v="Restrukturierung MPTs"/>
    <m/>
    <s v="Pechstein"/>
    <s v="Es wurden überall noch zusätzlich zu den deutschen Bezeichnungen die technischen Bezeichnungen aus der Datenbank ergänzt"/>
    <s v="4300064783"/>
    <s v="Cost Calculator National"/>
    <s v="Pechstein"/>
    <s v="Marlen Pechstein"/>
    <x v="13"/>
  </r>
  <r>
    <x v="1933"/>
    <n v="2.5"/>
    <x v="70"/>
    <x v="32"/>
    <s v="Anpassungen Trinknahrung"/>
    <m/>
    <s v="Crone"/>
    <m/>
    <s v="4300058330"/>
    <s v="Taunus"/>
    <s v="Birgit Schilly"/>
    <s v="Roland Borchard"/>
    <x v="13"/>
  </r>
  <r>
    <x v="1933"/>
    <n v="1"/>
    <x v="65"/>
    <x v="27"/>
    <s v="Anpassungen Stada"/>
    <m/>
    <s v="Propp"/>
    <m/>
    <s v="4300058330"/>
    <s v="Taunus"/>
    <s v="Julia Propp"/>
    <s v="Roland Borchard"/>
    <x v="13"/>
  </r>
  <r>
    <x v="1933"/>
    <n v="2"/>
    <x v="42"/>
    <x v="4"/>
    <s v="Dashboardintegration diverse Tests"/>
    <m/>
    <s v="Borchard"/>
    <m/>
    <s v="4300058330"/>
    <s v="Taunus"/>
    <s v="Tanja Geiger"/>
    <s v="Roland Borchard"/>
    <x v="13"/>
  </r>
  <r>
    <x v="1933"/>
    <n v="6"/>
    <x v="40"/>
    <x v="2"/>
    <s v="Prodesis Export wird nur noch über  Plan bestimmt"/>
    <m/>
    <s v="Despotovic"/>
    <m/>
    <s v="4300058328"/>
    <s v="PP2"/>
    <s v="Sandra Despotovic"/>
    <s v="Roland Borchard"/>
    <x v="13"/>
  </r>
  <r>
    <x v="1933"/>
    <n v="3"/>
    <x v="40"/>
    <x v="2"/>
    <s v="Neue Funktion manueller Prodesis Export, geht jetzt auch mit 9a Status"/>
    <m/>
    <s v="Despotovic"/>
    <s v="ersetzt alte Vorgehensweise Manuelle Freigabe + manuelles Packen"/>
    <s v="4300058328"/>
    <s v="PP2"/>
    <s v="Sandra Despotovic"/>
    <s v="Roland Borchard"/>
    <x v="13"/>
  </r>
  <r>
    <x v="1934"/>
    <n v="2.5"/>
    <x v="70"/>
    <x v="32"/>
    <s v="Anpassungen Trinknahrung + Produktion"/>
    <m/>
    <s v="Crone"/>
    <m/>
    <s v="4300058330"/>
    <s v="Taunus"/>
    <s v="Birgit Schilly"/>
    <s v="Roland Borchard"/>
    <x v="13"/>
  </r>
  <r>
    <x v="1934"/>
    <n v="2.5"/>
    <x v="40"/>
    <x v="2"/>
    <s v="Sicherstellung Logging beim Copy Prozess für korrekte Produktionen"/>
    <m/>
    <s v="Despotovic"/>
    <m/>
    <s v="4300058328"/>
    <s v="PP2"/>
    <s v="Sandra Despotovic"/>
    <s v="Roland Borchard"/>
    <x v="13"/>
  </r>
  <r>
    <x v="1934"/>
    <n v="4"/>
    <x v="40"/>
    <x v="2"/>
    <s v="Auswahl ReadyForProd beim neuen Produktionsplan automatisch eingestellt"/>
    <m/>
    <s v="Despotovic"/>
    <m/>
    <s v="4300058328"/>
    <s v="PP2"/>
    <s v="Sandra Despotovic"/>
    <s v="Roland Borchard"/>
    <x v="13"/>
  </r>
  <r>
    <x v="1934"/>
    <n v="1"/>
    <x v="69"/>
    <x v="31"/>
    <s v="Dokumentation Tastatursteuerung"/>
    <m/>
    <s v="Herrmann"/>
    <m/>
    <s v="4300064785"/>
    <s v="Cost Calculator Regional"/>
    <s v="Claudia Herrmann"/>
    <s v="Claudia Herrmann"/>
    <x v="13"/>
  </r>
  <r>
    <x v="1934"/>
    <n v="1"/>
    <x v="69"/>
    <x v="31"/>
    <s v="Tastatursteuerung"/>
    <m/>
    <s v="Herrmann"/>
    <m/>
    <s v="4300064785"/>
    <s v="Cost Calculator Regional"/>
    <s v="Claudia Herrmann"/>
    <s v="Claudia Herrmann"/>
    <x v="13"/>
  </r>
  <r>
    <x v="1934"/>
    <n v="1"/>
    <x v="77"/>
    <x v="39"/>
    <s v="Versionierung"/>
    <m/>
    <s v="Pechstein"/>
    <m/>
    <s v="4300064782"/>
    <s v="Cost Calculator übergreifend"/>
    <s v="Katharina Werner"/>
    <s v="Katharina Werner"/>
    <x v="13"/>
  </r>
  <r>
    <x v="1934"/>
    <n v="1"/>
    <x v="69"/>
    <x v="31"/>
    <s v="Dokumentation Tastatursteuerung"/>
    <m/>
    <s v="Herrmann"/>
    <m/>
    <s v="4300064785"/>
    <s v="Cost Calculator Regional"/>
    <s v="Claudia Herrmann"/>
    <s v="Claudia Herrmann"/>
    <x v="13"/>
  </r>
  <r>
    <x v="1935"/>
    <n v="1"/>
    <x v="69"/>
    <x v="31"/>
    <s v="Tabreihenfolge"/>
    <m/>
    <s v="Herrmann"/>
    <m/>
    <s v="4300064785"/>
    <s v="Cost Calculator Regional"/>
    <s v="Claudia Herrmann"/>
    <s v="Claudia Herrmann"/>
    <x v="13"/>
  </r>
  <r>
    <x v="1936"/>
    <n v="1"/>
    <x v="77"/>
    <x v="39"/>
    <s v="Bereitstellung neue Version"/>
    <m/>
    <s v="Pechstein"/>
    <m/>
    <s v="4300064782"/>
    <s v="Cost Calculator übergreifend"/>
    <s v="Katharina Werner"/>
    <s v="Katharina Werner"/>
    <x v="13"/>
  </r>
  <r>
    <x v="1936"/>
    <n v="7"/>
    <x v="78"/>
    <x v="40"/>
    <s v="Windows 7 Umstellung"/>
    <m/>
    <s v="Burger"/>
    <m/>
    <s v="4300059525"/>
    <s v="Subterritory Planner"/>
    <s v="Udo Burger"/>
    <s v="Udo Burger"/>
    <x v="13"/>
  </r>
  <r>
    <x v="1937"/>
    <n v="8"/>
    <x v="78"/>
    <x v="40"/>
    <s v="Windows 7 Umstellung"/>
    <m/>
    <s v="Burger"/>
    <m/>
    <s v="4300059525"/>
    <s v="Subterritory Planner"/>
    <s v="Udo Burger"/>
    <s v="Udo Burger"/>
    <x v="13"/>
  </r>
  <r>
    <x v="1938"/>
    <n v="8"/>
    <x v="78"/>
    <x v="40"/>
    <s v="Subterritory Makro"/>
    <m/>
    <s v="Burger"/>
    <m/>
    <s v="4300059525"/>
    <s v="Subterritory Planner"/>
    <s v="Udo Burger"/>
    <s v="Udo Burger"/>
    <x v="13"/>
  </r>
  <r>
    <x v="1939"/>
    <n v="8"/>
    <x v="78"/>
    <x v="40"/>
    <s v="Subterritory Makro"/>
    <m/>
    <s v="Burger"/>
    <m/>
    <s v="4300059525"/>
    <s v="Subterritory Planner"/>
    <s v="Udo Burger"/>
    <s v="Udo Burger"/>
    <x v="13"/>
  </r>
  <r>
    <x v="1939"/>
    <n v="3"/>
    <x v="40"/>
    <x v="2"/>
    <s v="Anpassung Systemtests an neue Prodesislogik"/>
    <m/>
    <s v="Despotovic"/>
    <s v="Die Systemtests mussten an die neue Logik angepasst werden, Packen wird nur duch Plan bestimmt"/>
    <s v="4300058328"/>
    <s v="PP2"/>
    <s v="Sandra Despotovic"/>
    <s v="Roland Borchard"/>
    <x v="13"/>
  </r>
  <r>
    <x v="1939"/>
    <n v="2"/>
    <x v="40"/>
    <x v="2"/>
    <s v="Systemtests wegen neuer Prodesislogik"/>
    <m/>
    <s v="Despotovic"/>
    <m/>
    <s v="4300058328"/>
    <s v="PP2"/>
    <s v="Sandra Despotovic"/>
    <s v="Roland Borchard"/>
    <x v="13"/>
  </r>
  <r>
    <x v="1939"/>
    <n v="2"/>
    <x v="40"/>
    <x v="2"/>
    <s v="Suchlogik Prodkey Schnellsuche"/>
    <m/>
    <s v="Despotovic"/>
    <m/>
    <s v="4300058328"/>
    <s v="PP2"/>
    <s v="Sandra Despotovic"/>
    <s v="Roland Borchard"/>
    <x v="13"/>
  </r>
  <r>
    <x v="1939"/>
    <n v="1"/>
    <x v="42"/>
    <x v="4"/>
    <s v="Dashboardintegration Klosterfrau + Quickview"/>
    <m/>
    <s v="Borchard"/>
    <s v="nach der Fertigstellung mussten die einzelnen Produktionen der Kunden noch auf die neue Logik umgestellt werden"/>
    <s v="4300058330"/>
    <s v="Taunus"/>
    <s v="Tanja Geiger"/>
    <s v="Roland Borchard"/>
    <x v="13"/>
  </r>
  <r>
    <x v="1940"/>
    <n v="4"/>
    <x v="42"/>
    <x v="4"/>
    <s v="Batchautomatisierung"/>
    <m/>
    <s v="Borchard"/>
    <m/>
    <s v="4300058330"/>
    <s v="Taunus"/>
    <s v="Tanja Geiger"/>
    <s v="Roland Borchard"/>
    <x v="13"/>
  </r>
  <r>
    <x v="1940"/>
    <n v="1"/>
    <x v="40"/>
    <x v="2"/>
    <s v="Überprüfung ob durch Adhoc und geplante Produktion zwei Linienfolder mit gleichem Namen erstellt werden können"/>
    <m/>
    <s v="Despotovic"/>
    <s v="Ergebnis: bei Erstellung einer geplanten Produktion muss noch eine Überprüfung eingebaut werden"/>
    <s v="4300058328"/>
    <s v="PP2"/>
    <s v="Sandra Despotovic"/>
    <s v="Roland Borchard"/>
    <x v="13"/>
  </r>
  <r>
    <x v="1940"/>
    <n v="4"/>
    <x v="40"/>
    <x v="2"/>
    <s v="Schnellsuche + Systemtests für Updates"/>
    <m/>
    <s v="Despotovic"/>
    <m/>
    <s v="4300058328"/>
    <s v="PP2"/>
    <s v="Sandra Despotovic"/>
    <s v="Roland Borchard"/>
    <x v="13"/>
  </r>
  <r>
    <x v="1940"/>
    <n v="1"/>
    <x v="42"/>
    <x v="4"/>
    <s v="Anpassung der psh-Files an neues Fileformat"/>
    <m/>
    <s v="Borchard"/>
    <s v="nach Umsetzung der Versionierung mussten noch Fileforamte für alle besthenden psh Files umgestellt werden"/>
    <s v="4300058330"/>
    <s v="Taunus"/>
    <s v="Tanja Geiger"/>
    <s v="Roland Borchard"/>
    <x v="13"/>
  </r>
  <r>
    <x v="1941"/>
    <n v="2"/>
    <x v="42"/>
    <x v="4"/>
    <s v="Anpassung der psh-Files an neues Fileformat"/>
    <m/>
    <s v="Borchard"/>
    <s v="nach Umsetzung der Versionierung mussten noch Fileforamte für alle besthenden psh Files umgestellt werden"/>
    <s v="4300058330"/>
    <s v="Taunus"/>
    <s v="Tanja Geiger"/>
    <s v="Roland Borchard"/>
    <x v="13"/>
  </r>
  <r>
    <x v="1941"/>
    <n v="1"/>
    <x v="42"/>
    <x v="4"/>
    <s v="Anpassung für Dashboardintegration Nutricia"/>
    <m/>
    <s v="Borchard"/>
    <s v="nach der Fertigstellung mussten die einzelnen Produktionen der Kunden noch auf die neue Logik umgestellt werden"/>
    <s v="4300058330"/>
    <s v="Taunus"/>
    <s v="Tanja Geiger"/>
    <s v="Roland Borchard"/>
    <x v="13"/>
  </r>
  <r>
    <x v="1941"/>
    <n v="4"/>
    <x v="42"/>
    <x v="4"/>
    <s v="Batchautomatisierung, Versionierung auch für Batch Files"/>
    <m/>
    <s v="Borchard"/>
    <m/>
    <s v="4300058330"/>
    <s v="Taunus"/>
    <s v="Tanja Geiger"/>
    <s v="Roland Borchard"/>
    <x v="13"/>
  </r>
  <r>
    <x v="1942"/>
    <n v="3"/>
    <x v="42"/>
    <x v="4"/>
    <s v="Batchautomatisierung, Umstellung bestehender Batch Files"/>
    <m/>
    <s v="Borchard"/>
    <s v="nach Fertigstellung der Batchautomatisierung mussten noch alle provisorischen Batchdateien auf psb-files umgestellt werden"/>
    <s v="4300058330"/>
    <s v="Taunus"/>
    <s v="Tanja Geiger"/>
    <s v="Roland Borchard"/>
    <x v="13"/>
  </r>
  <r>
    <x v="1942"/>
    <n v="2"/>
    <x v="42"/>
    <x v="4"/>
    <s v="Erweiterung aller psh-files mit Datumsstempel"/>
    <m/>
    <s v="Borchard"/>
    <m/>
    <s v="4300058330"/>
    <s v="Taunus"/>
    <s v="Tanja Geiger"/>
    <s v="Roland Borchard"/>
    <x v="13"/>
  </r>
  <r>
    <x v="1942"/>
    <n v="2.5"/>
    <x v="42"/>
    <x v="4"/>
    <s v="Erstellung Production Map"/>
    <m/>
    <s v="Borchard"/>
    <m/>
    <s v="4300058330"/>
    <s v="Taunus"/>
    <s v="Tanja Geiger"/>
    <s v="Roland Borchard"/>
    <x v="13"/>
  </r>
  <r>
    <x v="1942"/>
    <n v="2"/>
    <x v="42"/>
    <x v="4"/>
    <s v="Aktualisierung files in Austauschordner + Tests auf Server 0130"/>
    <m/>
    <s v="Borchard"/>
    <m/>
    <s v="4300058330"/>
    <s v="Taunus"/>
    <s v="Tanja Geiger"/>
    <s v="Roland Borchard"/>
    <x v="13"/>
  </r>
  <r>
    <x v="1942"/>
    <n v="1"/>
    <x v="40"/>
    <x v="2"/>
    <s v="Performance Testing Schnellsuche"/>
    <m/>
    <s v="Despotovic"/>
    <m/>
    <s v="4300058328"/>
    <s v="PP2"/>
    <s v="Sandra Despotovic"/>
    <s v="Roland Borchard"/>
    <x v="13"/>
  </r>
  <r>
    <x v="1943"/>
    <n v="1.5"/>
    <x v="54"/>
    <x v="16"/>
    <s v="Stichprobentests auf 0130  Server"/>
    <m/>
    <s v="Borchard"/>
    <m/>
    <s v="4300058330"/>
    <s v="Powercharts"/>
    <s v="Voigt"/>
    <s v="Hema Gajjar"/>
    <x v="13"/>
  </r>
  <r>
    <x v="1943"/>
    <n v="2"/>
    <x v="40"/>
    <x v="2"/>
    <s v="abschließende Tests neue Version"/>
    <m/>
    <s v="Despotovic"/>
    <m/>
    <s v="4300058328"/>
    <s v="PP2"/>
    <s v="Sandra Despotovic"/>
    <s v="Roland Borchard"/>
    <x v="13"/>
  </r>
  <r>
    <x v="1943"/>
    <n v="3"/>
    <x v="65"/>
    <x v="27"/>
    <s v="Anpassung Produktauswahl Stada reports"/>
    <m/>
    <s v="Propp"/>
    <m/>
    <s v="4300058330"/>
    <s v="Taunus"/>
    <s v="Julia Propp"/>
    <s v="Roland Borchard"/>
    <x v="13"/>
  </r>
  <r>
    <x v="1943"/>
    <n v="4"/>
    <x v="42"/>
    <x v="4"/>
    <s v="Batchautomatisierung relative Pfade"/>
    <m/>
    <s v="Borchard"/>
    <m/>
    <s v="4300058330"/>
    <s v="Taunus"/>
    <s v="Tanja Geiger"/>
    <s v="Roland Borchard"/>
    <x v="13"/>
  </r>
  <r>
    <x v="1943"/>
    <n v="1"/>
    <x v="40"/>
    <x v="2"/>
    <s v="Performance Testing Schnellsuche"/>
    <m/>
    <s v="Despotovic"/>
    <m/>
    <s v="4300058328"/>
    <s v="PP2"/>
    <s v="Sandra Despotovic"/>
    <s v="Roland Borchard"/>
    <x v="13"/>
  </r>
  <r>
    <x v="1944"/>
    <n v="1"/>
    <x v="40"/>
    <x v="2"/>
    <s v="Optimierung Schnellsuche"/>
    <m/>
    <s v="Despotovic"/>
    <m/>
    <s v="4300058328"/>
    <s v="PP2"/>
    <s v="Sandra Despotovic"/>
    <s v="Roland Borchard"/>
    <x v="13"/>
  </r>
  <r>
    <x v="1944"/>
    <n v="2"/>
    <x v="40"/>
    <x v="2"/>
    <s v="Bereitstellung neue Version"/>
    <m/>
    <s v="Despotovic"/>
    <m/>
    <s v="4300058328"/>
    <s v="PP2"/>
    <s v="Sandra Despotovic"/>
    <s v="Roland Borchard"/>
    <x v="13"/>
  </r>
  <r>
    <x v="1944"/>
    <n v="2"/>
    <x v="40"/>
    <x v="2"/>
    <s v="Manuelles Packen + Laufbalken Manueller Prodesisversand"/>
    <m/>
    <s v="Despotovic"/>
    <m/>
    <s v="4300058328"/>
    <s v="PP2"/>
    <s v="Sandra Despotovic"/>
    <s v="Roland Borchard"/>
    <x v="13"/>
  </r>
  <r>
    <x v="1945"/>
    <n v="1"/>
    <x v="40"/>
    <x v="2"/>
    <s v="Optimierung Schnellsuche"/>
    <m/>
    <s v="Despotovic"/>
    <m/>
    <s v="4300058328"/>
    <s v="PP2"/>
    <s v="Sandra Despotovic"/>
    <s v="Roland Borchard"/>
    <x v="13"/>
  </r>
  <r>
    <x v="1945"/>
    <n v="1"/>
    <x v="40"/>
    <x v="2"/>
    <s v="Manuelles Packen"/>
    <m/>
    <s v="Despotovic"/>
    <s v="Hat sich als Refrehproblem des Browsers entpuppt"/>
    <s v="4300058328"/>
    <s v="PP2"/>
    <s v="Sandra Despotovic"/>
    <s v="Roland Borchard"/>
    <x v="13"/>
  </r>
  <r>
    <x v="1946"/>
    <n v="1"/>
    <x v="40"/>
    <x v="2"/>
    <s v="Optimierung Schnellsuche"/>
    <m/>
    <s v="Despotovic"/>
    <m/>
    <s v="4300058328"/>
    <s v="PP2"/>
    <s v="Sandra Despotovic"/>
    <s v="Roland Borchard"/>
    <x v="13"/>
  </r>
  <r>
    <x v="1946"/>
    <n v="8"/>
    <x v="78"/>
    <x v="40"/>
    <s v="Integration 3 STPs"/>
    <m/>
    <s v="Burger"/>
    <m/>
    <s v="4300059525"/>
    <s v="Subterritory Planner"/>
    <s v="Udo Burger"/>
    <s v="Udo Burger"/>
    <x v="13"/>
  </r>
  <r>
    <x v="1947"/>
    <n v="2"/>
    <x v="42"/>
    <x v="4"/>
    <s v="Anpassung an relative Pfade in allen psb-files"/>
    <m/>
    <s v="Burger"/>
    <s v="damit beim Übertragen von Entwicklungsumgebung zum Austauschordner zukünftig keine Anpassungen mehr nötig sind"/>
    <s v="4300058330"/>
    <s v="Taunus"/>
    <s v="Tanja Geiger"/>
    <s v="Roland Borchard"/>
    <x v="13"/>
  </r>
  <r>
    <x v="1947"/>
    <n v="1"/>
    <x v="39"/>
    <x v="1"/>
    <s v="Produktion Januar Daten auf Server"/>
    <m/>
    <s v="Crone"/>
    <s v="gleichzeitig Test"/>
    <s v="4300058330"/>
    <s v="Taunus"/>
    <s v="Birgit Schilly"/>
    <s v="Roland Borchard"/>
    <x v="13"/>
  </r>
  <r>
    <x v="1947"/>
    <n v="8"/>
    <x v="78"/>
    <x v="40"/>
    <s v="Integration 3 STPs"/>
    <m/>
    <s v="Burger"/>
    <m/>
    <s v="4300059525"/>
    <s v="Subterritory Planner"/>
    <s v="Udo Burger"/>
    <s v="Udo Burger"/>
    <x v="13"/>
  </r>
  <r>
    <x v="1948"/>
    <n v="8"/>
    <x v="78"/>
    <x v="40"/>
    <s v="Integration 3 STPs"/>
    <m/>
    <s v="Burger"/>
    <m/>
    <s v="4300059525"/>
    <s v="Subterritory Planner"/>
    <s v="Udo Burger"/>
    <s v="Udo Burger"/>
    <x v="13"/>
  </r>
  <r>
    <x v="1949"/>
    <n v="1.5"/>
    <x v="42"/>
    <x v="4"/>
    <s v="Integration Übersichtsseite Production Map"/>
    <m/>
    <s v="Borchard"/>
    <m/>
    <s v="4300058330"/>
    <s v="Taunus"/>
    <s v="Tanja Geiger"/>
    <s v="Roland Borchard"/>
    <x v="13"/>
  </r>
  <r>
    <x v="1949"/>
    <n v="1"/>
    <x v="66"/>
    <x v="28"/>
    <s v="Produktion Januar Daten auf Server"/>
    <m/>
    <s v="Crone"/>
    <m/>
    <s v="4300058330"/>
    <s v="Taunus"/>
    <s v="Tanja Geiger"/>
    <s v="Roland Borchard"/>
    <x v="13"/>
  </r>
  <r>
    <x v="1949"/>
    <n v="4"/>
    <x v="40"/>
    <x v="2"/>
    <s v="letzte  Anpassungen + Tests Suchbox + Bereitstellung"/>
    <m/>
    <s v="Despotovic"/>
    <m/>
    <s v="4300058328"/>
    <s v="PP2"/>
    <s v="Sandra Despotovic"/>
    <s v="Roland Borchard"/>
    <x v="13"/>
  </r>
  <r>
    <x v="1949"/>
    <n v="4"/>
    <x v="70"/>
    <x v="32"/>
    <s v="Anpassungen psh files wegen neuer Gebietsstruktur + August Produktion"/>
    <m/>
    <s v="Crone"/>
    <m/>
    <s v="4300058330"/>
    <s v="Taunus"/>
    <s v="Birgit Schilly"/>
    <s v="Roland Borchard"/>
    <x v="13"/>
  </r>
  <r>
    <x v="1949"/>
    <n v="1"/>
    <x v="40"/>
    <x v="2"/>
    <s v="Optimierung Schnellsuche"/>
    <m/>
    <s v="Despotovic"/>
    <m/>
    <s v="4300058328"/>
    <s v="PP2"/>
    <s v="Sandra Despotovic"/>
    <s v="Roland Borchard"/>
    <x v="13"/>
  </r>
  <r>
    <x v="1949"/>
    <n v="0.5"/>
    <x v="65"/>
    <x v="27"/>
    <s v="Produktion Januar Daten auf Server"/>
    <m/>
    <s v="Propp"/>
    <m/>
    <s v="4300058330"/>
    <s v="Taunus"/>
    <s v="Julia Propp"/>
    <s v="Roland Borchard"/>
    <x v="13"/>
  </r>
  <r>
    <x v="1950"/>
    <n v="1"/>
    <x v="42"/>
    <x v="4"/>
    <s v="Einrichtung 0162 Server"/>
    <m/>
    <s v="Borchard"/>
    <m/>
    <s v="4300058330"/>
    <s v="Taunus"/>
    <s v="Tanja Geiger"/>
    <s v="Roland Borchard"/>
    <x v="13"/>
  </r>
  <r>
    <x v="1950"/>
    <n v="1"/>
    <x v="70"/>
    <x v="32"/>
    <s v="Produktion + Auslieferung Januar Daten"/>
    <m/>
    <s v="Crone"/>
    <m/>
    <s v="4300058330"/>
    <s v="Taunus"/>
    <s v="Birgit Schilly"/>
    <s v="Roland Borchard"/>
    <x v="13"/>
  </r>
  <r>
    <x v="1950"/>
    <n v="0.5"/>
    <x v="69"/>
    <x v="31"/>
    <s v="Telko Frau Herrmann"/>
    <m/>
    <s v="Herrmann"/>
    <m/>
    <s v="4300064785"/>
    <s v="Cost Calculator Regional"/>
    <s v="Claudia Herrmann"/>
    <s v="Claudia Herrmann"/>
    <x v="13"/>
  </r>
  <r>
    <x v="1950"/>
    <n v="0.5"/>
    <x v="69"/>
    <x v="31"/>
    <s v="Umbenennungen "/>
    <m/>
    <s v="Herrmann"/>
    <m/>
    <s v="4300064785"/>
    <s v="Cost Calculator Regional"/>
    <s v="Claudia Herrmann"/>
    <s v="Claudia Herrmann"/>
    <x v="13"/>
  </r>
  <r>
    <x v="1950"/>
    <n v="0.5"/>
    <x v="42"/>
    <x v="4"/>
    <s v="Pflege Production Map"/>
    <m/>
    <s v="Borchard"/>
    <s v="wegen Änderungen an psh files"/>
    <s v="4300058330"/>
    <s v="Taunus"/>
    <s v="Tanja Geiger"/>
    <s v="Roland Borchard"/>
    <x v="13"/>
  </r>
  <r>
    <x v="1950"/>
    <n v="0.5"/>
    <x v="68"/>
    <x v="30"/>
    <s v="Produktion und Auslieferung Januar Daten"/>
    <m/>
    <s v="Borchard"/>
    <m/>
    <s v="4300058330"/>
    <s v="Taunus"/>
    <s v="Tanja Geiger"/>
    <s v="Roland Borchard"/>
    <x v="13"/>
  </r>
  <r>
    <x v="1950"/>
    <n v="1"/>
    <x v="42"/>
    <x v="4"/>
    <s v="Stichprobentests 0162 Server"/>
    <m/>
    <s v="Borchard"/>
    <m/>
    <s v="4300058330"/>
    <s v="Taunus"/>
    <s v="Tanja Geiger"/>
    <s v="Roland Borchard"/>
    <x v="13"/>
  </r>
  <r>
    <x v="1951"/>
    <n v="0.5"/>
    <x v="65"/>
    <x v="27"/>
    <s v="Ptr Regions Report Produktion Januar"/>
    <m/>
    <s v="Müller"/>
    <m/>
    <s v="4300058330"/>
    <s v="Taunus"/>
    <s v="Julia Propp"/>
    <s v="Roland Borchard"/>
    <x v="13"/>
  </r>
  <r>
    <x v="1951"/>
    <n v="0.5"/>
    <x v="69"/>
    <x v="31"/>
    <s v="Umbenennungen"/>
    <m/>
    <s v="Herrmann"/>
    <m/>
    <s v="4300064785"/>
    <s v="Cost Calculator Regional"/>
    <s v="Claudia Herrmann"/>
    <s v="Claudia Herrmann"/>
    <x v="13"/>
  </r>
  <r>
    <x v="1952"/>
    <n v="1"/>
    <x v="40"/>
    <x v="2"/>
    <s v="grüne Markierung für bessere Treffer  Sichtbarkeit"/>
    <m/>
    <s v="Despotovic"/>
    <m/>
    <s v="4300058328"/>
    <s v="PP2"/>
    <s v="Sandra Despotovic"/>
    <s v="Roland Borchard"/>
    <x v="13"/>
  </r>
  <r>
    <x v="1952"/>
    <n v="1"/>
    <x v="69"/>
    <x v="31"/>
    <s v="Excel Export Umbenennungen"/>
    <m/>
    <s v="Herrmann"/>
    <m/>
    <s v="4300064785"/>
    <s v="Cost Calculator Regional"/>
    <s v="Claudia Herrmann"/>
    <s v="Claudia Herrmann"/>
    <x v="13"/>
  </r>
  <r>
    <x v="1952"/>
    <n v="2"/>
    <x v="69"/>
    <x v="31"/>
    <s v="Umbenennungen in Oberfläche und Berechnungsmodell"/>
    <m/>
    <s v="Herrmann"/>
    <m/>
    <s v="4300064785"/>
    <s v="Cost Calculator Regional"/>
    <s v="Claudia Herrmann"/>
    <s v="Claudia Herrmann"/>
    <x v="13"/>
  </r>
  <r>
    <x v="1953"/>
    <n v="1"/>
    <x v="39"/>
    <x v="1"/>
    <s v="Produktion National"/>
    <m/>
    <s v="Crone"/>
    <m/>
    <s v="4300058330"/>
    <s v="Taunus"/>
    <s v="Birgit Schilly"/>
    <s v="Roland Borchard"/>
    <x v="13"/>
  </r>
  <r>
    <x v="1953"/>
    <n v="0.5"/>
    <x v="63"/>
    <x v="25"/>
    <s v="Anpassungen Biomedica"/>
    <m/>
    <s v="Propp"/>
    <m/>
    <s v="4300058330"/>
    <s v="Taunus"/>
    <s v="Tanja Geiger"/>
    <s v="Roland Borchard"/>
    <x v="13"/>
  </r>
  <r>
    <x v="1953"/>
    <n v="0.5"/>
    <x v="65"/>
    <x v="27"/>
    <s v="Anpassungen StadaPtr (Spalt)"/>
    <m/>
    <s v="Propp"/>
    <m/>
    <s v="4300058330"/>
    <s v="Taunus"/>
    <s v="Julia Propp"/>
    <s v="Roland Borchard"/>
    <x v="13"/>
  </r>
  <r>
    <x v="1954"/>
    <n v="1"/>
    <x v="42"/>
    <x v="4"/>
    <s v="Support englische Measure Namen auf 0130"/>
    <m/>
    <s v="Propp"/>
    <m/>
    <s v="4300058330"/>
    <s v="Taunus"/>
    <s v="Tanja Geiger"/>
    <s v="Roland Borchard"/>
    <x v="13"/>
  </r>
  <r>
    <x v="1954"/>
    <n v="1"/>
    <x v="63"/>
    <x v="25"/>
    <s v="Erneute Produktion wegen englischen Measures "/>
    <m/>
    <s v="Propp"/>
    <m/>
    <s v="4300058330"/>
    <s v="Taunus"/>
    <s v="Tanja Geiger"/>
    <s v="Roland Borchard"/>
    <x v="13"/>
  </r>
  <r>
    <x v="1955"/>
    <n v="1"/>
    <x v="63"/>
    <x v="25"/>
    <s v="Erneute Produktion wegen englischen Measures "/>
    <m/>
    <s v="Propp"/>
    <m/>
    <s v="4300058330"/>
    <s v="Taunus"/>
    <s v="Tanja Geiger"/>
    <s v="Roland Borchard"/>
    <x v="13"/>
  </r>
  <r>
    <x v="1955"/>
    <n v="1"/>
    <x v="65"/>
    <x v="27"/>
    <s v="Anpassungen StadaPtr (Spalt) + Auslieferung"/>
    <m/>
    <s v="Propp"/>
    <m/>
    <s v="4300058330"/>
    <s v="Taunus"/>
    <s v="Julia Propp"/>
    <s v="Roland Borchard"/>
    <x v="13"/>
  </r>
  <r>
    <x v="1955"/>
    <n v="1"/>
    <x v="39"/>
    <x v="1"/>
    <s v="manuelle Anpassungen + Auslieferung neue Reports"/>
    <m/>
    <s v="Crone"/>
    <m/>
    <s v="4300058330"/>
    <s v="Taunus"/>
    <s v="Birgit Schilly"/>
    <s v="Roland Borchard"/>
    <x v="13"/>
  </r>
  <r>
    <x v="1956"/>
    <n v="0.5"/>
    <x v="42"/>
    <x v="4"/>
    <s v="Support Sprachproblem auf Server 0130"/>
    <m/>
    <s v="Propp"/>
    <m/>
    <s v="4300058330"/>
    <s v="Taunus"/>
    <s v="Tanja Geiger"/>
    <s v="Roland Borchard"/>
    <x v="13"/>
  </r>
  <r>
    <x v="1956"/>
    <n v="1"/>
    <x v="65"/>
    <x v="27"/>
    <s v="Anpassung Brand Auswahl PTR + PTRMicro"/>
    <m/>
    <s v="Propp"/>
    <m/>
    <s v="4300058330"/>
    <s v="Taunus"/>
    <s v="Julia Propp"/>
    <s v="Roland Borchard"/>
    <x v="13"/>
  </r>
  <r>
    <x v="1956"/>
    <n v="0.5"/>
    <x v="66"/>
    <x v="28"/>
    <s v="Neues Attribut Fortimel"/>
    <m/>
    <s v="Crone"/>
    <m/>
    <s v="4300058330"/>
    <s v="Taunus"/>
    <s v="Tanja Geiger"/>
    <s v="Roland Borchard"/>
    <x v="13"/>
  </r>
  <r>
    <x v="1956"/>
    <n v="0.5"/>
    <x v="42"/>
    <x v="4"/>
    <s v="Endlosschleife Excel auf Server 0130, Prüfung"/>
    <m/>
    <s v="Propp"/>
    <m/>
    <s v="4300058330"/>
    <s v="Taunus"/>
    <s v="Tanja Geiger"/>
    <s v="Roland Borchard"/>
    <x v="13"/>
  </r>
  <r>
    <x v="1956"/>
    <n v="2"/>
    <x v="69"/>
    <x v="31"/>
    <s v="Nullwerte in Matrix, Anpassungen Excel Export"/>
    <m/>
    <s v="Herrmann"/>
    <m/>
    <s v="4300064785"/>
    <s v="Cost Calculator Regional"/>
    <s v="Claudia Herrmann"/>
    <s v="Claudia Herrmann"/>
    <x v="13"/>
  </r>
  <r>
    <x v="1956"/>
    <n v="1"/>
    <x v="39"/>
    <x v="1"/>
    <s v="Marktbasis automatisch auf Dashboard ausweisen"/>
    <m/>
    <s v="Crone"/>
    <m/>
    <s v="4300058330"/>
    <s v="Taunus"/>
    <s v="Birgit Schilly"/>
    <s v="Roland Borchard"/>
    <x v="13"/>
  </r>
  <r>
    <x v="1956"/>
    <n v="4"/>
    <x v="40"/>
    <x v="2"/>
    <s v="Reduktion Auswahl ReadyForProd nach Produktionsplanerstellung + SASMP Liste"/>
    <m/>
    <s v="Despotovic"/>
    <m/>
    <s v="4300058328"/>
    <s v="PP2"/>
    <s v="Sandra Despotovic"/>
    <s v="Roland Borchard"/>
    <x v="13"/>
  </r>
  <r>
    <x v="1957"/>
    <n v="1.5"/>
    <x v="69"/>
    <x v="31"/>
    <s v="Verstecken von Nullen in Matrix"/>
    <m/>
    <s v="Herrmann"/>
    <m/>
    <s v="4300064785"/>
    <s v="Cost Calculator Regional"/>
    <s v="Claudia Herrmann"/>
    <s v="Claudia Herrmann"/>
    <x v="13"/>
  </r>
  <r>
    <x v="1957"/>
    <n v="1"/>
    <x v="69"/>
    <x v="31"/>
    <s v="Änderung der Berechnungsreihenfolge"/>
    <m/>
    <s v="Herrmann"/>
    <m/>
    <s v="4300064785"/>
    <s v="Cost Calculator Regional"/>
    <s v="Claudia Herrmann"/>
    <s v="Claudia Herrmann"/>
    <x v="13"/>
  </r>
  <r>
    <x v="1957"/>
    <n v="1"/>
    <x v="69"/>
    <x v="31"/>
    <s v="Umbenennungen"/>
    <m/>
    <s v="Herrmann"/>
    <m/>
    <s v="4300064785"/>
    <s v="Cost Calculator Regional"/>
    <s v="Claudia Herrmann"/>
    <s v="Claudia Herrmann"/>
    <x v="13"/>
  </r>
  <r>
    <x v="1957"/>
    <n v="1.5"/>
    <x v="69"/>
    <x v="31"/>
    <s v="Planung neue Kalkulatorvarianten DIA, DOC, ISSOR etc."/>
    <m/>
    <s v="Herrmann"/>
    <m/>
    <s v="4300064785"/>
    <s v="Cost Calculator Regional"/>
    <s v="Claudia Herrmann"/>
    <s v="Claudia Herrmann"/>
    <x v="13"/>
  </r>
  <r>
    <x v="1957"/>
    <n v="1"/>
    <x v="69"/>
    <x v="31"/>
    <s v="Neue Excel Templates für neue Kalkulatoren"/>
    <m/>
    <s v="Herrmann"/>
    <m/>
    <s v="4300064785"/>
    <s v="Cost Calculator Regional"/>
    <s v="Claudia Herrmann"/>
    <s v="Claudia Herrmann"/>
    <x v="13"/>
  </r>
  <r>
    <x v="1957"/>
    <n v="1"/>
    <x v="65"/>
    <x v="27"/>
    <s v="Monatsproduktion PTR Micro"/>
    <m/>
    <s v="Propp"/>
    <m/>
    <s v="4300058330"/>
    <s v="Taunus"/>
    <s v="Julia Propp"/>
    <s v="Roland Borchard"/>
    <x v="13"/>
  </r>
  <r>
    <x v="1957"/>
    <n v="2"/>
    <x v="40"/>
    <x v="2"/>
    <s v="Verbesserung der Darstellung nach Treffer über Schnellsuche"/>
    <m/>
    <s v="Despotovic"/>
    <m/>
    <s v="4300058328"/>
    <s v="PP2"/>
    <s v="Sandra Despotovic"/>
    <s v="Roland Borchard"/>
    <x v="13"/>
  </r>
  <r>
    <x v="1957"/>
    <n v="2"/>
    <x v="40"/>
    <x v="2"/>
    <s v="Bereitstellung neue Version"/>
    <m/>
    <s v="Despotovic"/>
    <m/>
    <s v="4300058328"/>
    <s v="PP2"/>
    <s v="Sandra Despotovic"/>
    <s v="Roland Borchard"/>
    <x v="13"/>
  </r>
  <r>
    <x v="1958"/>
    <n v="1"/>
    <x v="69"/>
    <x v="31"/>
    <s v="Verstecken von Nullen in Matrix"/>
    <m/>
    <s v="Herrmann"/>
    <m/>
    <s v="4300064785"/>
    <s v="Cost Calculator Regional"/>
    <s v="Claudia Herrmann"/>
    <s v="Claudia Herrmann"/>
    <x v="13"/>
  </r>
  <r>
    <x v="1959"/>
    <n v="2"/>
    <x v="65"/>
    <x v="27"/>
    <s v="Support Produktion Stada Vita Märkte"/>
    <m/>
    <s v="Despotovic"/>
    <m/>
    <s v="4300058330"/>
    <s v="Taunus"/>
    <s v="Julia Propp"/>
    <s v="Roland Borchard"/>
    <x v="13"/>
  </r>
  <r>
    <x v="1959"/>
    <n v="1"/>
    <x v="69"/>
    <x v="31"/>
    <s v="Nullen ausblenden"/>
    <m/>
    <s v="Herrmann"/>
    <m/>
    <s v="4300064785"/>
    <s v="Cost Calculator Regional"/>
    <s v="Claudia Herrmann"/>
    <s v="Claudia Herrmann"/>
    <x v="13"/>
  </r>
  <r>
    <x v="1959"/>
    <n v="6"/>
    <x v="65"/>
    <x v="27"/>
    <s v="Micro Reports, Cube 2278, neue Gebietsstruktur VITA reports, Neuproduktion Januar"/>
    <m/>
    <s v="Propp"/>
    <m/>
    <s v="4300058330"/>
    <s v="Taunus"/>
    <s v="Julia Propp"/>
    <s v="Roland Borchard"/>
    <x v="13"/>
  </r>
  <r>
    <x v="1959"/>
    <n v="4"/>
    <x v="69"/>
    <x v="31"/>
    <s v="Optimierung Ausblendung Nullen + Navigation"/>
    <m/>
    <s v="Herrmann"/>
    <m/>
    <s v="4300064785"/>
    <s v="Cost Calculator Regional"/>
    <s v="Claudia Herrmann"/>
    <s v="Claudia Herrmann"/>
    <x v="13"/>
  </r>
  <r>
    <x v="1960"/>
    <n v="1"/>
    <x v="78"/>
    <x v="40"/>
    <s v="Einrichtung + Test 0149 Server"/>
    <m/>
    <s v="Burger"/>
    <m/>
    <s v="4300059525"/>
    <s v="Subterritory Planner"/>
    <s v="Udo Burger"/>
    <s v="Udo Burger"/>
    <x v="13"/>
  </r>
  <r>
    <x v="1961"/>
    <n v="1"/>
    <x v="67"/>
    <x v="29"/>
    <s v="Vorbereitung Dezember Produktion"/>
    <m/>
    <s v="Crone"/>
    <m/>
    <s v="4300058330"/>
    <s v="Taunus"/>
    <s v="Tanja Geiger"/>
    <s v="Roland Borchard"/>
    <x v="13"/>
  </r>
  <r>
    <x v="1961"/>
    <n v="2"/>
    <x v="69"/>
    <x v="31"/>
    <s v="Anpassung Excel Export"/>
    <m/>
    <s v="Herrmann"/>
    <m/>
    <s v="4300064785"/>
    <s v="Cost Calculator Regional"/>
    <s v="Claudia Herrmann"/>
    <s v="Claudia Herrmann"/>
    <x v="13"/>
  </r>
  <r>
    <x v="1961"/>
    <n v="2"/>
    <x v="42"/>
    <x v="4"/>
    <s v="Telefonmeeting Produktionsserver 0130"/>
    <m/>
    <s v="Propp"/>
    <m/>
    <s v="4300058330"/>
    <s v="Taunus"/>
    <s v="Tanja Geiger"/>
    <s v="Roland Borchard"/>
    <x v="13"/>
  </r>
  <r>
    <x v="1961"/>
    <n v="2"/>
    <x v="67"/>
    <x v="29"/>
    <s v="Dezemberproduktion"/>
    <m/>
    <s v="Crone"/>
    <s v="unmatched products"/>
    <s v="4300058330"/>
    <s v="Taunus"/>
    <s v="Tanja Geiger"/>
    <s v="Roland Borchard"/>
    <x v="13"/>
  </r>
  <r>
    <x v="1961"/>
    <n v="2"/>
    <x v="67"/>
    <x v="29"/>
    <s v="Anpassung der Dezemberberechnung"/>
    <m/>
    <s v="Crone"/>
    <m/>
    <s v="4300058330"/>
    <s v="Taunus"/>
    <s v="Tanja Geiger"/>
    <s v="Roland Borchard"/>
    <x v="13"/>
  </r>
  <r>
    <x v="1962"/>
    <n v="0.5"/>
    <x v="69"/>
    <x v="31"/>
    <s v="Anpassungen Excel Export"/>
    <m/>
    <s v="Herrmann"/>
    <m/>
    <s v="4300064785"/>
    <s v="Cost Calculator Regional"/>
    <s v="Claudia Herrmann"/>
    <s v="Claudia Herrmann"/>
    <x v="13"/>
  </r>
  <r>
    <x v="1962"/>
    <n v="2"/>
    <x v="42"/>
    <x v="4"/>
    <s v="Übernahme Druckeinstellungen über Template"/>
    <m/>
    <s v="Borchard"/>
    <m/>
    <s v="4300058330"/>
    <s v="Taunus"/>
    <s v="Tanja Geiger"/>
    <s v="Roland Borchard"/>
    <x v="13"/>
  </r>
  <r>
    <x v="1962"/>
    <n v="2"/>
    <x v="67"/>
    <x v="29"/>
    <s v="Automatisches Einklappen des vierten Levels im Detail Report"/>
    <m/>
    <s v="Crone"/>
    <m/>
    <s v="4300058330"/>
    <s v="Taunus"/>
    <s v="Tanja Geiger"/>
    <s v="Roland Borchard"/>
    <x v="13"/>
  </r>
  <r>
    <x v="1962"/>
    <n v="4"/>
    <x v="67"/>
    <x v="29"/>
    <s v="Dezemberproduktion abgeschlossen"/>
    <m/>
    <s v="Crone"/>
    <m/>
    <s v="4300058330"/>
    <s v="Taunus"/>
    <s v="Tanja Geiger"/>
    <s v="Roland Borchard"/>
    <x v="13"/>
  </r>
  <r>
    <x v="1963"/>
    <n v="1"/>
    <x v="67"/>
    <x v="29"/>
    <s v="Neuproduktion auf Grund von Abweichungen"/>
    <m/>
    <s v="Crone"/>
    <m/>
    <s v="4300058330"/>
    <s v="Taunus"/>
    <s v="Tanja Geiger"/>
    <s v="Roland Borchard"/>
    <x v="13"/>
  </r>
  <r>
    <x v="1964"/>
    <n v="5"/>
    <x v="69"/>
    <x v="31"/>
    <s v="PHS POS + RPM"/>
    <m/>
    <s v="Herrmann"/>
    <m/>
    <s v="4300064785"/>
    <s v="Cost Calculator Regional"/>
    <s v="Claudia Herrmann"/>
    <s v="Claudia Herrmann"/>
    <x v="13"/>
  </r>
  <r>
    <x v="1964"/>
    <n v="1"/>
    <x v="77"/>
    <x v="39"/>
    <s v="Einspielen alte Konfigurationen"/>
    <m/>
    <s v="Herrmann"/>
    <m/>
    <s v="4300064782"/>
    <s v="Cost Calculator übergreifend"/>
    <s v="Katharina Werner"/>
    <s v="Katharina Werner"/>
    <x v="13"/>
  </r>
  <r>
    <x v="1964"/>
    <n v="1"/>
    <x v="69"/>
    <x v="31"/>
    <s v="Bereitstellung neue Version"/>
    <m/>
    <s v="Herrmann"/>
    <m/>
    <s v="4300064785"/>
    <s v="Cost Calculator Regional"/>
    <s v="Claudia Herrmann"/>
    <s v="Claudia Herrmann"/>
    <x v="13"/>
  </r>
  <r>
    <x v="1964"/>
    <n v="2"/>
    <x v="77"/>
    <x v="39"/>
    <s v="Telefonmeeting Weiterentwicklung weitere Kalkulatoren"/>
    <m/>
    <s v="Herrmann"/>
    <m/>
    <s v="4300064782"/>
    <s v="Cost Calculator übergreifend"/>
    <s v="Katharina Werner"/>
    <s v="Katharina Werner"/>
    <x v="13"/>
  </r>
  <r>
    <x v="1964"/>
    <n v="1"/>
    <x v="40"/>
    <x v="2"/>
    <s v="Support Berichtserstellung"/>
    <m/>
    <s v="Hornbruch, Reiner"/>
    <m/>
    <s v="4300058328"/>
    <s v="PP2"/>
    <s v="Sandra Despotovic"/>
    <s v="Roland Borchard"/>
    <x v="13"/>
  </r>
  <r>
    <x v="1965"/>
    <n v="1.5"/>
    <x v="69"/>
    <x v="31"/>
    <s v="PHS POS + RPM"/>
    <m/>
    <s v="Herrmann"/>
    <m/>
    <s v="4300064785"/>
    <s v="Cost Calculator Regional"/>
    <s v="Claudia Herrmann"/>
    <s v="Claudia Herrmann"/>
    <x v="13"/>
  </r>
  <r>
    <x v="1965"/>
    <n v="1.5"/>
    <x v="77"/>
    <x v="39"/>
    <s v="Löschfunktion von Konfigurationen"/>
    <m/>
    <s v="Herrmann"/>
    <m/>
    <s v="4300064782"/>
    <s v="Cost Calculator übergreifend"/>
    <s v="Katharina Werner"/>
    <s v="Katharina Werner"/>
    <x v="13"/>
  </r>
  <r>
    <x v="1965"/>
    <n v="2"/>
    <x v="40"/>
    <x v="2"/>
    <s v="Löschprozess von alten Produktionen"/>
    <m/>
    <s v="Despotovic"/>
    <m/>
    <s v="4300058328"/>
    <s v="PP2"/>
    <s v="Sandra Despotovic"/>
    <s v="Roland Borchard"/>
    <x v="13"/>
  </r>
  <r>
    <x v="1965"/>
    <n v="1"/>
    <x v="67"/>
    <x v="29"/>
    <s v="Januar Datenbank Produktion"/>
    <m/>
    <s v="Crone"/>
    <m/>
    <s v="4300058330"/>
    <s v="Taunus"/>
    <s v="Tanja Geiger"/>
    <s v="Roland Borchard"/>
    <x v="13"/>
  </r>
  <r>
    <x v="1965"/>
    <n v="8"/>
    <x v="77"/>
    <x v="39"/>
    <s v="MPT Table Import Prozess"/>
    <m/>
    <s v="Pechstein"/>
    <m/>
    <s v="4300064782"/>
    <s v="Cost Calculator übergreifend"/>
    <s v="Katharina Werner"/>
    <s v="Katharina Werner"/>
    <x v="13"/>
  </r>
  <r>
    <x v="1965"/>
    <n v="1.5"/>
    <x v="80"/>
    <x v="42"/>
    <s v="Calculator Oberfläche"/>
    <m/>
    <s v="Herrmann"/>
    <m/>
    <s v="4300064785"/>
    <s v="Cost Calculator Regional"/>
    <s v="Claudia Herrmann"/>
    <s v="Claudia Herrmann"/>
    <x v="13"/>
  </r>
  <r>
    <x v="1965"/>
    <n v="1.5"/>
    <x v="81"/>
    <x v="43"/>
    <s v="Calculator Oberfläche"/>
    <m/>
    <s v="Herrmann"/>
    <m/>
    <s v="4300064785"/>
    <s v="Cost Calculator Regional"/>
    <s v="Claudia Herrmann"/>
    <s v="Claudia Herrmann"/>
    <x v="13"/>
  </r>
  <r>
    <x v="1966"/>
    <n v="2"/>
    <x v="80"/>
    <x v="42"/>
    <s v="Calculator Berechnungen"/>
    <m/>
    <s v="Herrmann"/>
    <m/>
    <s v="4300064785"/>
    <s v="Cost Calculator Regional"/>
    <s v="Claudia Herrmann"/>
    <s v="Claudia Herrmann"/>
    <x v="13"/>
  </r>
  <r>
    <x v="1966"/>
    <n v="1"/>
    <x v="65"/>
    <x v="27"/>
    <s v="Anpassung Brand Auswahl Regions Reprot"/>
    <m/>
    <s v="Propp"/>
    <m/>
    <s v="4300058330"/>
    <s v="Taunus"/>
    <s v="Julia Propp"/>
    <s v="Roland Borchard"/>
    <x v="13"/>
  </r>
  <r>
    <x v="1966"/>
    <n v="4.5"/>
    <x v="40"/>
    <x v="2"/>
    <s v="Automatische Löschprozess von alten Produktionen"/>
    <m/>
    <s v="Despotovic"/>
    <m/>
    <s v="4300058328"/>
    <s v="PP2"/>
    <s v="Sandra Despotovic"/>
    <s v="Roland Borchard"/>
    <x v="13"/>
  </r>
  <r>
    <x v="1966"/>
    <n v="0.5"/>
    <x v="66"/>
    <x v="28"/>
    <s v="Abstimmung Fortimel"/>
    <m/>
    <s v="Crone"/>
    <m/>
    <s v="4300058330"/>
    <s v="Taunus"/>
    <s v="Tanja Geiger"/>
    <s v="Roland Borchard"/>
    <x v="13"/>
  </r>
  <r>
    <x v="1966"/>
    <n v="1.5"/>
    <x v="69"/>
    <x v="31"/>
    <s v="Neue Excel Templates für neue Kalkulatoren"/>
    <m/>
    <s v="Herrmann"/>
    <s v="Dia, Doc, Issor"/>
    <s v="4300064785"/>
    <s v="Cost Calculator Regional"/>
    <s v="Claudia Herrmann"/>
    <s v="Claudia Herrmann"/>
    <x v="13"/>
  </r>
  <r>
    <x v="1966"/>
    <n v="3"/>
    <x v="40"/>
    <x v="2"/>
    <s v="Analyse Löschen von Altdaten"/>
    <m/>
    <s v="Despotovic"/>
    <s v="evtl. auch Log + Plan, Support bzgl. Möglichkeiten zum Löschen von Altdaten"/>
    <s v="4300058328"/>
    <s v="PP2"/>
    <s v="Sandra Despotovic"/>
    <s v="Roland Borchard"/>
    <x v="13"/>
  </r>
  <r>
    <x v="1966"/>
    <n v="2"/>
    <x v="67"/>
    <x v="29"/>
    <s v="Januar Datenbank Produktion"/>
    <m/>
    <s v="Crone"/>
    <s v="unmatched products"/>
    <s v="4300058330"/>
    <s v="Taunus"/>
    <s v="Tanja Geiger"/>
    <s v="Roland Borchard"/>
    <x v="13"/>
  </r>
  <r>
    <x v="1966"/>
    <n v="3"/>
    <x v="77"/>
    <x v="39"/>
    <s v="MPT Table Import Prozess"/>
    <m/>
    <s v="Pechstein"/>
    <m/>
    <s v="4300064782"/>
    <s v="Cost Calculator übergreifend"/>
    <s v="Katharina Werner"/>
    <s v="Katharina Werner"/>
    <x v="13"/>
  </r>
  <r>
    <x v="1967"/>
    <n v="1"/>
    <x v="80"/>
    <x v="42"/>
    <s v="Berechnungslogik"/>
    <m/>
    <s v="Herrmann"/>
    <m/>
    <s v="4300064785"/>
    <s v="Cost Calculator Regional"/>
    <s v="Claudia Herrmann"/>
    <s v="Claudia Herrmann"/>
    <x v="13"/>
  </r>
  <r>
    <x v="1967"/>
    <n v="3"/>
    <x v="81"/>
    <x v="43"/>
    <s v="Berechnungslogik"/>
    <m/>
    <s v="Herrmann"/>
    <m/>
    <s v="4300064785"/>
    <s v="Cost Calculator Regional"/>
    <s v="Claudia Herrmann"/>
    <s v="Claudia Herrmann"/>
    <x v="13"/>
  </r>
  <r>
    <x v="1967"/>
    <n v="2"/>
    <x v="67"/>
    <x v="29"/>
    <s v="Januar Datenbank Produktion"/>
    <m/>
    <s v="Buteweg"/>
    <s v="erneut unmatched products"/>
    <s v="4300058330"/>
    <s v="Taunus"/>
    <s v="Tanja Geiger"/>
    <s v="Roland Borchard"/>
    <x v="13"/>
  </r>
  <r>
    <x v="1967"/>
    <n v="6"/>
    <x v="77"/>
    <x v="39"/>
    <s v="MPT Table Import Prozess"/>
    <m/>
    <s v="Pechstein"/>
    <m/>
    <s v="4300064782"/>
    <s v="Cost Calculator übergreifend"/>
    <s v="Katharina Werner"/>
    <s v="Katharina Werner"/>
    <x v="13"/>
  </r>
  <r>
    <x v="1967"/>
    <n v="2.5"/>
    <x v="77"/>
    <x v="39"/>
    <s v="Löschfunktion von Konfigurationen"/>
    <m/>
    <s v="Pechstein"/>
    <m/>
    <s v="4300064782"/>
    <s v="Cost Calculator übergreifend"/>
    <s v="Katharina Werner"/>
    <s v="Katharina Werner"/>
    <x v="13"/>
  </r>
  <r>
    <x v="1968"/>
    <n v="1"/>
    <x v="67"/>
    <x v="29"/>
    <s v="Januar Report, manuelle Anpassungen"/>
    <m/>
    <s v="Buteweg"/>
    <m/>
    <s v="4300058330"/>
    <s v="Taunus"/>
    <s v="Tanja Geiger"/>
    <s v="Roland Borchard"/>
    <x v="13"/>
  </r>
  <r>
    <x v="1968"/>
    <n v="1"/>
    <x v="82"/>
    <x v="44"/>
    <s v="Oberfläche"/>
    <m/>
    <s v="Herrmann"/>
    <m/>
    <s v="4300064785"/>
    <s v="Cost Calculator Regional"/>
    <s v="Claudia Herrmann"/>
    <s v="Claudia Herrmann"/>
    <x v="13"/>
  </r>
  <r>
    <x v="1968"/>
    <n v="1"/>
    <x v="83"/>
    <x v="45"/>
    <s v="Oberfläche"/>
    <m/>
    <s v="Herrmann"/>
    <m/>
    <s v="4300064785"/>
    <s v="Cost Calculator Regional"/>
    <s v="Claudia Herrmann"/>
    <s v="Claudia Herrmann"/>
    <x v="13"/>
  </r>
  <r>
    <x v="1968"/>
    <n v="1"/>
    <x v="84"/>
    <x v="46"/>
    <s v="Oberfläche"/>
    <m/>
    <s v="Herrmann"/>
    <m/>
    <s v="4300064785"/>
    <s v="Cost Calculator Regional"/>
    <s v="Claudia Herrmann"/>
    <s v="Claudia Herrmann"/>
    <x v="13"/>
  </r>
  <r>
    <x v="1968"/>
    <n v="1"/>
    <x v="85"/>
    <x v="0"/>
    <s v="Oberfläche"/>
    <m/>
    <s v="Herrmann"/>
    <m/>
    <e v="#N/A"/>
    <e v="#N/A"/>
    <e v="#N/A"/>
    <e v="#N/A"/>
    <x v="13"/>
  </r>
  <r>
    <x v="1968"/>
    <n v="6"/>
    <x v="77"/>
    <x v="39"/>
    <s v="MPT Table Import Prozess"/>
    <m/>
    <s v="Pechstein"/>
    <m/>
    <s v="4300064782"/>
    <s v="Cost Calculator übergreifend"/>
    <s v="Katharina Werner"/>
    <s v="Katharina Werner"/>
    <x v="13"/>
  </r>
  <r>
    <x v="1968"/>
    <n v="2"/>
    <x v="77"/>
    <x v="39"/>
    <s v="Löschfunktion von Konfigurationen"/>
    <m/>
    <s v="Pechstein"/>
    <s v="für alle Kalkulatoren"/>
    <s v="4300064782"/>
    <s v="Cost Calculator übergreifend"/>
    <s v="Katharina Werner"/>
    <s v="Katharina Werner"/>
    <x v="13"/>
  </r>
  <r>
    <x v="1968"/>
    <n v="2"/>
    <x v="67"/>
    <x v="29"/>
    <s v="Fertigstellung Januar Datenbank Produktion"/>
    <m/>
    <s v="Crone"/>
    <m/>
    <s v="4300058330"/>
    <s v="Taunus"/>
    <s v="Tanja Geiger"/>
    <s v="Roland Borchard"/>
    <x v="13"/>
  </r>
  <r>
    <x v="1969"/>
    <n v="0.5"/>
    <x v="65"/>
    <x v="27"/>
    <s v="Support Batcherstellung 0130"/>
    <m/>
    <s v="Propp"/>
    <m/>
    <s v="4300058330"/>
    <s v="Taunus"/>
    <s v="Julia Propp"/>
    <s v="Roland Borchard"/>
    <x v="13"/>
  </r>
  <r>
    <x v="1969"/>
    <n v="1"/>
    <x v="82"/>
    <x v="44"/>
    <s v="Oberfläche"/>
    <m/>
    <s v="Herrmann"/>
    <m/>
    <s v="4300064785"/>
    <s v="Cost Calculator Regional"/>
    <s v="Claudia Herrmann"/>
    <s v="Claudia Herrmann"/>
    <x v="13"/>
  </r>
  <r>
    <x v="1969"/>
    <n v="1"/>
    <x v="83"/>
    <x v="45"/>
    <s v="Oberfläche"/>
    <m/>
    <s v="Herrmann"/>
    <m/>
    <s v="4300064785"/>
    <s v="Cost Calculator Regional"/>
    <s v="Claudia Herrmann"/>
    <s v="Claudia Herrmann"/>
    <x v="13"/>
  </r>
  <r>
    <x v="1969"/>
    <n v="1"/>
    <x v="84"/>
    <x v="46"/>
    <s v="Oberfläche"/>
    <m/>
    <s v="Herrmann"/>
    <m/>
    <s v="4300064785"/>
    <s v="Cost Calculator Regional"/>
    <s v="Claudia Herrmann"/>
    <s v="Claudia Herrmann"/>
    <x v="13"/>
  </r>
  <r>
    <x v="1969"/>
    <n v="1"/>
    <x v="85"/>
    <x v="0"/>
    <s v="Oberfläche"/>
    <m/>
    <s v="Herrmann"/>
    <m/>
    <e v="#N/A"/>
    <e v="#N/A"/>
    <e v="#N/A"/>
    <e v="#N/A"/>
    <x v="13"/>
  </r>
  <r>
    <x v="1969"/>
    <n v="3"/>
    <x v="40"/>
    <x v="2"/>
    <s v="Automatischer Löschprozess von alten Produktionen"/>
    <m/>
    <s v="Despotovic"/>
    <m/>
    <s v="4300058328"/>
    <s v="PP2"/>
    <s v="Sandra Despotovic"/>
    <s v="Roland Borchard"/>
    <x v="13"/>
  </r>
  <r>
    <x v="1970"/>
    <n v="2"/>
    <x v="83"/>
    <x v="45"/>
    <s v="Oberfläche"/>
    <m/>
    <s v="Herrmann"/>
    <s v="für alle Kalkulatoren"/>
    <s v="4300064785"/>
    <s v="Cost Calculator Regional"/>
    <s v="Claudia Herrmann"/>
    <s v="Claudia Herrmann"/>
    <x v="13"/>
  </r>
  <r>
    <x v="1970"/>
    <n v="2"/>
    <x v="82"/>
    <x v="44"/>
    <s v="Oberfläche"/>
    <m/>
    <s v="Herrmann"/>
    <s v="für alle Kalkulatoren"/>
    <s v="4300064785"/>
    <s v="Cost Calculator Regional"/>
    <s v="Claudia Herrmann"/>
    <s v="Claudia Herrmann"/>
    <x v="13"/>
  </r>
  <r>
    <x v="1970"/>
    <n v="2"/>
    <x v="77"/>
    <x v="39"/>
    <s v="Löschfunktion von Konfigurationen"/>
    <m/>
    <s v="Pechstein"/>
    <s v="für alle Kalkulatoren"/>
    <s v="4300064782"/>
    <s v="Cost Calculator übergreifend"/>
    <s v="Katharina Werner"/>
    <s v="Katharina Werner"/>
    <x v="13"/>
  </r>
  <r>
    <x v="1971"/>
    <n v="2"/>
    <x v="77"/>
    <x v="39"/>
    <s v="Bereitstellung zweier neuer Kalkulatoren"/>
    <m/>
    <s v="Pechstein"/>
    <s v="PHS POS und RPM"/>
    <s v="4300064782"/>
    <s v="Cost Calculator übergreifend"/>
    <s v="Katharina Werner"/>
    <s v="Katharina Werner"/>
    <x v="13"/>
  </r>
  <r>
    <x v="1971"/>
    <n v="0.5"/>
    <x v="63"/>
    <x v="25"/>
    <s v="Support Reporterstellung 201502"/>
    <m/>
    <s v="Propp"/>
    <m/>
    <s v="4300058330"/>
    <s v="Taunus"/>
    <s v="Tanja Geiger"/>
    <s v="Roland Borchard"/>
    <x v="13"/>
  </r>
  <r>
    <x v="1971"/>
    <n v="0.5"/>
    <x v="68"/>
    <x v="30"/>
    <s v="Support Reporterstellung 201502"/>
    <m/>
    <s v="Propp"/>
    <m/>
    <s v="4300058330"/>
    <s v="Taunus"/>
    <s v="Tanja Geiger"/>
    <s v="Roland Borchard"/>
    <x v="13"/>
  </r>
  <r>
    <x v="1971"/>
    <n v="4"/>
    <x v="77"/>
    <x v="39"/>
    <s v="MPT Table Import Prozess"/>
    <m/>
    <s v="Pechstein"/>
    <m/>
    <s v="4300064782"/>
    <s v="Cost Calculator übergreifend"/>
    <s v="Katharina Werner"/>
    <s v="Katharina Werner"/>
    <x v="13"/>
  </r>
  <r>
    <x v="1972"/>
    <n v="1"/>
    <x v="82"/>
    <x v="44"/>
    <s v="Oberfläche"/>
    <m/>
    <s v="Herrmann"/>
    <m/>
    <s v="4300064785"/>
    <s v="Cost Calculator Regional"/>
    <s v="Claudia Herrmann"/>
    <s v="Claudia Herrmann"/>
    <x v="13"/>
  </r>
  <r>
    <x v="1972"/>
    <n v="1"/>
    <x v="83"/>
    <x v="45"/>
    <s v="Oberfläche"/>
    <m/>
    <s v="Herrmann"/>
    <m/>
    <s v="4300064785"/>
    <s v="Cost Calculator Regional"/>
    <s v="Claudia Herrmann"/>
    <s v="Claudia Herrmann"/>
    <x v="13"/>
  </r>
  <r>
    <x v="1972"/>
    <n v="1"/>
    <x v="84"/>
    <x v="46"/>
    <s v="Oberfläche"/>
    <m/>
    <s v="Herrmann"/>
    <m/>
    <s v="4300064785"/>
    <s v="Cost Calculator Regional"/>
    <s v="Claudia Herrmann"/>
    <s v="Claudia Herrmann"/>
    <x v="13"/>
  </r>
  <r>
    <x v="1972"/>
    <n v="1"/>
    <x v="85"/>
    <x v="0"/>
    <s v="Oberfläche"/>
    <m/>
    <s v="Herrmann"/>
    <m/>
    <e v="#N/A"/>
    <e v="#N/A"/>
    <e v="#N/A"/>
    <e v="#N/A"/>
    <x v="13"/>
  </r>
  <r>
    <x v="1972"/>
    <n v="0.5"/>
    <x v="66"/>
    <x v="28"/>
    <s v="Abstimmung Fortimel"/>
    <m/>
    <s v="Crone"/>
    <m/>
    <s v="4300058330"/>
    <s v="Taunus"/>
    <s v="Tanja Geiger"/>
    <s v="Roland Borchard"/>
    <x v="13"/>
  </r>
  <r>
    <x v="1972"/>
    <n v="7"/>
    <x v="77"/>
    <x v="39"/>
    <s v="MPT Table Import Prozess"/>
    <m/>
    <s v="Pechstein"/>
    <m/>
    <s v="4300064782"/>
    <s v="Cost Calculator übergreifend"/>
    <s v="Katharina Werner"/>
    <s v="Katharina Werner"/>
    <x v="13"/>
  </r>
  <r>
    <x v="1973"/>
    <n v="5"/>
    <x v="78"/>
    <x v="40"/>
    <s v="Support integrierte Version, Test vorherige und Vergleich mit aktueller Version"/>
    <m/>
    <s v="Conceiao"/>
    <s v="integrierte Version war soweit korrekt, Einstellungen sollten zukünfitg dokumentiert werden"/>
    <s v="4300059525"/>
    <s v="Subterritory Planner"/>
    <s v="Udo Burger"/>
    <s v="Udo Burger"/>
    <x v="13"/>
  </r>
  <r>
    <x v="1973"/>
    <n v="2.5"/>
    <x v="83"/>
    <x v="45"/>
    <s v="Oberfläche"/>
    <m/>
    <s v="Herrmann"/>
    <m/>
    <s v="4300064785"/>
    <s v="Cost Calculator Regional"/>
    <s v="Claudia Herrmann"/>
    <s v="Claudia Herrmann"/>
    <x v="13"/>
  </r>
  <r>
    <x v="1973"/>
    <n v="1"/>
    <x v="42"/>
    <x v="4"/>
    <s v="Telefonmeeting, neues Reporting CP-Gaba"/>
    <m/>
    <s v="Crone"/>
    <m/>
    <s v="4300058330"/>
    <s v="Taunus"/>
    <s v="Tanja Geiger"/>
    <s v="Roland Borchard"/>
    <x v="13"/>
  </r>
  <r>
    <x v="1974"/>
    <n v="3"/>
    <x v="83"/>
    <x v="45"/>
    <s v="Anpassungen UI"/>
    <m/>
    <s v="Herrmann"/>
    <m/>
    <s v="4300064785"/>
    <s v="Cost Calculator Regional"/>
    <s v="Claudia Herrmann"/>
    <s v="Claudia Herrmann"/>
    <x v="13"/>
  </r>
  <r>
    <x v="1974"/>
    <n v="1"/>
    <x v="39"/>
    <x v="1"/>
    <s v="Produktion, manuelle Anpassungen Feb 2015"/>
    <m/>
    <s v="Crone"/>
    <m/>
    <s v="4300058330"/>
    <s v="Taunus"/>
    <s v="Birgit Schilly"/>
    <s v="Roland Borchard"/>
    <x v="13"/>
  </r>
  <r>
    <x v="1974"/>
    <n v="1.5"/>
    <x v="56"/>
    <x v="18"/>
    <s v="Telefonmeeting DPMPSN"/>
    <m/>
    <s v="Pechstein"/>
    <m/>
    <s v="4300064783"/>
    <s v="Cost Calculator National"/>
    <s v="Pechstein"/>
    <s v="Marlen Pechstein"/>
    <x v="13"/>
  </r>
  <r>
    <x v="1974"/>
    <n v="1"/>
    <x v="40"/>
    <x v="2"/>
    <s v="Automatischer Löschprozess von alten Produktionen"/>
    <m/>
    <s v="Despotovic"/>
    <m/>
    <s v="4300058328"/>
    <s v="PP2"/>
    <s v="Sandra Despotovic"/>
    <s v="Roland Borchard"/>
    <x v="13"/>
  </r>
  <r>
    <x v="1974"/>
    <n v="1"/>
    <x v="70"/>
    <x v="32"/>
    <s v="Produktion Feb 2015"/>
    <m/>
    <s v="Crone"/>
    <m/>
    <s v="4300058330"/>
    <s v="Taunus"/>
    <s v="Birgit Schilly"/>
    <s v="Roland Borchard"/>
    <x v="13"/>
  </r>
  <r>
    <x v="1974"/>
    <n v="1.5"/>
    <x v="56"/>
    <x v="18"/>
    <s v="Analyse und Vorbereitung OM bzgl. neuem  UAT"/>
    <m/>
    <s v="Pechstein"/>
    <m/>
    <s v="4300064783"/>
    <s v="Cost Calculator National"/>
    <s v="Pechstein"/>
    <s v="Marlen Pechstein"/>
    <x v="13"/>
  </r>
  <r>
    <x v="1974"/>
    <n v="2"/>
    <x v="56"/>
    <x v="18"/>
    <s v="Telefonmeeting UAT DPMPSN"/>
    <m/>
    <s v="Pechstein"/>
    <m/>
    <s v="4300064783"/>
    <s v="Cost Calculator National"/>
    <s v="Pechstein"/>
    <s v="Marlen Pechstein"/>
    <x v="13"/>
  </r>
  <r>
    <x v="1975"/>
    <n v="1.5"/>
    <x v="56"/>
    <x v="18"/>
    <s v="Anpassung Zeitraumfaktoren, ATC + Datenbankpreis"/>
    <m/>
    <s v="Pechstein"/>
    <m/>
    <s v="4300064783"/>
    <s v="Cost Calculator National"/>
    <s v="Pechstein"/>
    <s v="Marlen Pechstein"/>
    <x v="13"/>
  </r>
  <r>
    <x v="1975"/>
    <n v="2"/>
    <x v="66"/>
    <x v="28"/>
    <s v="Aufwandsanalyse neue Fortimel Attribute"/>
    <m/>
    <s v="Crone"/>
    <m/>
    <s v="4300058330"/>
    <s v="Taunus"/>
    <s v="Tanja Geiger"/>
    <s v="Roland Borchard"/>
    <x v="13"/>
  </r>
  <r>
    <x v="1975"/>
    <n v="5"/>
    <x v="67"/>
    <x v="29"/>
    <s v="Produktion Februar"/>
    <m/>
    <s v="Crone"/>
    <m/>
    <s v="4300058330"/>
    <s v="Taunus"/>
    <s v="Tanja Geiger"/>
    <s v="Roland Borchard"/>
    <x v="13"/>
  </r>
  <r>
    <x v="1975"/>
    <n v="2"/>
    <x v="66"/>
    <x v="28"/>
    <s v="Analyse + Aufwandsschätzung Fortimel Anpassungen für 10 reports"/>
    <m/>
    <s v="Crone"/>
    <m/>
    <s v="4300058330"/>
    <s v="Taunus"/>
    <s v="Tanja Geiger"/>
    <s v="Roland Borchard"/>
    <x v="13"/>
  </r>
  <r>
    <x v="1975"/>
    <n v="1.5"/>
    <x v="40"/>
    <x v="2"/>
    <s v="Automatisierung Löschprozess"/>
    <m/>
    <s v="Despotovic"/>
    <m/>
    <s v="4300058328"/>
    <s v="PP2"/>
    <s v="Sandra Despotovic"/>
    <s v="Roland Borchard"/>
    <x v="13"/>
  </r>
  <r>
    <x v="1975"/>
    <n v="2"/>
    <x v="83"/>
    <x v="45"/>
    <s v="Anpassungen Oberfläche + Excel Export"/>
    <m/>
    <s v="Herrmann"/>
    <m/>
    <s v="4300064785"/>
    <s v="Cost Calculator Regional"/>
    <s v="Claudia Herrmann"/>
    <s v="Claudia Herrmann"/>
    <x v="13"/>
  </r>
  <r>
    <x v="1975"/>
    <n v="2"/>
    <x v="82"/>
    <x v="44"/>
    <s v="Anpassungen Oberfläche + Excel Export"/>
    <m/>
    <s v="Herrmann"/>
    <m/>
    <s v="4300064785"/>
    <s v="Cost Calculator Regional"/>
    <s v="Claudia Herrmann"/>
    <s v="Claudia Herrmann"/>
    <x v="13"/>
  </r>
  <r>
    <x v="1975"/>
    <n v="4"/>
    <x v="70"/>
    <x v="32"/>
    <s v="Anpassungen wg. Geänderter Cube Struktur + Produktion"/>
    <m/>
    <s v="Crone"/>
    <m/>
    <s v="4300058330"/>
    <s v="Taunus"/>
    <s v="Birgit Schilly"/>
    <s v="Roland Borchard"/>
    <x v="13"/>
  </r>
  <r>
    <x v="1976"/>
    <n v="2.5"/>
    <x v="82"/>
    <x v="44"/>
    <s v="Oberfläche"/>
    <m/>
    <s v="Herrmann"/>
    <m/>
    <s v="4300064785"/>
    <s v="Cost Calculator Regional"/>
    <s v="Claudia Herrmann"/>
    <s v="Claudia Herrmann"/>
    <x v="13"/>
  </r>
  <r>
    <x v="1977"/>
    <n v="3"/>
    <x v="82"/>
    <x v="44"/>
    <s v="Oberfläche"/>
    <m/>
    <s v="Herrmann"/>
    <m/>
    <s v="4300064785"/>
    <s v="Cost Calculator Regional"/>
    <s v="Claudia Herrmann"/>
    <s v="Claudia Herrmann"/>
    <x v="13"/>
  </r>
  <r>
    <x v="1978"/>
    <n v="2"/>
    <x v="67"/>
    <x v="29"/>
    <s v="Fertigstellung Produktion Februar"/>
    <m/>
    <s v="Crone"/>
    <m/>
    <s v="4300058330"/>
    <s v="Taunus"/>
    <s v="Tanja Geiger"/>
    <s v="Roland Borchard"/>
    <x v="13"/>
  </r>
  <r>
    <x v="1978"/>
    <n v="1.5"/>
    <x v="70"/>
    <x v="32"/>
    <s v="Produktion Apo + ApoSpezial"/>
    <m/>
    <s v="Crone"/>
    <m/>
    <s v="4300058330"/>
    <s v="Taunus"/>
    <s v="Birgit Schilly"/>
    <s v="Roland Borchard"/>
    <x v="13"/>
  </r>
  <r>
    <x v="1978"/>
    <n v="1"/>
    <x v="83"/>
    <x v="45"/>
    <s v="Oberfläche"/>
    <m/>
    <s v="Herrmann"/>
    <m/>
    <s v="4300064785"/>
    <s v="Cost Calculator Regional"/>
    <s v="Claudia Herrmann"/>
    <s v="Claudia Herrmann"/>
    <x v="13"/>
  </r>
  <r>
    <x v="1978"/>
    <n v="1"/>
    <x v="82"/>
    <x v="44"/>
    <s v="Oberfläche"/>
    <m/>
    <s v="Herrmann"/>
    <m/>
    <s v="4300064785"/>
    <s v="Cost Calculator Regional"/>
    <s v="Claudia Herrmann"/>
    <s v="Claudia Herrmann"/>
    <x v="13"/>
  </r>
  <r>
    <x v="1979"/>
    <n v="1"/>
    <x v="82"/>
    <x v="44"/>
    <s v="MPT"/>
    <m/>
    <s v="Herrmann"/>
    <m/>
    <s v="4300064785"/>
    <s v="Cost Calculator Regional"/>
    <s v="Claudia Herrmann"/>
    <s v="Claudia Herrmann"/>
    <x v="13"/>
  </r>
  <r>
    <x v="1979"/>
    <n v="1"/>
    <x v="83"/>
    <x v="45"/>
    <s v="MPT"/>
    <m/>
    <s v="Herrmann"/>
    <m/>
    <s v="4300064785"/>
    <s v="Cost Calculator Regional"/>
    <s v="Claudia Herrmann"/>
    <s v="Claudia Herrmann"/>
    <x v="13"/>
  </r>
  <r>
    <x v="1979"/>
    <n v="1"/>
    <x v="83"/>
    <x v="45"/>
    <s v="Bereitstellung zweier neuer Kalkulatoren"/>
    <m/>
    <s v="Herrmann"/>
    <s v="PHS Dia + Doc"/>
    <s v="4300064785"/>
    <s v="Cost Calculator Regional"/>
    <s v="Claudia Herrmann"/>
    <s v="Claudia Herrmann"/>
    <x v="13"/>
  </r>
  <r>
    <x v="1979"/>
    <n v="1"/>
    <x v="82"/>
    <x v="44"/>
    <s v="Bereitstellung zweier neuer Kalkulatoren"/>
    <m/>
    <s v="Herrmann"/>
    <s v="PHS Dia + Doc"/>
    <s v="4300064785"/>
    <s v="Cost Calculator Regional"/>
    <s v="Claudia Herrmann"/>
    <s v="Claudia Herrmann"/>
    <x v="13"/>
  </r>
  <r>
    <x v="1979"/>
    <n v="1"/>
    <x v="66"/>
    <x v="28"/>
    <s v="Februarproduktion"/>
    <m/>
    <s v="Schöning"/>
    <m/>
    <s v="4300058330"/>
    <s v="Taunus"/>
    <s v="Tanja Geiger"/>
    <s v="Roland Borchard"/>
    <x v="13"/>
  </r>
  <r>
    <x v="1979"/>
    <n v="1"/>
    <x v="83"/>
    <x v="45"/>
    <s v="Feinschliff Excel Export"/>
    <m/>
    <s v="Herrmann"/>
    <m/>
    <s v="4300064785"/>
    <s v="Cost Calculator Regional"/>
    <s v="Claudia Herrmann"/>
    <s v="Claudia Herrmann"/>
    <x v="13"/>
  </r>
  <r>
    <x v="1979"/>
    <n v="1"/>
    <x v="82"/>
    <x v="44"/>
    <s v="Feinschliff Excel Export"/>
    <m/>
    <s v="Herrmann"/>
    <m/>
    <s v="4300064785"/>
    <s v="Cost Calculator Regional"/>
    <s v="Claudia Herrmann"/>
    <s v="Claudia Herrmann"/>
    <x v="13"/>
  </r>
  <r>
    <x v="1980"/>
    <n v="1"/>
    <x v="82"/>
    <x v="44"/>
    <s v="Anpassungen Excel Export"/>
    <s v="Export"/>
    <s v="Herrmann"/>
    <m/>
    <s v="4300064785"/>
    <s v="Cost Calculator Regional"/>
    <s v="Claudia Herrmann"/>
    <s v="Claudia Herrmann"/>
    <x v="13"/>
  </r>
  <r>
    <x v="1980"/>
    <n v="1"/>
    <x v="83"/>
    <x v="45"/>
    <s v="Anpassungen Excel Export"/>
    <s v="Export"/>
    <s v="Herrmann"/>
    <m/>
    <s v="4300064785"/>
    <s v="Cost Calculator Regional"/>
    <s v="Claudia Herrmann"/>
    <s v="Claudia Herrmann"/>
    <x v="13"/>
  </r>
  <r>
    <x v="1980"/>
    <n v="0"/>
    <x v="86"/>
    <x v="47"/>
    <s v="1 Stunde Besprechung Online keine Berechnung"/>
    <m/>
    <s v="Schwendener"/>
    <m/>
    <s v="zu klären"/>
    <s v="Kalkulatoren Schweiz"/>
    <s v="Johner"/>
    <s v="zu klären"/>
    <x v="13"/>
  </r>
  <r>
    <x v="1980"/>
    <n v="1"/>
    <x v="55"/>
    <x v="17"/>
    <s v="Vorbereitung und Anpassung Distribution Report"/>
    <m/>
    <s v="Salwa-Emmel"/>
    <m/>
    <s v="4300058330"/>
    <s v="Taunus"/>
    <s v="Tanja Geiger"/>
    <s v="Roland Borchard"/>
    <x v="13"/>
  </r>
  <r>
    <x v="1981"/>
    <n v="2"/>
    <x v="77"/>
    <x v="39"/>
    <s v="Kommentarfelder in allen Kalkulatoren Berücksichtigung von Zeilenumbrüchen"/>
    <s v="Oberfläche"/>
    <s v="Werner"/>
    <m/>
    <s v="4300064782"/>
    <s v="Cost Calculator übergreifend"/>
    <s v="Katharina Werner"/>
    <s v="Katharina Werner"/>
    <x v="13"/>
  </r>
  <r>
    <x v="1982"/>
    <n v="2"/>
    <x v="84"/>
    <x v="46"/>
    <s v="Projekteinrichtung"/>
    <s v="System"/>
    <s v="Herrmann"/>
    <m/>
    <s v="4300064785"/>
    <s v="Cost Calculator Regional"/>
    <s v="Claudia Herrmann"/>
    <s v="Claudia Herrmann"/>
    <x v="13"/>
  </r>
  <r>
    <x v="1982"/>
    <n v="2"/>
    <x v="87"/>
    <x v="48"/>
    <s v="Projekteinrichtung"/>
    <s v="System"/>
    <s v="Herrmann"/>
    <m/>
    <s v="4300064785"/>
    <s v="Cost Calculator Regional"/>
    <s v="Claudia Herrmann"/>
    <s v="Claudia Herrmann"/>
    <x v="13"/>
  </r>
  <r>
    <x v="1983"/>
    <n v="2"/>
    <x v="48"/>
    <x v="10"/>
    <s v="Ladeprozeduren"/>
    <s v="MPT Import"/>
    <s v="Sdunzig"/>
    <m/>
    <s v="4300064785"/>
    <s v="Cost Calculator Regional"/>
    <s v="Norbert Sdunzig"/>
    <s v="Norbert Sdunzig"/>
    <x v="13"/>
  </r>
  <r>
    <x v="1984"/>
    <n v="4"/>
    <x v="56"/>
    <x v="18"/>
    <s v="Datenbankumfang nicht mehr ändern lassen, wenn Datenbank geändert wird"/>
    <s v="Oberfläche"/>
    <s v="Pechstein"/>
    <m/>
    <s v="4300064783"/>
    <s v="Cost Calculator National"/>
    <s v="Pechstein"/>
    <s v="Marlen Pechstein"/>
    <x v="13"/>
  </r>
  <r>
    <x v="1984"/>
    <n v="2"/>
    <x v="40"/>
    <x v="2"/>
    <s v="Installation, Test Internet Explorer 11"/>
    <m/>
    <s v="Despotovic"/>
    <m/>
    <s v="4300058328"/>
    <s v="PP2"/>
    <s v="Sandra Despotovic"/>
    <s v="Roland Borchard"/>
    <x v="13"/>
  </r>
  <r>
    <x v="1984"/>
    <n v="1"/>
    <x v="78"/>
    <x v="40"/>
    <s v="Änderung Defaultauswahl und Test + neues xla"/>
    <m/>
    <s v="Burger"/>
    <m/>
    <s v="4300059525"/>
    <s v="Subterritory Planner"/>
    <s v="Udo Burger"/>
    <s v="Udo Burger"/>
    <x v="13"/>
  </r>
  <r>
    <x v="1985"/>
    <n v="1"/>
    <x v="52"/>
    <x v="14"/>
    <s v="Anpassungen Cesra Rückfragen + Klärung"/>
    <m/>
    <s v="Geiger"/>
    <m/>
    <s v="4300058330"/>
    <s v="Taunus"/>
    <s v="Tanja Geiger"/>
    <s v="Roland Borchard"/>
    <x v="13"/>
  </r>
  <r>
    <x v="1985"/>
    <n v="2"/>
    <x v="40"/>
    <x v="2"/>
    <s v="ProductionUsed Steuerung nur aktueller Monat oder generell"/>
    <m/>
    <s v="Despotovic"/>
    <m/>
    <s v="4300058328"/>
    <s v="PP2"/>
    <s v="Sandra Despotovic"/>
    <s v="Roland Borchard"/>
    <x v="13"/>
  </r>
  <r>
    <x v="1985"/>
    <n v="1.5"/>
    <x v="83"/>
    <x v="45"/>
    <s v="letzte Anpassungen, Beschriftungen + Zeilenumbruch"/>
    <s v="Oberfläche"/>
    <s v="Herrmann"/>
    <m/>
    <s v="4300064785"/>
    <s v="Cost Calculator Regional"/>
    <s v="Claudia Herrmann"/>
    <s v="Claudia Herrmann"/>
    <x v="13"/>
  </r>
  <r>
    <x v="1985"/>
    <n v="2"/>
    <x v="82"/>
    <x v="44"/>
    <s v="letzte Anpassungen, Beschriftungen + Zeilenumbruch"/>
    <s v="Oberfläche"/>
    <s v="Herrmann"/>
    <m/>
    <s v="4300064785"/>
    <s v="Cost Calculator Regional"/>
    <s v="Claudia Herrmann"/>
    <s v="Claudia Herrmann"/>
    <x v="13"/>
  </r>
  <r>
    <x v="1985"/>
    <n v="1"/>
    <x v="42"/>
    <x v="4"/>
    <s v="Vorbereitung Workshop"/>
    <m/>
    <s v="Borchard"/>
    <m/>
    <s v="4300058330"/>
    <s v="Taunus"/>
    <s v="Tanja Geiger"/>
    <s v="Roland Borchard"/>
    <x v="13"/>
  </r>
  <r>
    <x v="1985"/>
    <n v="2"/>
    <x v="61"/>
    <x v="23"/>
    <s v="Anpassungen VL Struktur (Vichy und LRP)"/>
    <m/>
    <s v="Salwa-Emmel"/>
    <m/>
    <s v="4300058330"/>
    <s v="Taunus"/>
    <s v="Tanja Geiger"/>
    <s v="Roland Borchard"/>
    <x v="13"/>
  </r>
  <r>
    <x v="1985"/>
    <n v="1"/>
    <x v="40"/>
    <x v="2"/>
    <s v="Löschfunktionen"/>
    <m/>
    <s v="Despotovic"/>
    <m/>
    <s v="4300058328"/>
    <s v="PP2"/>
    <s v="Sandra Despotovic"/>
    <s v="Roland Borchard"/>
    <x v="13"/>
  </r>
  <r>
    <x v="1985"/>
    <n v="2"/>
    <x v="87"/>
    <x v="48"/>
    <s v="Anpassungen Master Files + Rückfragen dazu"/>
    <s v="Oberfläche"/>
    <s v="Herrmann"/>
    <m/>
    <s v="4300064785"/>
    <s v="Cost Calculator Regional"/>
    <s v="Claudia Herrmann"/>
    <s v="Claudia Herrmann"/>
    <x v="13"/>
  </r>
  <r>
    <x v="1986"/>
    <n v="0.5"/>
    <x v="40"/>
    <x v="2"/>
    <s v="Support ActualMonth"/>
    <m/>
    <s v="Hornbruch"/>
    <m/>
    <s v="4300058328"/>
    <s v="PP2"/>
    <s v="Sandra Despotovic"/>
    <s v="Roland Borchard"/>
    <x v="13"/>
  </r>
  <r>
    <x v="1986"/>
    <n v="2"/>
    <x v="52"/>
    <x v="14"/>
    <s v="Neue Linien + Prod Packs"/>
    <m/>
    <s v="Geiger"/>
    <m/>
    <s v="4300058330"/>
    <s v="Taunus"/>
    <s v="Tanja Geiger"/>
    <s v="Roland Borchard"/>
    <x v="13"/>
  </r>
  <r>
    <x v="1986"/>
    <n v="5"/>
    <x v="40"/>
    <x v="2"/>
    <s v="Löschfunktion alte Produktionen"/>
    <m/>
    <s v="Despotovic"/>
    <m/>
    <s v="4300058328"/>
    <s v="PP2"/>
    <s v="Sandra Despotovic"/>
    <s v="Roland Borchard"/>
    <x v="13"/>
  </r>
  <r>
    <x v="1986"/>
    <n v="2.5"/>
    <x v="42"/>
    <x v="4"/>
    <s v="Vorbereitung Anwenderworkshop"/>
    <m/>
    <s v="Borchard"/>
    <m/>
    <s v="4300058330"/>
    <s v="Taunus"/>
    <s v="Tanja Geiger"/>
    <s v="Roland Borchard"/>
    <x v="13"/>
  </r>
  <r>
    <x v="1987"/>
    <n v="4"/>
    <x v="56"/>
    <x v="18"/>
    <s v="Neue Preisberechnung Teilmarkt, neue Faktoren TimeScale"/>
    <s v="Berechnungsmodell"/>
    <s v="Pechstein"/>
    <m/>
    <s v="4300064783"/>
    <s v="Cost Calculator National"/>
    <s v="Pechstein"/>
    <s v="Marlen Pechstein"/>
    <x v="13"/>
  </r>
  <r>
    <x v="1988"/>
    <n v="3"/>
    <x v="56"/>
    <x v="18"/>
    <s v="neue Berechung AtcPrice + Datenbankpreis "/>
    <s v="Berechnungsmodell"/>
    <s v="Pechstein"/>
    <m/>
    <s v="4300064783"/>
    <s v="Cost Calculator National"/>
    <s v="Pechstein"/>
    <s v="Marlen Pechstein"/>
    <x v="13"/>
  </r>
  <r>
    <x v="1989"/>
    <n v="2"/>
    <x v="48"/>
    <x v="10"/>
    <s v="Ladeprozeduren"/>
    <s v="MPT Import"/>
    <s v="Sdunzig"/>
    <m/>
    <s v="4300064785"/>
    <s v="Cost Calculator Regional"/>
    <s v="Norbert Sdunzig"/>
    <s v="Norbert Sdunzig"/>
    <x v="13"/>
  </r>
  <r>
    <x v="1989"/>
    <n v="1"/>
    <x v="69"/>
    <x v="31"/>
    <s v="Ladeprozeduren"/>
    <s v="MPT Import"/>
    <s v="Herrmann"/>
    <m/>
    <s v="4300064785"/>
    <s v="Cost Calculator Regional"/>
    <s v="Claudia Herrmann"/>
    <s v="Claudia Herrmann"/>
    <x v="13"/>
  </r>
  <r>
    <x v="1989"/>
    <n v="3"/>
    <x v="56"/>
    <x v="18"/>
    <s v="neue Berechung AtcPrice + Datenbankpreis + abschliessende Tests"/>
    <s v="Berechnungsmodell"/>
    <s v="Pechstein"/>
    <m/>
    <s v="4300064783"/>
    <s v="Cost Calculator National"/>
    <s v="Pechstein"/>
    <s v="Marlen Pechstein"/>
    <x v="13"/>
  </r>
  <r>
    <x v="1989"/>
    <n v="2"/>
    <x v="42"/>
    <x v="4"/>
    <s v="Versionierung Batch Files"/>
    <m/>
    <s v="Borchard"/>
    <m/>
    <s v="4300058330"/>
    <s v="Taunus"/>
    <s v="Tanja Geiger"/>
    <s v="Roland Borchard"/>
    <x v="13"/>
  </r>
  <r>
    <x v="1989"/>
    <n v="2"/>
    <x v="77"/>
    <x v="39"/>
    <s v="MPT Import Prozess"/>
    <s v="MPT Import"/>
    <s v="Werner"/>
    <m/>
    <s v="4300064782"/>
    <s v="Cost Calculator übergreifend"/>
    <s v="Katharina Werner"/>
    <s v="Katharina Werner"/>
    <x v="13"/>
  </r>
  <r>
    <x v="1989"/>
    <n v="0"/>
    <x v="86"/>
    <x v="47"/>
    <s v="1 Stunde Anforderungsanalyse, keine Berechnung"/>
    <m/>
    <s v="Schwendener"/>
    <m/>
    <s v="zu klären"/>
    <s v="Kalkulatoren Schweiz"/>
    <s v="Johner"/>
    <s v="zu klären"/>
    <x v="13"/>
  </r>
  <r>
    <x v="1989"/>
    <n v="2"/>
    <x v="40"/>
    <x v="2"/>
    <s v="Löschfunktionalität"/>
    <m/>
    <s v="Schwendener"/>
    <m/>
    <s v="4300058328"/>
    <s v="PP2"/>
    <s v="Sandra Despotovic"/>
    <s v="Roland Borchard"/>
    <x v="13"/>
  </r>
  <r>
    <x v="1990"/>
    <n v="3"/>
    <x v="77"/>
    <x v="39"/>
    <s v="Abgleich MPT Files Tabellen in Datenbank"/>
    <s v="MPT Import"/>
    <s v="Werner"/>
    <m/>
    <s v="4300064782"/>
    <s v="Cost Calculator übergreifend"/>
    <s v="Katharina Werner"/>
    <s v="Katharina Werner"/>
    <x v="13"/>
  </r>
  <r>
    <x v="1990"/>
    <n v="2"/>
    <x v="56"/>
    <x v="18"/>
    <s v="neue ATC Liste integriert"/>
    <s v="Berechnungsmodell"/>
    <s v="Pechstein"/>
    <m/>
    <s v="4300064783"/>
    <s v="Cost Calculator National"/>
    <s v="Pechstein"/>
    <s v="Marlen Pechstein"/>
    <x v="13"/>
  </r>
  <r>
    <x v="1990"/>
    <n v="3"/>
    <x v="77"/>
    <x v="39"/>
    <s v="MPT Import Prozess"/>
    <s v="MPT Import"/>
    <s v="Werner"/>
    <m/>
    <s v="4300064782"/>
    <s v="Cost Calculator übergreifend"/>
    <s v="Katharina Werner"/>
    <s v="Katharina Werner"/>
    <x v="13"/>
  </r>
  <r>
    <x v="1990"/>
    <n v="3"/>
    <x v="67"/>
    <x v="29"/>
    <s v="Automatisches Ersetzen von YTD 01 und YTD 02 durch aktuelles Datum"/>
    <m/>
    <s v="Crone"/>
    <m/>
    <s v="4300058330"/>
    <s v="Taunus"/>
    <s v="Tanja Geiger"/>
    <s v="Roland Borchard"/>
    <x v="13"/>
  </r>
  <r>
    <x v="1991"/>
    <n v="1"/>
    <x v="66"/>
    <x v="28"/>
    <s v="Anpassungen Fortimel"/>
    <m/>
    <s v="Crone"/>
    <m/>
    <s v="4300058330"/>
    <s v="Taunus"/>
    <s v="Tanja Geiger"/>
    <s v="Roland Borchard"/>
    <x v="13"/>
  </r>
  <r>
    <x v="1991"/>
    <n v="2"/>
    <x v="40"/>
    <x v="2"/>
    <s v="Letzte Tests + Bereitstellung Upgrade"/>
    <m/>
    <s v="Despotovic"/>
    <m/>
    <s v="4300058328"/>
    <s v="PP2"/>
    <s v="Sandra Despotovic"/>
    <s v="Roland Borchard"/>
    <x v="13"/>
  </r>
  <r>
    <x v="1991"/>
    <n v="1"/>
    <x v="56"/>
    <x v="18"/>
    <s v="Berechnung Datenbankpreis"/>
    <s v="Berechnungsmodell"/>
    <s v="Pechstein"/>
    <m/>
    <s v="4300064783"/>
    <s v="Cost Calculator National"/>
    <s v="Pechstein"/>
    <s v="Marlen Pechstein"/>
    <x v="13"/>
  </r>
  <r>
    <x v="1991"/>
    <n v="3.5"/>
    <x v="87"/>
    <x v="48"/>
    <s v="Oberflächen Entwurf"/>
    <s v="Oberfläche"/>
    <s v="Herrmann"/>
    <m/>
    <s v="4300064785"/>
    <s v="Cost Calculator Regional"/>
    <s v="Claudia Herrmann"/>
    <s v="Claudia Herrmann"/>
    <x v="13"/>
  </r>
  <r>
    <x v="1991"/>
    <n v="2"/>
    <x v="87"/>
    <x v="48"/>
    <s v="MPT Erstellung"/>
    <s v="MPT Import"/>
    <s v="Herrmann"/>
    <m/>
    <s v="4300064785"/>
    <s v="Cost Calculator Regional"/>
    <s v="Claudia Herrmann"/>
    <s v="Claudia Herrmann"/>
    <x v="13"/>
  </r>
  <r>
    <x v="1991"/>
    <n v="3"/>
    <x v="56"/>
    <x v="18"/>
    <s v="Anpassungen letzter UAT"/>
    <s v="Berechnungsmodell"/>
    <s v="Pechstein"/>
    <m/>
    <s v="4300064783"/>
    <s v="Cost Calculator National"/>
    <s v="Pechstein"/>
    <s v="Marlen Pechstein"/>
    <x v="13"/>
  </r>
  <r>
    <x v="1992"/>
    <n v="4"/>
    <x v="42"/>
    <x v="4"/>
    <s v="Vorbereitung Strategiepräsentation"/>
    <m/>
    <s v="Borchard"/>
    <m/>
    <s v="4300058330"/>
    <s v="Taunus"/>
    <s v="Tanja Geiger"/>
    <s v="Roland Borchard"/>
    <x v="13"/>
  </r>
  <r>
    <x v="1992"/>
    <n v="2"/>
    <x v="56"/>
    <x v="18"/>
    <s v="Letzte Tests + Bereitstellung Upgrade"/>
    <s v="System"/>
    <s v="Pechstein"/>
    <m/>
    <s v="4300064783"/>
    <s v="Cost Calculator National"/>
    <s v="Pechstein"/>
    <s v="Marlen Pechstein"/>
    <x v="13"/>
  </r>
  <r>
    <x v="1992"/>
    <n v="2"/>
    <x v="56"/>
    <x v="18"/>
    <s v="Letzte Tests + Bereitstellung Upgrade"/>
    <s v="System"/>
    <s v="Pechstein"/>
    <m/>
    <s v="4300064783"/>
    <s v="Cost Calculator National"/>
    <s v="Pechstein"/>
    <s v="Marlen Pechstein"/>
    <x v="13"/>
  </r>
  <r>
    <x v="1992"/>
    <n v="1"/>
    <x v="55"/>
    <x v="17"/>
    <s v="Produktion März"/>
    <m/>
    <s v="Salwa-Emmel"/>
    <m/>
    <s v="4300058330"/>
    <s v="Taunus"/>
    <s v="Tanja Geiger"/>
    <s v="Roland Borchard"/>
    <x v="13"/>
  </r>
  <r>
    <x v="1993"/>
    <n v="3.5"/>
    <x v="77"/>
    <x v="39"/>
    <s v="Preisgefüge Versionierung Vorbereitung Vorschlag"/>
    <s v="Berechnungsmodell"/>
    <s v="Werner"/>
    <m/>
    <s v="4300064782"/>
    <s v="Cost Calculator übergreifend"/>
    <s v="Katharina Werner"/>
    <s v="Katharina Werner"/>
    <x v="13"/>
  </r>
  <r>
    <x v="1993"/>
    <n v="4"/>
    <x v="55"/>
    <x v="17"/>
    <s v="Anpassungen neue Markt und Brandstruktur"/>
    <m/>
    <s v="Salwa-Emmel"/>
    <m/>
    <s v="4300058330"/>
    <s v="Taunus"/>
    <s v="Tanja Geiger"/>
    <s v="Roland Borchard"/>
    <x v="13"/>
  </r>
  <r>
    <x v="1993"/>
    <n v="2"/>
    <x v="61"/>
    <x v="23"/>
    <s v="Produktion März"/>
    <m/>
    <s v="Salwa-Emmel"/>
    <m/>
    <s v="4300058330"/>
    <s v="Taunus"/>
    <s v="Tanja Geiger"/>
    <s v="Roland Borchard"/>
    <x v="13"/>
  </r>
  <r>
    <x v="1993"/>
    <n v="2"/>
    <x v="61"/>
    <x v="23"/>
    <s v="Anpassungen wg. Neuer Benennungen im Cube"/>
    <m/>
    <s v="Salwa-Emmel"/>
    <m/>
    <s v="4300058330"/>
    <s v="Taunus"/>
    <s v="Tanja Geiger"/>
    <s v="Roland Borchard"/>
    <x v="13"/>
  </r>
  <r>
    <x v="1993"/>
    <n v="1"/>
    <x v="42"/>
    <x v="4"/>
    <s v="Vorbereitung Anwenderworkshop"/>
    <m/>
    <s v="Borchard"/>
    <m/>
    <s v="4300058330"/>
    <s v="Taunus"/>
    <s v="Tanja Geiger"/>
    <s v="Roland Borchard"/>
    <x v="13"/>
  </r>
  <r>
    <x v="1994"/>
    <n v="2"/>
    <x v="55"/>
    <x v="17"/>
    <s v="Anpassungen neue Markt und Brandstruktur"/>
    <m/>
    <s v="Salwa-Emmel"/>
    <m/>
    <s v="4300058330"/>
    <s v="Taunus"/>
    <s v="Tanja Geiger"/>
    <s v="Roland Borchard"/>
    <x v="13"/>
  </r>
  <r>
    <x v="1994"/>
    <n v="5"/>
    <x v="87"/>
    <x v="48"/>
    <s v="Viewerstellung"/>
    <s v="Oberfläche"/>
    <s v="Herrmann"/>
    <m/>
    <s v="4300064785"/>
    <s v="Cost Calculator Regional"/>
    <s v="Claudia Herrmann"/>
    <s v="Claudia Herrmann"/>
    <x v="13"/>
  </r>
  <r>
    <x v="1995"/>
    <n v="1.5"/>
    <x v="39"/>
    <x v="1"/>
    <s v="Produktion März + manuelle Anpassungen"/>
    <m/>
    <s v="Crone"/>
    <m/>
    <s v="4300058330"/>
    <s v="Taunus"/>
    <s v="Birgit Schilly"/>
    <s v="Roland Borchard"/>
    <x v="13"/>
  </r>
  <r>
    <x v="1995"/>
    <n v="0.5"/>
    <x v="70"/>
    <x v="32"/>
    <s v="Produktion März"/>
    <m/>
    <s v="Crone"/>
    <m/>
    <s v="4300058330"/>
    <s v="Taunus"/>
    <s v="Birgit Schilly"/>
    <s v="Roland Borchard"/>
    <x v="13"/>
  </r>
  <r>
    <x v="1995"/>
    <n v="1.5"/>
    <x v="55"/>
    <x v="17"/>
    <s v="manuelle Anpassungen + Rückfragen"/>
    <m/>
    <s v="Salwa-Emmel"/>
    <m/>
    <s v="4300058330"/>
    <s v="Taunus"/>
    <s v="Tanja Geiger"/>
    <s v="Roland Borchard"/>
    <x v="13"/>
  </r>
  <r>
    <x v="1995"/>
    <n v="0.5"/>
    <x v="48"/>
    <x v="10"/>
    <s v="Rückfragen bzgl. geänderte Berechnung"/>
    <s v="Besprechung"/>
    <s v="Sdunzig"/>
    <m/>
    <s v="4300064785"/>
    <s v="Cost Calculator Regional"/>
    <s v="Norbert Sdunzig"/>
    <s v="Norbert Sdunzig"/>
    <x v="13"/>
  </r>
  <r>
    <x v="1996"/>
    <n v="0.5"/>
    <x v="55"/>
    <x v="17"/>
    <s v="Produktion März + Versand"/>
    <m/>
    <s v="Salwa-Emmel"/>
    <m/>
    <s v="4300058330"/>
    <s v="Taunus"/>
    <s v="Tanja Geiger"/>
    <s v="Roland Borchard"/>
    <x v="13"/>
  </r>
  <r>
    <x v="1996"/>
    <n v="4"/>
    <x v="77"/>
    <x v="39"/>
    <s v="Besprechung Frankfut Projektplanung"/>
    <s v="Besprechung"/>
    <s v="Werner"/>
    <m/>
    <s v="4300064782"/>
    <s v="Cost Calculator übergreifend"/>
    <s v="Katharina Werner"/>
    <s v="Katharina Werner"/>
    <x v="13"/>
  </r>
  <r>
    <x v="1996"/>
    <n v="1"/>
    <x v="66"/>
    <x v="28"/>
    <s v="Produktion März + manuelle Anpassungen"/>
    <m/>
    <s v="Crone"/>
    <m/>
    <s v="4300058330"/>
    <s v="Taunus"/>
    <s v="Tanja Geiger"/>
    <s v="Roland Borchard"/>
    <x v="13"/>
  </r>
  <r>
    <x v="1996"/>
    <n v="1"/>
    <x v="55"/>
    <x v="17"/>
    <s v="Anpassung Brandauswahl + Rückfragen Thermal Water"/>
    <m/>
    <s v="Salwa-Emmel"/>
    <m/>
    <s v="4300058330"/>
    <s v="Taunus"/>
    <s v="Tanja Geiger"/>
    <s v="Roland Borchard"/>
    <x v="13"/>
  </r>
  <r>
    <x v="1997"/>
    <n v="3"/>
    <x v="77"/>
    <x v="39"/>
    <s v="Abgleich MPT Files Tabellen in Datenbank"/>
    <s v="MPT Import"/>
    <s v="Werner"/>
    <m/>
    <s v="4300064782"/>
    <s v="Cost Calculator übergreifend"/>
    <s v="Katharina Werner"/>
    <s v="Katharina Werner"/>
    <x v="13"/>
  </r>
  <r>
    <x v="1997"/>
    <n v="7"/>
    <x v="42"/>
    <x v="4"/>
    <s v="Anwender Workshop und strategische Ausrichtung"/>
    <m/>
    <s v="Borchard"/>
    <m/>
    <s v="4300058330"/>
    <s v="Taunus"/>
    <s v="Tanja Geiger"/>
    <s v="Roland Borchard"/>
    <x v="13"/>
  </r>
  <r>
    <x v="1997"/>
    <n v="5"/>
    <x v="40"/>
    <x v="2"/>
    <s v="Besprechung PP2 weitere Vorgehensweise"/>
    <m/>
    <s v="Despotovic"/>
    <m/>
    <s v="4300058328"/>
    <s v="PP2"/>
    <s v="Sandra Despotovic"/>
    <s v="Roland Borchard"/>
    <x v="13"/>
  </r>
  <r>
    <x v="1998"/>
    <n v="4"/>
    <x v="87"/>
    <x v="48"/>
    <s v="Speicher/Laden Funktionen"/>
    <s v="Speicher/Laden"/>
    <s v="Herrmann"/>
    <m/>
    <s v="4300064785"/>
    <s v="Cost Calculator Regional"/>
    <s v="Claudia Herrmann"/>
    <s v="Claudia Herrmann"/>
    <x v="13"/>
  </r>
  <r>
    <x v="1998"/>
    <n v="3"/>
    <x v="40"/>
    <x v="2"/>
    <s v="Powerpivot ProduktPack Infors für jeweils erstes Produkt ergänzt"/>
    <m/>
    <s v="Despotovic"/>
    <m/>
    <s v="4300058328"/>
    <s v="PP2"/>
    <s v="Sandra Despotovic"/>
    <s v="Roland Borchard"/>
    <x v="13"/>
  </r>
  <r>
    <x v="1999"/>
    <n v="3"/>
    <x v="69"/>
    <x v="31"/>
    <s v="Importprozess"/>
    <s v="MPT Import"/>
    <s v="Herrmann"/>
    <m/>
    <s v="4300064785"/>
    <s v="Cost Calculator Regional"/>
    <s v="Claudia Herrmann"/>
    <s v="Claudia Herrmann"/>
    <x v="13"/>
  </r>
  <r>
    <x v="1999"/>
    <n v="4"/>
    <x v="87"/>
    <x v="48"/>
    <s v="Berechnungslogik"/>
    <s v="Berechnungsmodell"/>
    <s v="Herrmann"/>
    <m/>
    <s v="4300064785"/>
    <s v="Cost Calculator Regional"/>
    <s v="Claudia Herrmann"/>
    <s v="Claudia Herrmann"/>
    <x v="13"/>
  </r>
  <r>
    <x v="1999"/>
    <n v="2"/>
    <x v="87"/>
    <x v="48"/>
    <s v="Umsetzung Änderungswünsche an Oberfläche"/>
    <s v="Oberfläche"/>
    <s v="Herrmann"/>
    <m/>
    <s v="4300064785"/>
    <s v="Cost Calculator Regional"/>
    <s v="Claudia Herrmann"/>
    <s v="Claudia Herrmann"/>
    <x v="13"/>
  </r>
  <r>
    <x v="2000"/>
    <n v="2"/>
    <x v="42"/>
    <x v="4"/>
    <s v="Restrukturierung der Reportformatierung für alle Reports"/>
    <m/>
    <s v="Borchard"/>
    <m/>
    <s v="4300058330"/>
    <s v="Taunus"/>
    <s v="Tanja Geiger"/>
    <s v="Roland Borchard"/>
    <x v="13"/>
  </r>
  <r>
    <x v="2000"/>
    <n v="2"/>
    <x v="87"/>
    <x v="48"/>
    <s v="Umsetzung Änderungswünsche an Oberfläche"/>
    <s v="Oberfläche"/>
    <s v="Herrmann"/>
    <m/>
    <s v="4300064785"/>
    <s v="Cost Calculator Regional"/>
    <s v="Claudia Herrmann"/>
    <s v="Claudia Herrmann"/>
    <x v="13"/>
  </r>
  <r>
    <x v="2000"/>
    <n v="2"/>
    <x v="87"/>
    <x v="48"/>
    <s v="Erstellung Datenbankskripte"/>
    <s v="System"/>
    <s v="Herrmann"/>
    <m/>
    <s v="4300064785"/>
    <s v="Cost Calculator Regional"/>
    <s v="Claudia Herrmann"/>
    <s v="Claudia Herrmann"/>
    <x v="13"/>
  </r>
  <r>
    <x v="2000"/>
    <n v="4"/>
    <x v="79"/>
    <x v="41"/>
    <s v="Unterteilung in Modul/Kalkulator"/>
    <s v="System"/>
    <s v="Werner"/>
    <m/>
    <s v="4300064782"/>
    <s v="Cost Calculator übergreifend"/>
    <s v="Katharina Werner"/>
    <s v="Katharina Werner"/>
    <x v="13"/>
  </r>
  <r>
    <x v="1999"/>
    <n v="5"/>
    <x v="69"/>
    <x v="31"/>
    <s v="Importprozess"/>
    <s v="MPT Import"/>
    <s v="Herrmann"/>
    <m/>
    <s v="4300064785"/>
    <s v="Cost Calculator Regional"/>
    <s v="Claudia Herrmann"/>
    <s v="Claudia Herrmann"/>
    <x v="13"/>
  </r>
  <r>
    <x v="2001"/>
    <n v="2"/>
    <x v="69"/>
    <x v="31"/>
    <s v="Importprozess"/>
    <s v="MPT Import"/>
    <s v="Herrmann"/>
    <m/>
    <s v="4300064785"/>
    <s v="Cost Calculator Regional"/>
    <s v="Claudia Herrmann"/>
    <s v="Claudia Herrmann"/>
    <x v="13"/>
  </r>
  <r>
    <x v="2002"/>
    <n v="2"/>
    <x v="51"/>
    <x v="13"/>
    <s v="Importprozess"/>
    <s v="MPT Import"/>
    <s v="Pechstein"/>
    <m/>
    <s v="4300064783"/>
    <s v="Cost Calculator National"/>
    <s v="Pechstein"/>
    <s v="Marlen Pechstein"/>
    <x v="13"/>
  </r>
  <r>
    <x v="2002"/>
    <n v="8"/>
    <x v="79"/>
    <x v="41"/>
    <s v="Unterteilung in Modul/Kalkulator"/>
    <s v="System"/>
    <s v="Werner"/>
    <m/>
    <s v="4300064782"/>
    <s v="Cost Calculator übergreifend"/>
    <s v="Katharina Werner"/>
    <s v="Katharina Werner"/>
    <x v="13"/>
  </r>
  <r>
    <x v="2002"/>
    <n v="2"/>
    <x v="67"/>
    <x v="29"/>
    <s v="März Produktion, Erstellung Unmatched Liste"/>
    <m/>
    <s v="Crone"/>
    <m/>
    <s v="4300058330"/>
    <s v="Taunus"/>
    <s v="Tanja Geiger"/>
    <s v="Roland Borchard"/>
    <x v="13"/>
  </r>
  <r>
    <x v="2002"/>
    <n v="6"/>
    <x v="79"/>
    <x v="41"/>
    <s v="Unterteilung in Modul/Kalkulator"/>
    <s v="System"/>
    <s v="Werner"/>
    <m/>
    <s v="4300064782"/>
    <s v="Cost Calculator übergreifend"/>
    <s v="Katharina Werner"/>
    <s v="Katharina Werner"/>
    <x v="13"/>
  </r>
  <r>
    <x v="2003"/>
    <n v="1"/>
    <x v="87"/>
    <x v="48"/>
    <s v="Anpassungen Kommentarfeld wg. Zeilenubruch"/>
    <s v="Oberfläche"/>
    <s v="Herrmann"/>
    <m/>
    <s v="4300064785"/>
    <s v="Cost Calculator Regional"/>
    <s v="Claudia Herrmann"/>
    <s v="Claudia Herrmann"/>
    <x v="13"/>
  </r>
  <r>
    <x v="2003"/>
    <n v="1"/>
    <x v="67"/>
    <x v="29"/>
    <s v="März Produktion, Erstellung Unmatched Liste"/>
    <m/>
    <s v="Crone"/>
    <m/>
    <s v="4300058330"/>
    <s v="Taunus"/>
    <s v="Tanja Geiger"/>
    <s v="Roland Borchard"/>
    <x v="13"/>
  </r>
  <r>
    <x v="2004"/>
    <n v="2"/>
    <x v="77"/>
    <x v="39"/>
    <s v="Erarbeitung Jahresmodell statt Szenariomodell für beliebig viele Jahre"/>
    <s v="Berechnungsmodell"/>
    <s v="Werner"/>
    <m/>
    <s v="4300064782"/>
    <s v="Cost Calculator übergreifend"/>
    <s v="Katharina Werner"/>
    <s v="Katharina Werner"/>
    <x v="13"/>
  </r>
  <r>
    <x v="2004"/>
    <n v="2"/>
    <x v="87"/>
    <x v="48"/>
    <s v="Bereitstellung und Upgrade CostCalculator"/>
    <s v="System"/>
    <s v="Herrmann"/>
    <m/>
    <s v="4300064785"/>
    <s v="Cost Calculator Regional"/>
    <s v="Claudia Herrmann"/>
    <s v="Claudia Herrmann"/>
    <x v="13"/>
  </r>
  <r>
    <x v="2004"/>
    <n v="2"/>
    <x v="87"/>
    <x v="48"/>
    <s v="Anpassung Excel Export"/>
    <s v="Export"/>
    <s v="Herrmann"/>
    <m/>
    <s v="4300064785"/>
    <s v="Cost Calculator Regional"/>
    <s v="Claudia Herrmann"/>
    <s v="Claudia Herrmann"/>
    <x v="13"/>
  </r>
  <r>
    <x v="2005"/>
    <n v="2.5"/>
    <x v="77"/>
    <x v="39"/>
    <s v="Zeit- und Resourcenplanung bzw. Rückmeldung zwecks Weiterentwicklung bis Jahresende"/>
    <s v="Besprechung"/>
    <s v="Werner"/>
    <m/>
    <s v="4300064782"/>
    <s v="Cost Calculator übergreifend"/>
    <s v="Katharina Werner"/>
    <s v="Katharina Werner"/>
    <x v="13"/>
  </r>
  <r>
    <x v="2005"/>
    <n v="1"/>
    <x v="77"/>
    <x v="39"/>
    <s v="Erarbeitung Freigabeprozess: Entfernung Testdaten + Freischaltung MPT Import"/>
    <s v="MPT Import"/>
    <s v="Werner"/>
    <m/>
    <s v="4300064782"/>
    <s v="Cost Calculator übergreifend"/>
    <s v="Katharina Werner"/>
    <s v="Katharina Werner"/>
    <x v="13"/>
  </r>
  <r>
    <x v="2005"/>
    <n v="2"/>
    <x v="67"/>
    <x v="29"/>
    <s v="März Produktion, 0 Unmatches, Erstellung Datenbank"/>
    <m/>
    <s v="Crone"/>
    <m/>
    <s v="4300058330"/>
    <s v="Taunus"/>
    <s v="Tanja Geiger"/>
    <s v="Roland Borchard"/>
    <x v="13"/>
  </r>
  <r>
    <x v="2005"/>
    <n v="2.5"/>
    <x v="67"/>
    <x v="29"/>
    <s v="Produktion März Report Erstellung + manuelle Anpassungen"/>
    <m/>
    <s v="Crone"/>
    <m/>
    <s v="4300058330"/>
    <s v="Taunus"/>
    <s v="Tanja Geiger"/>
    <s v="Roland Borchard"/>
    <x v="13"/>
  </r>
  <r>
    <x v="2005"/>
    <n v="1"/>
    <x v="87"/>
    <x v="48"/>
    <s v="Korrekturwünsche"/>
    <s v="Oberfläche"/>
    <s v="Herrmann"/>
    <m/>
    <s v="4300064785"/>
    <s v="Cost Calculator Regional"/>
    <s v="Claudia Herrmann"/>
    <s v="Claudia Herrmann"/>
    <x v="13"/>
  </r>
  <r>
    <x v="2005"/>
    <n v="1"/>
    <x v="51"/>
    <x v="13"/>
    <s v="Importprozess"/>
    <s v="MPT Import"/>
    <s v="Pechstein"/>
    <m/>
    <s v="4300064783"/>
    <s v="Cost Calculator National"/>
    <s v="Pechstein"/>
    <s v="Marlen Pechstein"/>
    <x v="13"/>
  </r>
  <r>
    <x v="2005"/>
    <n v="2"/>
    <x v="76"/>
    <x v="38"/>
    <s v="Erstellung Time Line Fertigstellung Adminschnittstelle"/>
    <s v="System"/>
    <s v="Werner"/>
    <m/>
    <s v="4300064782"/>
    <s v="Cost Calculator übergreifend"/>
    <s v="Katharina Werner"/>
    <s v="Katharina Werner"/>
    <x v="13"/>
  </r>
  <r>
    <x v="2006"/>
    <n v="2"/>
    <x v="51"/>
    <x v="13"/>
    <s v="Importprozess"/>
    <s v="MPT Import"/>
    <s v="Pechstein"/>
    <m/>
    <s v="4300064783"/>
    <s v="Cost Calculator National"/>
    <s v="Pechstein"/>
    <s v="Marlen Pechstein"/>
    <x v="13"/>
  </r>
  <r>
    <x v="2007"/>
    <n v="1"/>
    <x v="87"/>
    <x v="48"/>
    <s v="kleinere Anpassungen"/>
    <s v="Oberfläche"/>
    <s v="Herrmann"/>
    <m/>
    <s v="4300064785"/>
    <s v="Cost Calculator Regional"/>
    <s v="Claudia Herrmann"/>
    <s v="Claudia Herrmann"/>
    <x v="13"/>
  </r>
  <r>
    <x v="2007"/>
    <n v="2"/>
    <x v="88"/>
    <x v="49"/>
    <s v="Projekteinrichtung"/>
    <s v="System"/>
    <s v="Sdunzig"/>
    <m/>
    <s v="4300064785"/>
    <s v="Cost Calculator Regional"/>
    <s v="Norbert Sdunzig"/>
    <s v="Norbert Sdunzig"/>
    <x v="13"/>
  </r>
  <r>
    <x v="2007"/>
    <n v="2"/>
    <x v="89"/>
    <x v="50"/>
    <s v="Projekteinrichtung"/>
    <s v="System"/>
    <s v="Sdunzig"/>
    <m/>
    <s v="4300064785"/>
    <s v="Cost Calculator Regional"/>
    <s v="Norbert Sdunzig"/>
    <s v="Norbert Sdunzig"/>
    <x v="13"/>
  </r>
  <r>
    <x v="2007"/>
    <n v="1"/>
    <x v="88"/>
    <x v="49"/>
    <s v="Telefonmeeting"/>
    <s v="Besprechung"/>
    <s v="Sdunzig"/>
    <m/>
    <s v="4300064785"/>
    <s v="Cost Calculator Regional"/>
    <s v="Norbert Sdunzig"/>
    <s v="Norbert Sdunzig"/>
    <x v="13"/>
  </r>
  <r>
    <x v="2007"/>
    <n v="2"/>
    <x v="89"/>
    <x v="50"/>
    <s v="Telefonmeeting"/>
    <s v="Besprechung"/>
    <s v="Sdunzig"/>
    <m/>
    <s v="4300064785"/>
    <s v="Cost Calculator Regional"/>
    <s v="Norbert Sdunzig"/>
    <s v="Norbert Sdunzig"/>
    <x v="13"/>
  </r>
  <r>
    <x v="2007"/>
    <n v="2"/>
    <x v="56"/>
    <x v="18"/>
    <s v="Importprozess"/>
    <s v="MPT Import"/>
    <s v="Pechstein"/>
    <m/>
    <s v="4300064783"/>
    <s v="Cost Calculator National"/>
    <s v="Pechstein"/>
    <s v="Marlen Pechstein"/>
    <x v="13"/>
  </r>
  <r>
    <x v="2008"/>
    <n v="5"/>
    <x v="88"/>
    <x v="49"/>
    <s v="Projekteinrichtung"/>
    <s v="Berechnungsmodell"/>
    <s v="Sdunzig"/>
    <m/>
    <s v="4300064785"/>
    <s v="Cost Calculator Regional"/>
    <s v="Norbert Sdunzig"/>
    <s v="Norbert Sdunzig"/>
    <x v="13"/>
  </r>
  <r>
    <x v="2008"/>
    <n v="1.5"/>
    <x v="65"/>
    <x v="27"/>
    <s v="Support Parallelimport"/>
    <m/>
    <s v="Propp"/>
    <m/>
    <s v="4300058330"/>
    <s v="Taunus"/>
    <s v="Julia Propp"/>
    <s v="Roland Borchard"/>
    <x v="13"/>
  </r>
  <r>
    <x v="2008"/>
    <n v="4"/>
    <x v="79"/>
    <x v="41"/>
    <s v="Komponentenaufteilung"/>
    <s v="System"/>
    <s v="Werner"/>
    <m/>
    <s v="4300064782"/>
    <s v="Cost Calculator übergreifend"/>
    <s v="Katharina Werner"/>
    <s v="Katharina Werner"/>
    <x v="13"/>
  </r>
  <r>
    <x v="2009"/>
    <n v="7"/>
    <x v="88"/>
    <x v="49"/>
    <s v="Datenbankskripte, Berechnungsmodell + Export"/>
    <s v="Berechnungsmodell"/>
    <s v="Sdunzig"/>
    <m/>
    <s v="4300064785"/>
    <s v="Cost Calculator Regional"/>
    <s v="Norbert Sdunzig"/>
    <s v="Norbert Sdunzig"/>
    <x v="13"/>
  </r>
  <r>
    <x v="2009"/>
    <n v="1"/>
    <x v="56"/>
    <x v="18"/>
    <s v="Importprozess"/>
    <s v="MPT Import"/>
    <s v="Pechstein"/>
    <m/>
    <s v="4300064783"/>
    <s v="Cost Calculator National"/>
    <s v="Pechstein"/>
    <s v="Marlen Pechstein"/>
    <x v="13"/>
  </r>
  <r>
    <x v="2009"/>
    <n v="1"/>
    <x v="67"/>
    <x v="29"/>
    <s v="Formatierung QuickView Marken Detail angepasst"/>
    <m/>
    <s v="Crone"/>
    <m/>
    <s v="4300058330"/>
    <s v="Taunus"/>
    <s v="Tanja Geiger"/>
    <s v="Roland Borchard"/>
    <x v="13"/>
  </r>
  <r>
    <x v="2009"/>
    <n v="7"/>
    <x v="90"/>
    <x v="51"/>
    <s v="HBT Check Anpassung SQL 2012"/>
    <m/>
    <s v="Borchard"/>
    <m/>
    <s v="4300062776"/>
    <s v="HBT Check Anpassung SQL 2012"/>
    <s v="Roland Borchard"/>
    <s v="Roland Borchard"/>
    <x v="13"/>
  </r>
  <r>
    <x v="2010"/>
    <n v="2"/>
    <x v="89"/>
    <x v="50"/>
    <s v="Planung Anpassungen"/>
    <s v="Besprechung"/>
    <s v="Sdunzig"/>
    <m/>
    <s v="4300064785"/>
    <s v="Cost Calculator Regional"/>
    <s v="Norbert Sdunzig"/>
    <s v="Norbert Sdunzig"/>
    <x v="13"/>
  </r>
  <r>
    <x v="2010"/>
    <n v="1"/>
    <x v="48"/>
    <x v="10"/>
    <s v="Planung Anpassungen"/>
    <s v="Besprechung"/>
    <s v="Sdunzig"/>
    <m/>
    <s v="4300064785"/>
    <s v="Cost Calculator Regional"/>
    <s v="Norbert Sdunzig"/>
    <s v="Norbert Sdunzig"/>
    <x v="13"/>
  </r>
  <r>
    <x v="2010"/>
    <n v="7"/>
    <x v="90"/>
    <x v="51"/>
    <s v="HBT Check Anpassung SQL 2012"/>
    <m/>
    <s v="Borchard"/>
    <m/>
    <s v="4300062776"/>
    <s v="HBT Check Anpassung SQL 2012"/>
    <s v="Roland Borchard"/>
    <s v="Roland Borchard"/>
    <x v="13"/>
  </r>
  <r>
    <x v="2010"/>
    <n v="1"/>
    <x v="88"/>
    <x v="49"/>
    <s v="Planung"/>
    <s v="Besprechung"/>
    <s v="Sdunzig"/>
    <m/>
    <s v="4300064785"/>
    <s v="Cost Calculator Regional"/>
    <s v="Norbert Sdunzig"/>
    <s v="Norbert Sdunzig"/>
    <x v="13"/>
  </r>
  <r>
    <x v="2010"/>
    <n v="1"/>
    <x v="79"/>
    <x v="41"/>
    <s v="Komponentenaufteilung"/>
    <s v="System"/>
    <s v="Werner"/>
    <m/>
    <s v="4300064782"/>
    <s v="Cost Calculator übergreifend"/>
    <s v="Katharina Werner"/>
    <s v="Katharina Werner"/>
    <x v="13"/>
  </r>
  <r>
    <x v="2010"/>
    <n v="1"/>
    <x v="88"/>
    <x v="49"/>
    <s v="Berechnungslogik"/>
    <s v="Berechnungsmodell"/>
    <s v="Sdunzig"/>
    <m/>
    <s v="4300064785"/>
    <s v="Cost Calculator Regional"/>
    <s v="Norbert Sdunzig"/>
    <s v="Norbert Sdunzig"/>
    <x v="13"/>
  </r>
  <r>
    <x v="2011"/>
    <n v="1"/>
    <x v="67"/>
    <x v="29"/>
    <s v="Total Sales Values Hersteller Report"/>
    <m/>
    <s v="Crone"/>
    <m/>
    <s v="4300058330"/>
    <s v="Taunus"/>
    <s v="Tanja Geiger"/>
    <s v="Roland Borchard"/>
    <x v="13"/>
  </r>
  <r>
    <x v="2011"/>
    <n v="1"/>
    <x v="89"/>
    <x v="50"/>
    <s v="Excel Export Template"/>
    <s v="Export"/>
    <s v="Sdunzig"/>
    <m/>
    <s v="4300064785"/>
    <s v="Cost Calculator Regional"/>
    <s v="Norbert Sdunzig"/>
    <s v="Norbert Sdunzig"/>
    <x v="13"/>
  </r>
  <r>
    <x v="2011"/>
    <n v="3"/>
    <x v="88"/>
    <x v="49"/>
    <s v="Excel Export Template"/>
    <s v="Export"/>
    <s v="Sdunzig"/>
    <m/>
    <s v="4300064785"/>
    <s v="Cost Calculator Regional"/>
    <s v="Norbert Sdunzig"/>
    <s v="Norbert Sdunzig"/>
    <x v="13"/>
  </r>
  <r>
    <x v="2011"/>
    <n v="1"/>
    <x v="48"/>
    <x v="10"/>
    <s v="Excel Export Template"/>
    <s v="Export"/>
    <s v="Sdunzig"/>
    <m/>
    <s v="4300064785"/>
    <s v="Cost Calculator Regional"/>
    <s v="Norbert Sdunzig"/>
    <s v="Norbert Sdunzig"/>
    <x v="13"/>
  </r>
  <r>
    <x v="2011"/>
    <n v="8"/>
    <x v="90"/>
    <x v="51"/>
    <s v="HBT Check Anpassung SQL 2012"/>
    <m/>
    <s v="Borchard"/>
    <m/>
    <s v="4300062776"/>
    <s v="HBT Check Anpassung SQL 2012"/>
    <s v="Roland Borchard"/>
    <s v="Roland Borchard"/>
    <x v="13"/>
  </r>
  <r>
    <x v="2012"/>
    <n v="6"/>
    <x v="79"/>
    <x v="41"/>
    <s v="Umstrukturierung Projektarchitektur"/>
    <m/>
    <s v="Werner"/>
    <m/>
    <s v="4300064782"/>
    <s v="Cost Calculator übergreifend"/>
    <s v="Katharina Werner"/>
    <s v="Katharina Werner"/>
    <x v="13"/>
  </r>
  <r>
    <x v="2012"/>
    <n v="3"/>
    <x v="42"/>
    <x v="4"/>
    <s v="Refactoring und Optimierung"/>
    <m/>
    <s v="Borchard"/>
    <s v="Notwendige Massnahmen um zukünftige Wartbarkeit zu gewährleisten"/>
    <s v="4300058330"/>
    <s v="Taunus"/>
    <s v="Tanja Geiger"/>
    <s v="Roland Borchard"/>
    <x v="13"/>
  </r>
  <r>
    <x v="2013"/>
    <n v="1"/>
    <x v="56"/>
    <x v="18"/>
    <s v="Importprozess"/>
    <s v="MPT Import"/>
    <s v="Pechstein"/>
    <m/>
    <s v="4300064783"/>
    <s v="Cost Calculator National"/>
    <s v="Pechstein"/>
    <s v="Marlen Pechstein"/>
    <x v="13"/>
  </r>
  <r>
    <x v="2013"/>
    <n v="4"/>
    <x v="79"/>
    <x v="41"/>
    <s v="Umstrukturierung Projektarchitektur"/>
    <m/>
    <s v="Werner"/>
    <m/>
    <s v="4300064782"/>
    <s v="Cost Calculator übergreifend"/>
    <s v="Katharina Werner"/>
    <s v="Katharina Werner"/>
    <x v="13"/>
  </r>
  <r>
    <x v="2013"/>
    <n v="2"/>
    <x v="88"/>
    <x v="49"/>
    <s v="Excel Export Template"/>
    <s v="Export"/>
    <s v="Sdunzig"/>
    <m/>
    <s v="4300064785"/>
    <s v="Cost Calculator Regional"/>
    <s v="Norbert Sdunzig"/>
    <s v="Norbert Sdunzig"/>
    <x v="13"/>
  </r>
  <r>
    <x v="2013"/>
    <n v="2"/>
    <x v="89"/>
    <x v="50"/>
    <s v="Excel Export Template"/>
    <s v="Export"/>
    <s v="Sdunzig"/>
    <m/>
    <s v="4300064785"/>
    <s v="Cost Calculator Regional"/>
    <s v="Norbert Sdunzig"/>
    <s v="Norbert Sdunzig"/>
    <x v="13"/>
  </r>
  <r>
    <x v="2013"/>
    <n v="2"/>
    <x v="48"/>
    <x v="10"/>
    <s v="Excel Export Template"/>
    <s v="Export"/>
    <s v="Sdunzig"/>
    <m/>
    <s v="4300064785"/>
    <s v="Cost Calculator Regional"/>
    <s v="Norbert Sdunzig"/>
    <s v="Norbert Sdunzig"/>
    <x v="13"/>
  </r>
  <r>
    <x v="2014"/>
    <n v="2"/>
    <x v="88"/>
    <x v="49"/>
    <s v="Excel Export Logik"/>
    <s v="Export"/>
    <s v="Sdunzig"/>
    <m/>
    <s v="4300064785"/>
    <s v="Cost Calculator Regional"/>
    <s v="Norbert Sdunzig"/>
    <s v="Norbert Sdunzig"/>
    <x v="13"/>
  </r>
  <r>
    <x v="2015"/>
    <n v="2"/>
    <x v="89"/>
    <x v="50"/>
    <s v="Projekteinrichtung"/>
    <s v="System"/>
    <s v="Sdunzig"/>
    <m/>
    <s v="4300064785"/>
    <s v="Cost Calculator Regional"/>
    <s v="Norbert Sdunzig"/>
    <s v="Norbert Sdunzig"/>
    <x v="13"/>
  </r>
  <r>
    <x v="2015"/>
    <n v="1"/>
    <x v="89"/>
    <x v="50"/>
    <s v="Planung der notwendigen Massnahmen"/>
    <s v="Besprechung"/>
    <s v="Sdunzig"/>
    <m/>
    <s v="4300064785"/>
    <s v="Cost Calculator Regional"/>
    <s v="Norbert Sdunzig"/>
    <s v="Norbert Sdunzig"/>
    <x v="13"/>
  </r>
  <r>
    <x v="2015"/>
    <n v="3"/>
    <x v="89"/>
    <x v="50"/>
    <s v="Erstellung neue Oberfläche"/>
    <s v="Oberfläche"/>
    <s v="Sdunzig"/>
    <m/>
    <s v="4300064785"/>
    <s v="Cost Calculator Regional"/>
    <s v="Norbert Sdunzig"/>
    <s v="Norbert Sdunzig"/>
    <x v="13"/>
  </r>
  <r>
    <x v="2015"/>
    <n v="1"/>
    <x v="48"/>
    <x v="10"/>
    <s v="Planung der notwendigen Massnahmen"/>
    <s v="Besprechung"/>
    <s v="Sdunzig"/>
    <m/>
    <s v="4300064785"/>
    <s v="Cost Calculator Regional"/>
    <s v="Norbert Sdunzig"/>
    <s v="Norbert Sdunzig"/>
    <x v="13"/>
  </r>
  <r>
    <x v="2016"/>
    <n v="8"/>
    <x v="90"/>
    <x v="51"/>
    <s v="HBT Check Anpassung SQL 2012"/>
    <m/>
    <s v="Borchard"/>
    <m/>
    <s v="4300062776"/>
    <s v="HBT Check Anpassung SQL 2012"/>
    <s v="Roland Borchard"/>
    <s v="Roland Borchard"/>
    <x v="13"/>
  </r>
  <r>
    <x v="2016"/>
    <n v="1.5"/>
    <x v="88"/>
    <x v="49"/>
    <s v="Excel Export Logik"/>
    <s v="Export"/>
    <s v="Sdunzig"/>
    <m/>
    <s v="4300064785"/>
    <s v="Cost Calculator Regional"/>
    <s v="Norbert Sdunzig"/>
    <s v="Norbert Sdunzig"/>
    <x v="13"/>
  </r>
  <r>
    <x v="2017"/>
    <n v="2"/>
    <x v="90"/>
    <x v="51"/>
    <s v="HBT Check Anpassung SQL 2012"/>
    <m/>
    <s v="Borchard"/>
    <m/>
    <s v="4300062776"/>
    <s v="HBT Check Anpassung SQL 2012"/>
    <s v="Roland Borchard"/>
    <s v="Roland Borchard"/>
    <x v="13"/>
  </r>
  <r>
    <x v="2017"/>
    <n v="5"/>
    <x v="56"/>
    <x v="18"/>
    <s v="Importprozess"/>
    <s v="MPT Import"/>
    <s v="Pechstein"/>
    <m/>
    <s v="4300064783"/>
    <s v="Cost Calculator National"/>
    <s v="Pechstein"/>
    <s v="Marlen Pechstein"/>
    <x v="13"/>
  </r>
  <r>
    <x v="2018"/>
    <n v="4"/>
    <x v="90"/>
    <x v="51"/>
    <s v="HBT Check Anpassung SQL 2012"/>
    <m/>
    <s v="Borchard"/>
    <m/>
    <s v="4300062776"/>
    <s v="HBT Check Anpassung SQL 2012"/>
    <s v="Roland Borchard"/>
    <s v="Roland Borchard"/>
    <x v="13"/>
  </r>
  <r>
    <x v="2018"/>
    <n v="2"/>
    <x v="91"/>
    <x v="52"/>
    <s v="Powercharts Anpassung SQL 2012"/>
    <m/>
    <s v="Borchard"/>
    <m/>
    <s v="zu klären"/>
    <s v="Powercharts Anpassung SQL 2012"/>
    <s v="Roland Borchard"/>
    <s v="Roland Borchard"/>
    <x v="13"/>
  </r>
  <r>
    <x v="2018"/>
    <n v="2"/>
    <x v="89"/>
    <x v="50"/>
    <s v="Datenbankskripte"/>
    <s v="System"/>
    <s v="Sdunzig"/>
    <m/>
    <s v="4300064785"/>
    <s v="Cost Calculator Regional"/>
    <s v="Norbert Sdunzig"/>
    <s v="Norbert Sdunzig"/>
    <x v="13"/>
  </r>
  <r>
    <x v="2019"/>
    <n v="2"/>
    <x v="66"/>
    <x v="28"/>
    <s v="Fortimel Anpassungen"/>
    <m/>
    <s v="Crone"/>
    <m/>
    <s v="4300058330"/>
    <s v="Taunus"/>
    <s v="Tanja Geiger"/>
    <s v="Roland Borchard"/>
    <x v="13"/>
  </r>
  <r>
    <x v="2020"/>
    <n v="3.5"/>
    <x v="66"/>
    <x v="28"/>
    <s v="Fortimel Anpassungen"/>
    <m/>
    <s v="Crone"/>
    <m/>
    <s v="4300058330"/>
    <s v="Taunus"/>
    <s v="Tanja Geiger"/>
    <s v="Roland Borchard"/>
    <x v="13"/>
  </r>
  <r>
    <x v="2020"/>
    <n v="1"/>
    <x v="39"/>
    <x v="1"/>
    <s v="Produktion 04/15"/>
    <m/>
    <s v="Crone"/>
    <m/>
    <s v="4300058330"/>
    <s v="Taunus"/>
    <s v="Birgit Schilly"/>
    <s v="Roland Borchard"/>
    <x v="13"/>
  </r>
  <r>
    <x v="2020"/>
    <n v="6"/>
    <x v="88"/>
    <x v="49"/>
    <s v="Speichern/Laden und Test"/>
    <s v="Speicher/Laden"/>
    <s v="Sdunzig"/>
    <m/>
    <s v="4300064785"/>
    <s v="Cost Calculator Regional"/>
    <s v="Norbert Sdunzig"/>
    <s v="Norbert Sdunzig"/>
    <x v="13"/>
  </r>
  <r>
    <x v="2020"/>
    <n v="8"/>
    <x v="90"/>
    <x v="51"/>
    <s v="HBT Check Anpassung SQL 2012"/>
    <m/>
    <s v="Borchard"/>
    <m/>
    <s v="4300062776"/>
    <s v="HBT Check Anpassung SQL 2012"/>
    <s v="Roland Borchard"/>
    <s v="Roland Borchard"/>
    <x v="13"/>
  </r>
  <r>
    <x v="2021"/>
    <n v="2"/>
    <x v="77"/>
    <x v="39"/>
    <s v="Importprozess, Kalkulator übergreifende Anpassungen"/>
    <s v="MPT Import"/>
    <s v="Werner"/>
    <m/>
    <s v="4300064782"/>
    <s v="Cost Calculator übergreifend"/>
    <s v="Katharina Werner"/>
    <s v="Katharina Werner"/>
    <x v="13"/>
  </r>
  <r>
    <x v="2021"/>
    <n v="8"/>
    <x v="90"/>
    <x v="51"/>
    <s v="HBT Check Anpassung SQL 2012"/>
    <m/>
    <s v="Borchard"/>
    <m/>
    <s v="4300062776"/>
    <s v="HBT Check Anpassung SQL 2012"/>
    <s v="Roland Borchard"/>
    <s v="Roland Borchard"/>
    <x v="13"/>
  </r>
  <r>
    <x v="2021"/>
    <n v="1"/>
    <x v="70"/>
    <x v="32"/>
    <s v="Produktion 04/15"/>
    <m/>
    <s v="Crone"/>
    <m/>
    <s v="4300058330"/>
    <s v="Taunus"/>
    <s v="Birgit Schilly"/>
    <s v="Roland Borchard"/>
    <x v="13"/>
  </r>
  <r>
    <x v="2022"/>
    <n v="3"/>
    <x v="89"/>
    <x v="50"/>
    <s v="Datenbankskripte"/>
    <s v="System"/>
    <s v="Sdunzig"/>
    <m/>
    <s v="4300064785"/>
    <s v="Cost Calculator Regional"/>
    <s v="Norbert Sdunzig"/>
    <s v="Norbert Sdunzig"/>
    <x v="13"/>
  </r>
  <r>
    <x v="2023"/>
    <n v="4"/>
    <x v="48"/>
    <x v="10"/>
    <s v="Datenbankskripte"/>
    <s v="System"/>
    <s v="Sdunzig"/>
    <m/>
    <s v="4300064785"/>
    <s v="Cost Calculator Regional"/>
    <s v="Norbert Sdunzig"/>
    <s v="Norbert Sdunzig"/>
    <x v="13"/>
  </r>
  <r>
    <x v="2023"/>
    <n v="8"/>
    <x v="90"/>
    <x v="51"/>
    <s v="HBT Check Anpassung SQL 2012"/>
    <m/>
    <s v="Borchard"/>
    <m/>
    <s v="4300062776"/>
    <s v="HBT Check Anpassung SQL 2012"/>
    <s v="Roland Borchard"/>
    <s v="Roland Borchard"/>
    <x v="13"/>
  </r>
  <r>
    <x v="2023"/>
    <n v="1"/>
    <x v="39"/>
    <x v="1"/>
    <s v="manuelle Anpassungen Produktion 04/15"/>
    <m/>
    <s v="Crone"/>
    <m/>
    <s v="4300058330"/>
    <s v="Taunus"/>
    <s v="Birgit Schilly"/>
    <s v="Roland Borchard"/>
    <x v="13"/>
  </r>
  <r>
    <x v="2022"/>
    <n v="2"/>
    <x v="89"/>
    <x v="50"/>
    <s v="Datenbank und Oberfläche"/>
    <s v="Oberfläche"/>
    <s v="Sdunzig"/>
    <m/>
    <s v="4300064785"/>
    <s v="Cost Calculator Regional"/>
    <s v="Norbert Sdunzig"/>
    <s v="Norbert Sdunzig"/>
    <x v="13"/>
  </r>
  <r>
    <x v="2022"/>
    <n v="2"/>
    <x v="89"/>
    <x v="50"/>
    <s v="Importprozess"/>
    <s v="MPT Import"/>
    <s v="Sdunzig"/>
    <m/>
    <s v="4300064785"/>
    <s v="Cost Calculator Regional"/>
    <s v="Norbert Sdunzig"/>
    <s v="Norbert Sdunzig"/>
    <x v="13"/>
  </r>
  <r>
    <x v="2022"/>
    <n v="8"/>
    <x v="91"/>
    <x v="52"/>
    <s v="Powercharts Anpassung SQL 2012"/>
    <m/>
    <s v="Borchard"/>
    <m/>
    <s v="zu klären"/>
    <s v="Powercharts Anpassung SQL 2012"/>
    <s v="Roland Borchard"/>
    <s v="Roland Borchard"/>
    <x v="13"/>
  </r>
  <r>
    <x v="2022"/>
    <n v="3"/>
    <x v="40"/>
    <x v="2"/>
    <s v="Default Production Used Sichtbarkeit + Prodkey Filter"/>
    <m/>
    <s v="Despotovic"/>
    <m/>
    <s v="4300058328"/>
    <s v="PP2"/>
    <s v="Sandra Despotovic"/>
    <s v="Roland Borchard"/>
    <x v="13"/>
  </r>
  <r>
    <x v="2022"/>
    <n v="1"/>
    <x v="89"/>
    <x v="50"/>
    <s v="Importprozess"/>
    <s v="MPT Import"/>
    <s v="Sdunzig"/>
    <m/>
    <s v="4300064785"/>
    <s v="Cost Calculator Regional"/>
    <s v="Norbert Sdunzig"/>
    <s v="Norbert Sdunzig"/>
    <x v="13"/>
  </r>
  <r>
    <x v="2022"/>
    <n v="5"/>
    <x v="66"/>
    <x v="28"/>
    <s v="Fortimel Anpassungen"/>
    <m/>
    <s v="Crone"/>
    <m/>
    <s v="4300058330"/>
    <s v="Taunus"/>
    <s v="Tanja Geiger"/>
    <s v="Roland Borchard"/>
    <x v="13"/>
  </r>
  <r>
    <x v="2024"/>
    <n v="1"/>
    <x v="89"/>
    <x v="50"/>
    <s v="Berechnungslogik"/>
    <s v="Berechnungsmodell"/>
    <s v="Sdunzig"/>
    <m/>
    <s v="4300064785"/>
    <s v="Cost Calculator Regional"/>
    <s v="Norbert Sdunzig"/>
    <s v="Norbert Sdunzig"/>
    <x v="13"/>
  </r>
  <r>
    <x v="2024"/>
    <n v="2"/>
    <x v="89"/>
    <x v="50"/>
    <s v="Export"/>
    <s v="Export"/>
    <s v="Sdunzig"/>
    <m/>
    <s v="4300064785"/>
    <s v="Cost Calculator Regional"/>
    <s v="Norbert Sdunzig"/>
    <s v="Norbert Sdunzig"/>
    <x v="13"/>
  </r>
  <r>
    <x v="2024"/>
    <n v="6"/>
    <x v="48"/>
    <x v="10"/>
    <s v="Berechnungslogik"/>
    <s v="Berechnungsmodell"/>
    <s v="Sdunzig"/>
    <m/>
    <s v="4300064785"/>
    <s v="Cost Calculator Regional"/>
    <s v="Norbert Sdunzig"/>
    <s v="Norbert Sdunzig"/>
    <x v="13"/>
  </r>
  <r>
    <x v="2024"/>
    <n v="4"/>
    <x v="66"/>
    <x v="28"/>
    <s v="Fortimel Anpassungen"/>
    <m/>
    <s v="Crone"/>
    <m/>
    <s v="4300058330"/>
    <s v="Taunus"/>
    <s v="Tanja Geiger"/>
    <s v="Roland Borchard"/>
    <x v="13"/>
  </r>
  <r>
    <x v="2024"/>
    <n v="8"/>
    <x v="91"/>
    <x v="52"/>
    <s v="Powercharts Anpassung SQL 2012"/>
    <m/>
    <s v="Borchard"/>
    <m/>
    <s v="zu klären"/>
    <s v="Powercharts Anpassung SQL 2012"/>
    <s v="Roland Borchard"/>
    <s v="Roland Borchard"/>
    <x v="13"/>
  </r>
  <r>
    <x v="2024"/>
    <n v="2"/>
    <x v="40"/>
    <x v="2"/>
    <s v="Prodkey Filter fertiggestellt"/>
    <m/>
    <s v="Despotovic"/>
    <m/>
    <s v="4300058328"/>
    <s v="PP2"/>
    <s v="Sandra Despotovic"/>
    <s v="Roland Borchard"/>
    <x v="13"/>
  </r>
  <r>
    <x v="2025"/>
    <n v="2"/>
    <x v="40"/>
    <x v="2"/>
    <s v="Alte Version ausblenden Feature"/>
    <m/>
    <s v="Despotovic"/>
    <m/>
    <s v="4300058328"/>
    <s v="PP2"/>
    <s v="Sandra Despotovic"/>
    <s v="Roland Borchard"/>
    <x v="13"/>
  </r>
  <r>
    <x v="2025"/>
    <n v="4"/>
    <x v="89"/>
    <x v="50"/>
    <s v="Anpassungen an Oberfläche"/>
    <s v="Oberfläche"/>
    <s v="Sdunzig"/>
    <m/>
    <s v="4300064785"/>
    <s v="Cost Calculator Regional"/>
    <s v="Norbert Sdunzig"/>
    <s v="Norbert Sdunzig"/>
    <x v="13"/>
  </r>
  <r>
    <x v="2026"/>
    <n v="5"/>
    <x v="48"/>
    <x v="10"/>
    <s v="Speichern/Laden Funktionen"/>
    <s v="Speicher/Laden"/>
    <s v="Sdunzig"/>
    <m/>
    <s v="4300064785"/>
    <s v="Cost Calculator Regional"/>
    <s v="Norbert Sdunzig"/>
    <s v="Norbert Sdunzig"/>
    <x v="13"/>
  </r>
  <r>
    <x v="2026"/>
    <n v="4"/>
    <x v="90"/>
    <x v="51"/>
    <s v="HBT Check Anpassung SQL 2012 Erstellung Setup + Bereitstellung"/>
    <m/>
    <s v="Borchard"/>
    <m/>
    <s v="4300062776"/>
    <s v="HBT Check Anpassung SQL 2012"/>
    <s v="Roland Borchard"/>
    <s v="Roland Borchard"/>
    <x v="13"/>
  </r>
  <r>
    <x v="2026"/>
    <n v="1"/>
    <x v="66"/>
    <x v="28"/>
    <s v="Fortimel Anpassungen + Auslieferung vorläufiger Stand"/>
    <m/>
    <s v="Crone"/>
    <m/>
    <s v="4300058330"/>
    <s v="Taunus"/>
    <s v="Tanja Geiger"/>
    <s v="Roland Borchard"/>
    <x v="13"/>
  </r>
  <r>
    <x v="2026"/>
    <n v="2"/>
    <x v="89"/>
    <x v="50"/>
    <s v="Speichern/Laden Funktionen"/>
    <s v="Speicher/Laden"/>
    <s v="Sdunzig"/>
    <m/>
    <s v="4300064785"/>
    <s v="Cost Calculator Regional"/>
    <s v="Norbert Sdunzig"/>
    <s v="Norbert Sdunzig"/>
    <x v="13"/>
  </r>
  <r>
    <x v="2027"/>
    <n v="2"/>
    <x v="48"/>
    <x v="10"/>
    <s v="Anpassungen Oberfläche + Excel Export"/>
    <s v="Oberfläche"/>
    <s v="Sdunzig"/>
    <m/>
    <s v="4300064785"/>
    <s v="Cost Calculator Regional"/>
    <s v="Norbert Sdunzig"/>
    <s v="Norbert Sdunzig"/>
    <x v="13"/>
  </r>
  <r>
    <x v="2027"/>
    <n v="2"/>
    <x v="89"/>
    <x v="50"/>
    <s v="Berechnungsmodell verfeinert"/>
    <s v="Berechnungsmodell"/>
    <s v="Sdunzig"/>
    <m/>
    <s v="4300064785"/>
    <s v="Cost Calculator Regional"/>
    <s v="Norbert Sdunzig"/>
    <s v="Norbert Sdunzig"/>
    <x v="13"/>
  </r>
  <r>
    <x v="2028"/>
    <n v="2"/>
    <x v="48"/>
    <x v="10"/>
    <s v="Letzte Tests und Anpassungen"/>
    <s v="Oberfläche"/>
    <s v="Sdunzig"/>
    <m/>
    <s v="4300064785"/>
    <s v="Cost Calculator Regional"/>
    <s v="Norbert Sdunzig"/>
    <s v="Norbert Sdunzig"/>
    <x v="13"/>
  </r>
  <r>
    <x v="2028"/>
    <n v="3"/>
    <x v="40"/>
    <x v="2"/>
    <s v="letzte Tests + Bereitstellung neue Version"/>
    <m/>
    <s v="Despotovic"/>
    <m/>
    <s v="4300058328"/>
    <s v="PP2"/>
    <s v="Sandra Despotovic"/>
    <s v="Roland Borchard"/>
    <x v="13"/>
  </r>
  <r>
    <x v="2028"/>
    <n v="4"/>
    <x v="89"/>
    <x v="50"/>
    <s v="Export"/>
    <s v="Export"/>
    <s v="Sdunzig"/>
    <m/>
    <s v="4300064785"/>
    <s v="Cost Calculator Regional"/>
    <s v="Norbert Sdunzig"/>
    <s v="Norbert Sdunzig"/>
    <x v="13"/>
  </r>
  <r>
    <x v="2028"/>
    <n v="3"/>
    <x v="89"/>
    <x v="50"/>
    <s v="Speichern/Laden Funktionen"/>
    <s v="Speicher/Laden"/>
    <s v="Sdunzig"/>
    <m/>
    <s v="4300064785"/>
    <s v="Cost Calculator Regional"/>
    <s v="Norbert Sdunzig"/>
    <s v="Norbert Sdunzig"/>
    <x v="13"/>
  </r>
  <r>
    <x v="2029"/>
    <n v="3"/>
    <x v="77"/>
    <x v="39"/>
    <s v="letzte Tests + Bereitstellung RVM + CM Calculator"/>
    <s v="System"/>
    <s v="Werner"/>
    <m/>
    <s v="4300064782"/>
    <s v="Cost Calculator übergreifend"/>
    <s v="Katharina Werner"/>
    <s v="Katharina Werner"/>
    <x v="13"/>
  </r>
  <r>
    <x v="2029"/>
    <n v="3"/>
    <x v="89"/>
    <x v="50"/>
    <s v="Letzte Tests + Feinarbeit"/>
    <s v="System"/>
    <s v="Sdunzig"/>
    <m/>
    <s v="4300064785"/>
    <s v="Cost Calculator Regional"/>
    <s v="Norbert Sdunzig"/>
    <s v="Norbert Sdunzig"/>
    <x v="13"/>
  </r>
  <r>
    <x v="2029"/>
    <n v="1"/>
    <x v="88"/>
    <x v="49"/>
    <s v="Druckansicht Anpassungen"/>
    <s v="Export"/>
    <s v="Sdunzig"/>
    <m/>
    <s v="4300064785"/>
    <s v="Cost Calculator Regional"/>
    <s v="Norbert Sdunzig"/>
    <s v="Norbert Sdunzig"/>
    <x v="13"/>
  </r>
  <r>
    <x v="2029"/>
    <n v="1.5"/>
    <x v="48"/>
    <x v="10"/>
    <s v="Druckansicht Anpassungen"/>
    <s v="Export"/>
    <s v="Sdunzig"/>
    <m/>
    <s v="4300064785"/>
    <s v="Cost Calculator Regional"/>
    <s v="Norbert Sdunzig"/>
    <s v="Norbert Sdunzig"/>
    <x v="13"/>
  </r>
  <r>
    <x v="2029"/>
    <n v="2"/>
    <x v="67"/>
    <x v="29"/>
    <s v="Erstellung April Cube"/>
    <m/>
    <s v="Buteweg"/>
    <m/>
    <s v="4300058330"/>
    <s v="Taunus"/>
    <s v="Tanja Geiger"/>
    <s v="Roland Borchard"/>
    <x v="13"/>
  </r>
  <r>
    <x v="2030"/>
    <n v="1"/>
    <x v="77"/>
    <x v="39"/>
    <s v="Optimierung Kommentarfeld  in allen Kalkulatoren"/>
    <m/>
    <s v="Werner"/>
    <m/>
    <s v="4300064782"/>
    <s v="Cost Calculator übergreifend"/>
    <s v="Katharina Werner"/>
    <s v="Katharina Werner"/>
    <x v="13"/>
  </r>
  <r>
    <x v="2031"/>
    <n v="1"/>
    <x v="88"/>
    <x v="49"/>
    <s v="Druckeinstellungen Excel Export justiert"/>
    <s v="Export"/>
    <s v="Sdunzig"/>
    <m/>
    <s v="4300064785"/>
    <s v="Cost Calculator Regional"/>
    <s v="Norbert Sdunzig"/>
    <s v="Norbert Sdunzig"/>
    <x v="13"/>
  </r>
  <r>
    <x v="2031"/>
    <n v="1.5"/>
    <x v="67"/>
    <x v="29"/>
    <s v="Automatisierung manueller Schritte und Codeoptimierung"/>
    <m/>
    <s v="Crone"/>
    <m/>
    <s v="4300058330"/>
    <s v="Taunus"/>
    <s v="Tanja Geiger"/>
    <s v="Roland Borchard"/>
    <x v="13"/>
  </r>
  <r>
    <x v="2031"/>
    <n v="3"/>
    <x v="66"/>
    <x v="28"/>
    <s v="letzte Anpassungen MDX Produktion und Auslieferung"/>
    <m/>
    <s v="Crone"/>
    <m/>
    <s v="4300058330"/>
    <s v="Taunus"/>
    <s v="Tanja Geiger"/>
    <s v="Roland Borchard"/>
    <x v="13"/>
  </r>
  <r>
    <x v="2031"/>
    <n v="1"/>
    <x v="77"/>
    <x v="39"/>
    <s v="Übernahme Kommentar in allen Kalkulatoren"/>
    <s v="Oberfläche"/>
    <s v="Werner"/>
    <m/>
    <s v="4300064782"/>
    <s v="Cost Calculator übergreifend"/>
    <s v="Katharina Werner"/>
    <s v="Katharina Werner"/>
    <x v="13"/>
  </r>
  <r>
    <x v="2031"/>
    <n v="8"/>
    <x v="91"/>
    <x v="52"/>
    <s v="Datenbankschnittstelle"/>
    <m/>
    <s v="Borchard"/>
    <m/>
    <s v="zu klären"/>
    <s v="Powercharts Anpassung SQL 2012"/>
    <s v="Roland Borchard"/>
    <s v="Roland Borchard"/>
    <x v="13"/>
  </r>
  <r>
    <x v="2032"/>
    <n v="1"/>
    <x v="92"/>
    <x v="53"/>
    <s v="Projektplanung und Analyse"/>
    <s v="Anforderungsanalyse"/>
    <s v="Madelung/Cikes"/>
    <m/>
    <s v="4300064786"/>
    <s v="Cost Calcualtor Disease Analyzer"/>
    <s v="Madelung/Cikes"/>
    <s v="Kerstin Bode-Greuel"/>
    <x v="13"/>
  </r>
  <r>
    <x v="2032"/>
    <n v="1"/>
    <x v="55"/>
    <x v="17"/>
    <s v="Automatisierung Ranking"/>
    <m/>
    <s v="Salwa-Emmel"/>
    <m/>
    <s v="4300058330"/>
    <s v="Taunus"/>
    <s v="Tanja Geiger"/>
    <s v="Roland Borchard"/>
    <x v="13"/>
  </r>
  <r>
    <x v="2032"/>
    <n v="8"/>
    <x v="91"/>
    <x v="52"/>
    <s v="Datenbankschnittstelle"/>
    <m/>
    <s v="Borchard"/>
    <m/>
    <s v="zu klären"/>
    <s v="Powercharts Anpassung SQL 2012"/>
    <s v="Roland Borchard"/>
    <s v="Roland Borchard"/>
    <x v="13"/>
  </r>
  <r>
    <x v="2033"/>
    <n v="2"/>
    <x v="92"/>
    <x v="53"/>
    <s v="Analyse bestehender Excel Kalkulator + Erstellung Mockup"/>
    <s v="Anforderungsanalyse"/>
    <s v="Madelung/Cikes"/>
    <m/>
    <s v="4300064786"/>
    <s v="Cost Calcualtor Disease Analyzer"/>
    <s v="Madelung/Cikes"/>
    <s v="Kerstin Bode-Greuel"/>
    <x v="13"/>
  </r>
  <r>
    <x v="2033"/>
    <n v="2.5"/>
    <x v="67"/>
    <x v="29"/>
    <s v="Codeoptimierung + Erstellung 05/15 Report und Auslieferung"/>
    <m/>
    <s v="Crone"/>
    <m/>
    <s v="4300058330"/>
    <s v="Taunus"/>
    <s v="Tanja Geiger"/>
    <s v="Roland Borchard"/>
    <x v="13"/>
  </r>
  <r>
    <x v="2033"/>
    <n v="5"/>
    <x v="91"/>
    <x v="52"/>
    <s v="Datenbankschnittstelle"/>
    <m/>
    <s v="Borchard"/>
    <m/>
    <s v="zu klären"/>
    <s v="Powercharts Anpassung SQL 2012"/>
    <s v="Roland Borchard"/>
    <s v="Roland Borchard"/>
    <x v="13"/>
  </r>
  <r>
    <x v="2033"/>
    <n v="3"/>
    <x v="89"/>
    <x v="50"/>
    <s v="Test + Bereitstellung neue Version"/>
    <s v="System"/>
    <s v="Sdunzig "/>
    <m/>
    <s v="4300064785"/>
    <s v="Cost Calculator Regional"/>
    <s v="Norbert Sdunzig"/>
    <s v="Norbert Sdunzig"/>
    <x v="13"/>
  </r>
  <r>
    <x v="2034"/>
    <n v="3"/>
    <x v="92"/>
    <x v="53"/>
    <s v="Erstellung Mockup + MPT File"/>
    <s v="System"/>
    <s v="Madelung/Cikes"/>
    <m/>
    <s v="4300064786"/>
    <s v="Cost Calcualtor Disease Analyzer"/>
    <s v="Madelung/Cikes"/>
    <s v="Kerstin Bode-Greuel"/>
    <x v="13"/>
  </r>
  <r>
    <x v="2034"/>
    <n v="2"/>
    <x v="40"/>
    <x v="2"/>
    <s v="Support Produktion IXHF"/>
    <m/>
    <s v="Despotovic"/>
    <s v="Eregebnis: Netzwerkprobleme des Servers"/>
    <s v="4300058328"/>
    <s v="PP2"/>
    <s v="Sandra Despotovic"/>
    <s v="Roland Borchard"/>
    <x v="13"/>
  </r>
  <r>
    <x v="2035"/>
    <n v="2"/>
    <x v="40"/>
    <x v="2"/>
    <s v="Analyse &quot;hängt&quot; beim Löschen"/>
    <m/>
    <s v="Despotovic"/>
    <s v="ein mögliches Issue wurde gefunden, weitere Beobachtung notwendig"/>
    <s v="4300058328"/>
    <s v="PP2"/>
    <s v="Sandra Despotovic"/>
    <s v="Roland Borchard"/>
    <x v="13"/>
  </r>
  <r>
    <x v="2035"/>
    <n v="3"/>
    <x v="40"/>
    <x v="2"/>
    <s v="Zukünftige Produktionen ignorieren Feature erstellt"/>
    <m/>
    <s v="Despotovic"/>
    <s v="ein mögliches Issue wurde gefunden, weitere Beobachtung notwendig"/>
    <s v="4300058328"/>
    <s v="PP2"/>
    <s v="Sandra Despotovic"/>
    <s v="Roland Borchard"/>
    <x v="13"/>
  </r>
  <r>
    <x v="2035"/>
    <n v="8"/>
    <x v="91"/>
    <x v="52"/>
    <s v="Umstellung auf SSAS 2012"/>
    <m/>
    <s v="Borchard"/>
    <m/>
    <s v="zu klären"/>
    <s v="Powercharts Anpassung SQL 2012"/>
    <s v="Roland Borchard"/>
    <s v="Roland Borchard"/>
    <x v="13"/>
  </r>
  <r>
    <x v="2036"/>
    <n v="5"/>
    <x v="79"/>
    <x v="41"/>
    <s v="Umstrukturierung Projektarchitektur"/>
    <s v="System"/>
    <s v="Werner"/>
    <m/>
    <s v="4300064782"/>
    <s v="Cost Calculator übergreifend"/>
    <s v="Katharina Werner"/>
    <s v="Katharina Werner"/>
    <x v="13"/>
  </r>
  <r>
    <x v="2037"/>
    <n v="6"/>
    <x v="91"/>
    <x v="52"/>
    <s v="Umstellung auf SSAS 2012"/>
    <m/>
    <s v="Borchard"/>
    <m/>
    <s v="zu klären"/>
    <s v="Powercharts Anpassung SQL 2012"/>
    <s v="Roland Borchard"/>
    <s v="Roland Borchard"/>
    <x v="13"/>
  </r>
  <r>
    <x v="2038"/>
    <n v="5"/>
    <x v="91"/>
    <x v="52"/>
    <s v="Umstellung auf SSAS 2012"/>
    <m/>
    <s v="Borchard"/>
    <m/>
    <s v="zu klären"/>
    <s v="Powercharts Anpassung SQL 2012"/>
    <s v="Roland Borchard"/>
    <s v="Roland Borchard"/>
    <x v="13"/>
  </r>
  <r>
    <x v="2038"/>
    <n v="4"/>
    <x v="70"/>
    <x v="32"/>
    <s v="vollständige Automatisierung und Codeoptimierung"/>
    <m/>
    <s v="Crone"/>
    <m/>
    <s v="4300058330"/>
    <s v="Taunus"/>
    <s v="Birgit Schilly"/>
    <s v="Roland Borchard"/>
    <x v="13"/>
  </r>
  <r>
    <x v="2038"/>
    <n v="1"/>
    <x v="92"/>
    <x v="53"/>
    <s v="Erstellung Projektstruktur und Rohling"/>
    <s v="System"/>
    <s v="Madelung/Cikes"/>
    <m/>
    <s v="4300064786"/>
    <s v="Cost Calcualtor Disease Analyzer"/>
    <s v="Madelung/Cikes"/>
    <s v="Kerstin Bode-Greuel"/>
    <x v="13"/>
  </r>
  <r>
    <x v="2039"/>
    <n v="3"/>
    <x v="41"/>
    <x v="3"/>
    <s v="Online Meeting Weiterentwicklung"/>
    <m/>
    <s v="Spiegel"/>
    <m/>
    <s v="zu klären"/>
    <s v="CHA Calculator"/>
    <s v="Marlies Spiegel "/>
    <s v="Marlies Spiegel"/>
    <x v="13"/>
  </r>
  <r>
    <x v="2039"/>
    <n v="5"/>
    <x v="79"/>
    <x v="41"/>
    <s v="Umstrukturierung Projektarchitektur"/>
    <s v="System"/>
    <s v="Werner"/>
    <m/>
    <s v="4300064782"/>
    <s v="Cost Calculator übergreifend"/>
    <s v="Katharina Werner"/>
    <s v="Katharina Werner"/>
    <x v="13"/>
  </r>
  <r>
    <x v="2039"/>
    <n v="3"/>
    <x v="40"/>
    <x v="2"/>
    <s v="Codeoptimierung Import Directories"/>
    <m/>
    <s v="Despotovic"/>
    <s v="Durch den Einbau von Ignorieren Feature wurde der Import unübersichtlich und musste umgestellt werden"/>
    <s v="4300058328"/>
    <s v="PP2"/>
    <s v="Sandra Despotovic"/>
    <s v="Roland Borchard"/>
    <x v="13"/>
  </r>
  <r>
    <x v="2040"/>
    <n v="2"/>
    <x v="92"/>
    <x v="53"/>
    <s v="Erstellung Projektstruktur und Rohling"/>
    <s v="System"/>
    <s v="Madelung/Cikes"/>
    <m/>
    <s v="4300064786"/>
    <s v="Cost Calcualtor Disease Analyzer"/>
    <s v="Madelung/Cikes"/>
    <s v="Kerstin Bode-Greuel"/>
    <x v="13"/>
  </r>
  <r>
    <x v="2040"/>
    <n v="2"/>
    <x v="67"/>
    <x v="29"/>
    <s v="Telefonmeeting, garantierte Auslieferung zu Termin, machbar ?"/>
    <m/>
    <s v="Crone"/>
    <m/>
    <s v="4300058330"/>
    <s v="Taunus"/>
    <s v="Tanja Geiger"/>
    <s v="Roland Borchard"/>
    <x v="13"/>
  </r>
  <r>
    <x v="2040"/>
    <n v="3"/>
    <x v="41"/>
    <x v="3"/>
    <s v="Planung und Vorbereitung neue Issues 1-7 laut Anforderungliste zwecks Aufwandsschätzung"/>
    <m/>
    <s v="Spiegel"/>
    <m/>
    <s v="zu klären"/>
    <s v="CHA Calculator"/>
    <s v="Marlies Spiegel "/>
    <s v="Marlies Spiegel"/>
    <x v="13"/>
  </r>
  <r>
    <x v="2041"/>
    <n v="2"/>
    <x v="92"/>
    <x v="53"/>
    <s v="Erstellung Projektstruktur und Rohling"/>
    <s v="System"/>
    <s v="Madelung/Cikes"/>
    <m/>
    <s v="4300064786"/>
    <s v="Cost Calcualtor Disease Analyzer"/>
    <s v="Madelung/Cikes"/>
    <s v="Kerstin Bode-Greuel"/>
    <x v="13"/>
  </r>
  <r>
    <x v="2042"/>
    <n v="5"/>
    <x v="79"/>
    <x v="41"/>
    <s v="Umstrukturierung Projektarchitektur"/>
    <s v="System"/>
    <s v="Werner"/>
    <m/>
    <s v="4300064782"/>
    <s v="Cost Calculator übergreifend"/>
    <s v="Katharina Werner"/>
    <s v="Katharina Werner"/>
    <x v="13"/>
  </r>
  <r>
    <x v="2043"/>
    <n v="1"/>
    <x v="92"/>
    <x v="53"/>
    <s v="Erstellung Datenbanktabellen"/>
    <s v="System"/>
    <s v="Madelung/Cikes"/>
    <m/>
    <s v="4300064786"/>
    <s v="Cost Calcualtor Disease Analyzer"/>
    <s v="Madelung/Cikes"/>
    <s v="Kerstin Bode-Greuel"/>
    <x v="13"/>
  </r>
  <r>
    <x v="2043"/>
    <n v="2"/>
    <x v="68"/>
    <x v="30"/>
    <s v="Support Dashboard Integration"/>
    <m/>
    <s v="Propp"/>
    <m/>
    <s v="4300058330"/>
    <s v="Taunus"/>
    <s v="Tanja Geiger"/>
    <s v="Roland Borchard"/>
    <x v="13"/>
  </r>
  <r>
    <x v="2043"/>
    <n v="2"/>
    <x v="79"/>
    <x v="41"/>
    <s v="Umstrukturierung Projektarchitektur"/>
    <s v="System"/>
    <s v="Werner"/>
    <m/>
    <s v="4300064782"/>
    <s v="Cost Calculator übergreifend"/>
    <s v="Katharina Werner"/>
    <s v="Katharina Werner"/>
    <x v="13"/>
  </r>
  <r>
    <x v="2044"/>
    <n v="4"/>
    <x v="91"/>
    <x v="52"/>
    <s v="Umstellung auf SSAS 2012"/>
    <m/>
    <s v="Borchard"/>
    <m/>
    <s v="zu klären"/>
    <s v="Powercharts Anpassung SQL 2012"/>
    <s v="Roland Borchard"/>
    <s v="Roland Borchard"/>
    <x v="13"/>
  </r>
  <r>
    <x v="2045"/>
    <n v="1"/>
    <x v="39"/>
    <x v="1"/>
    <s v="Produktion"/>
    <m/>
    <s v="Crone"/>
    <m/>
    <s v="4300058330"/>
    <s v="Taunus"/>
    <s v="Birgit Schilly"/>
    <s v="Roland Borchard"/>
    <x v="13"/>
  </r>
  <r>
    <x v="2045"/>
    <n v="3"/>
    <x v="93"/>
    <x v="54"/>
    <s v="Online Meeting Weiterentwicklung"/>
    <s v="Besprechung"/>
    <s v="Cikes/Madelung"/>
    <m/>
    <s v="4300065760"/>
    <s v="Cost Calcualtor Disease Analyzer"/>
    <s v="Madelung/Cikes"/>
    <s v="Kerstin Bode-Greuel"/>
    <x v="13"/>
  </r>
  <r>
    <x v="2045"/>
    <n v="2"/>
    <x v="65"/>
    <x v="27"/>
    <s v="Anpassung Sonnenmärkte"/>
    <m/>
    <s v="Propp"/>
    <m/>
    <s v="4300058330"/>
    <s v="Taunus"/>
    <s v="Julia Propp"/>
    <s v="Roland Borchard"/>
    <x v="13"/>
  </r>
  <r>
    <x v="2045"/>
    <n v="2"/>
    <x v="40"/>
    <x v="2"/>
    <s v="Codeoptimierung Import Directories"/>
    <m/>
    <s v="Despotovic"/>
    <s v="Durch den Einbau von Ignorieren Feature wurde der Import unübersichtlich und musste umgestellt werden"/>
    <s v="4300058328"/>
    <s v="PP2"/>
    <s v="Sandra Despotovic"/>
    <s v="Roland Borchard"/>
    <x v="13"/>
  </r>
  <r>
    <x v="2045"/>
    <n v="1"/>
    <x v="93"/>
    <x v="54"/>
    <s v="Vorbereitung + Nachbereitung neuer Input"/>
    <s v="Besprechung"/>
    <s v="Cikes/Madelung"/>
    <s v="ein neuer Excel Kalkulator wurde übergeben, Stand 2013, damit sind alte Anforderungen hinfällig"/>
    <s v="4300065760"/>
    <s v="Cost Calcualtor Disease Analyzer"/>
    <s v="Madelung/Cikes"/>
    <s v="Kerstin Bode-Greuel"/>
    <x v="13"/>
  </r>
  <r>
    <x v="2046"/>
    <n v="1"/>
    <x v="70"/>
    <x v="32"/>
    <s v="Produktion und Auslieferung 05/15"/>
    <m/>
    <s v="Crone"/>
    <m/>
    <s v="4300058330"/>
    <s v="Taunus"/>
    <s v="Birgit Schilly"/>
    <s v="Roland Borchard"/>
    <x v="13"/>
  </r>
  <r>
    <x v="2046"/>
    <n v="1"/>
    <x v="39"/>
    <x v="1"/>
    <s v="Produktion und Auslieferung 05/15"/>
    <m/>
    <s v="Crone"/>
    <m/>
    <s v="4300058330"/>
    <s v="Taunus"/>
    <s v="Birgit Schilly"/>
    <s v="Roland Borchard"/>
    <x v="13"/>
  </r>
  <r>
    <x v="2046"/>
    <n v="0.5"/>
    <x v="66"/>
    <x v="28"/>
    <s v="Produktion und Auslieferung 05/15"/>
    <m/>
    <s v="Crone"/>
    <m/>
    <s v="4300058330"/>
    <s v="Taunus"/>
    <s v="Tanja Geiger"/>
    <s v="Roland Borchard"/>
    <x v="13"/>
  </r>
  <r>
    <x v="2046"/>
    <n v="2.5"/>
    <x v="63"/>
    <x v="25"/>
    <s v="Erweiterung OTC36, Produktion und Auslieferung"/>
    <m/>
    <s v="Müller"/>
    <m/>
    <s v="4300058330"/>
    <s v="Taunus"/>
    <s v="Tanja Geiger"/>
    <s v="Roland Borchard"/>
    <x v="13"/>
  </r>
  <r>
    <x v="2046"/>
    <n v="1"/>
    <x v="41"/>
    <x v="3"/>
    <s v="Anforderungsanalyse + Klärung letzter Unklarheiten"/>
    <m/>
    <s v="Spiegel"/>
    <s v="Rückfragen zu neuen Anforderungen"/>
    <s v="zu klären"/>
    <s v="CHA Calculator"/>
    <s v="Marlies Spiegel "/>
    <s v="Marlies Spiegel"/>
    <x v="13"/>
  </r>
  <r>
    <x v="2047"/>
    <n v="2.5"/>
    <x v="41"/>
    <x v="3"/>
    <s v="Erstellung MPT File"/>
    <m/>
    <s v="Spiegel"/>
    <m/>
    <s v="zu klären"/>
    <s v="CHA Calculator"/>
    <s v="Marlies Spiegel "/>
    <s v="Marlies Spiegel"/>
    <x v="13"/>
  </r>
  <r>
    <x v="2048"/>
    <n v="5"/>
    <x v="93"/>
    <x v="54"/>
    <s v="Erstellung neues Mockup + MPT"/>
    <m/>
    <s v="Cikes/Madelung"/>
    <s v="basierend auf neu erhaltenen Anforderungen"/>
    <s v="4300065760"/>
    <s v="Cost Calcualtor Disease Analyzer"/>
    <s v="Madelung/Cikes"/>
    <s v="Kerstin Bode-Greuel"/>
    <x v="13"/>
  </r>
  <r>
    <x v="2049"/>
    <n v="3"/>
    <x v="66"/>
    <x v="28"/>
    <s v="Anpassung MDX zur Performance Optimierung"/>
    <m/>
    <s v="Crone"/>
    <s v="durch Datenbankumstellungen nötig"/>
    <s v="4300058330"/>
    <s v="Taunus"/>
    <s v="Tanja Geiger"/>
    <s v="Roland Borchard"/>
    <x v="13"/>
  </r>
  <r>
    <x v="2049"/>
    <n v="3"/>
    <x v="79"/>
    <x v="41"/>
    <s v="Umstrukturierung Projektarchitektur"/>
    <s v="System"/>
    <s v="Cikes/Madelung"/>
    <m/>
    <s v="4300064782"/>
    <s v="Cost Calculator übergreifend"/>
    <s v="Katharina Werner"/>
    <s v="Katharina Werner"/>
    <x v="13"/>
  </r>
  <r>
    <x v="2049"/>
    <n v="4"/>
    <x v="65"/>
    <x v="27"/>
    <s v="Performance Optimierung"/>
    <m/>
    <s v="Propp"/>
    <s v="Laufzeit hat sich in neuer Datenbank verändert, aufwendige Umstrukturierung von MDX nötig"/>
    <s v="4300058330"/>
    <s v="Taunus"/>
    <s v="Julia Propp"/>
    <s v="Roland Borchard"/>
    <x v="13"/>
  </r>
  <r>
    <x v="2049"/>
    <n v="2"/>
    <x v="93"/>
    <x v="54"/>
    <s v="MPT File"/>
    <s v="Oberfläche"/>
    <s v="Cikes/Madelung"/>
    <m/>
    <s v="4300065760"/>
    <s v="Cost Calcualtor Disease Analyzer"/>
    <s v="Madelung/Cikes"/>
    <s v="Kerstin Bode-Greuel"/>
    <x v="13"/>
  </r>
  <r>
    <x v="2049"/>
    <n v="4"/>
    <x v="93"/>
    <x v="54"/>
    <s v="Mockup Oberfläche Verfeinerung"/>
    <s v="Oberfläche"/>
    <s v="Cikes/Madelung"/>
    <m/>
    <s v="4300065760"/>
    <s v="Cost Calcualtor Disease Analyzer"/>
    <s v="Madelung/Cikes"/>
    <s v="Kerstin Bode-Greuel"/>
    <x v="13"/>
  </r>
  <r>
    <x v="2049"/>
    <n v="1"/>
    <x v="76"/>
    <x v="38"/>
    <s v="neue Importschnittstelle für Jahre statt Szenarien"/>
    <s v="AdminFunktion"/>
    <s v="Werner"/>
    <s v="Statt Szenarien werden zukünftig beliebig viele Jahre zu laden sein"/>
    <s v="4300064782"/>
    <s v="Cost Calculator übergreifend"/>
    <s v="Katharina Werner"/>
    <s v="Katharina Werner"/>
    <x v="13"/>
  </r>
  <r>
    <x v="2050"/>
    <n v="4"/>
    <x v="65"/>
    <x v="27"/>
    <s v="Performance Optimierung"/>
    <m/>
    <s v="Propp"/>
    <s v="Laufzeit hat sich in neuer Datenbank verändert, aufwendige Umstrukturierung von MDX nötig"/>
    <s v="4300058330"/>
    <s v="Taunus"/>
    <s v="Julia Propp"/>
    <s v="Roland Borchard"/>
    <x v="13"/>
  </r>
  <r>
    <x v="2051"/>
    <n v="4"/>
    <x v="46"/>
    <x v="8"/>
    <s v="Anpassung Input Excel File"/>
    <m/>
    <s v="Borchard S."/>
    <s v="war nötig wegen neuem Datenbanktreiber"/>
    <s v="4300042018"/>
    <s v="Berichtsbesonderheiten"/>
    <s v="Sabine Borchard"/>
    <s v="Sabine Borchard"/>
    <x v="13"/>
  </r>
  <r>
    <x v="2051"/>
    <n v="4"/>
    <x v="91"/>
    <x v="52"/>
    <s v="Umstellung auf SSAS 2012"/>
    <m/>
    <s v="Borchard"/>
    <m/>
    <s v="zu klären"/>
    <s v="Powercharts Anpassung SQL 2012"/>
    <s v="Roland Borchard"/>
    <s v="Roland Borchard"/>
    <x v="13"/>
  </r>
  <r>
    <x v="2051"/>
    <n v="2"/>
    <x v="41"/>
    <x v="3"/>
    <s v="Auslagerung hart kodierte Preise und Faktoren auf MPT"/>
    <m/>
    <s v="Spiegel"/>
    <m/>
    <s v="zu klären"/>
    <s v="CHA Calculator"/>
    <s v="Marlies Spiegel "/>
    <s v="Marlies Spiegel"/>
    <x v="13"/>
  </r>
  <r>
    <x v="2052"/>
    <n v="8"/>
    <x v="91"/>
    <x v="52"/>
    <s v="Umstellung auf SSAS 2012"/>
    <m/>
    <s v="Borchard"/>
    <m/>
    <s v="zu klären"/>
    <s v="Powercharts Anpassung SQL 2012"/>
    <s v="Roland Borchard"/>
    <s v="Roland Borchard"/>
    <x v="13"/>
  </r>
  <r>
    <x v="2052"/>
    <n v="2"/>
    <x v="41"/>
    <x v="3"/>
    <s v="Bepreisung Aktualisierungfrequenz"/>
    <m/>
    <s v="Spiegel"/>
    <m/>
    <s v="zu klären"/>
    <s v="CHA Calculator"/>
    <s v="Marlies Spiegel "/>
    <s v="Marlies Spiegel"/>
    <x v="13"/>
  </r>
  <r>
    <x v="2052"/>
    <n v="2"/>
    <x v="41"/>
    <x v="3"/>
    <s v="Entfernung KAM, Mindespreis bei monatlichem Bezug"/>
    <m/>
    <s v="Spiegel"/>
    <m/>
    <s v="zu klären"/>
    <s v="CHA Calculator"/>
    <s v="Marlies Spiegel "/>
    <s v="Marlies Spiegel"/>
    <x v="13"/>
  </r>
  <r>
    <x v="2052"/>
    <n v="2"/>
    <x v="41"/>
    <x v="3"/>
    <s v="Umstrukturierung fest kodierter Preise und Faktoren für MPT"/>
    <m/>
    <s v="Spiegel"/>
    <m/>
    <s v="zu klären"/>
    <s v="CHA Calculator"/>
    <s v="Marlies Spiegel "/>
    <s v="Marlies Spiegel"/>
    <x v="13"/>
  </r>
  <r>
    <x v="2053"/>
    <n v="3"/>
    <x v="41"/>
    <x v="3"/>
    <s v="Anpassung der Anwendung an Auslagerung hart kodierter Faktoren und Preise"/>
    <m/>
    <s v="Spiegel"/>
    <m/>
    <s v="zu klären"/>
    <s v="CHA Calculator"/>
    <s v="Marlies Spiegel "/>
    <s v="Marlies Spiegel"/>
    <x v="13"/>
  </r>
  <r>
    <x v="2053"/>
    <n v="2"/>
    <x v="93"/>
    <x v="54"/>
    <s v="Besprechung zweiter Mockup"/>
    <s v="Besprechung"/>
    <s v="Cikes/Madelung"/>
    <s v="ersterer wurde verworfen, wegen falscher Vorlage"/>
    <s v="4300065760"/>
    <s v="Cost Calcualtor Disease Analyzer"/>
    <s v="Madelung/Cikes"/>
    <s v="Kerstin Bode-Greuel"/>
    <x v="13"/>
  </r>
  <r>
    <x v="2053"/>
    <n v="1.5"/>
    <x v="67"/>
    <x v="29"/>
    <s v="Online Meeting Produktion auf Termin ?"/>
    <m/>
    <s v="Crone"/>
    <m/>
    <s v="4300058330"/>
    <s v="Taunus"/>
    <s v="Tanja Geiger"/>
    <s v="Roland Borchard"/>
    <x v="13"/>
  </r>
  <r>
    <x v="2053"/>
    <n v="2"/>
    <x v="67"/>
    <x v="29"/>
    <s v="Erstellung Cube + BrandMatching 05/15"/>
    <m/>
    <s v="Crone"/>
    <m/>
    <s v="4300058330"/>
    <s v="Taunus"/>
    <s v="Tanja Geiger"/>
    <s v="Roland Borchard"/>
    <x v="13"/>
  </r>
  <r>
    <x v="2053"/>
    <n v="2"/>
    <x v="52"/>
    <x v="14"/>
    <s v="Anpassungen, neue Produktlinien, vorbereitende Optimierung des Codes"/>
    <m/>
    <s v="Geiger"/>
    <m/>
    <s v="4300058330"/>
    <s v="Taunus"/>
    <s v="Tanja Geiger"/>
    <s v="Roland Borchard"/>
    <x v="13"/>
  </r>
  <r>
    <x v="2053"/>
    <n v="2"/>
    <x v="77"/>
    <x v="39"/>
    <s v="neue Preisversionierung"/>
    <s v="System"/>
    <s v="Werner"/>
    <m/>
    <s v="4300064782"/>
    <s v="Cost Calculator übergreifend"/>
    <s v="Katharina Werner"/>
    <s v="Katharina Werner"/>
    <x v="13"/>
  </r>
  <r>
    <x v="2053"/>
    <n v="1"/>
    <x v="77"/>
    <x v="39"/>
    <s v="neues Preisjahresmodell"/>
    <s v="System"/>
    <s v="Werner"/>
    <m/>
    <s v="4300064782"/>
    <s v="Cost Calculator übergreifend"/>
    <s v="Katharina Werner"/>
    <s v="Katharina Werner"/>
    <x v="13"/>
  </r>
  <r>
    <x v="2053"/>
    <n v="1"/>
    <x v="76"/>
    <x v="38"/>
    <s v="neue Admin Schnittstelle"/>
    <s v="System"/>
    <s v="Werner"/>
    <m/>
    <s v="4300064782"/>
    <s v="Cost Calculator übergreifend"/>
    <s v="Katharina Werner"/>
    <s v="Katharina Werner"/>
    <x v="13"/>
  </r>
  <r>
    <x v="2053"/>
    <n v="0.5"/>
    <x v="77"/>
    <x v="39"/>
    <s v="Freigabe RVM und XMM Calculator"/>
    <s v="System"/>
    <s v="Sdunzig"/>
    <m/>
    <s v="4300064782"/>
    <s v="Cost Calculator übergreifend"/>
    <s v="Katharina Werner"/>
    <s v="Katharina Werner"/>
    <x v="13"/>
  </r>
  <r>
    <x v="2054"/>
    <n v="4"/>
    <x v="91"/>
    <x v="52"/>
    <s v="Umstellung auf SSAS 2012"/>
    <m/>
    <s v="Borchard"/>
    <m/>
    <s v="zu klären"/>
    <s v="Powercharts Anpassung SQL 2012"/>
    <s v="Roland Borchard"/>
    <s v="Roland Borchard"/>
    <x v="13"/>
  </r>
  <r>
    <x v="2055"/>
    <n v="4"/>
    <x v="91"/>
    <x v="52"/>
    <s v="Umstellung auf SSAS 2012"/>
    <m/>
    <s v="Borchard"/>
    <m/>
    <s v="zu klären"/>
    <s v="Powercharts Anpassung SQL 2012"/>
    <s v="Roland Borchard"/>
    <s v="Roland Borchard"/>
    <x v="13"/>
  </r>
  <r>
    <x v="2056"/>
    <n v="8"/>
    <x v="91"/>
    <x v="52"/>
    <s v="Umstellung auf SSAS 2012"/>
    <m/>
    <s v="Borchard"/>
    <m/>
    <s v="zu klären"/>
    <s v="Powercharts Anpassung SQL 2012"/>
    <s v="Roland Borchard"/>
    <s v="Roland Borchard"/>
    <x v="13"/>
  </r>
  <r>
    <x v="2053"/>
    <n v="1.5"/>
    <x v="67"/>
    <x v="29"/>
    <s v="Produktion und Auslieferung 05/15"/>
    <m/>
    <s v="Crone"/>
    <m/>
    <s v="4300058330"/>
    <s v="Taunus"/>
    <s v="Tanja Geiger"/>
    <s v="Roland Borchard"/>
    <x v="13"/>
  </r>
  <r>
    <x v="2057"/>
    <n v="8"/>
    <x v="91"/>
    <x v="52"/>
    <s v="Umstellung auf SSAS 2012"/>
    <m/>
    <s v="Borchard"/>
    <m/>
    <s v="zu klären"/>
    <s v="Powercharts Anpassung SQL 2012"/>
    <s v="Roland Borchard"/>
    <s v="Roland Borchard"/>
    <x v="13"/>
  </r>
  <r>
    <x v="2057"/>
    <n v="8"/>
    <x v="91"/>
    <x v="52"/>
    <s v="Umstellung auf SSAS 2012"/>
    <m/>
    <s v="Borchard"/>
    <m/>
    <s v="zu klären"/>
    <s v="Powercharts Anpassung SQL 2012"/>
    <s v="Roland Borchard"/>
    <s v="Roland Borchard"/>
    <x v="13"/>
  </r>
  <r>
    <x v="2058"/>
    <n v="8"/>
    <x v="91"/>
    <x v="52"/>
    <s v="Umstellung auf SSAS 2012"/>
    <m/>
    <s v="Borchard"/>
    <m/>
    <s v="zu klären"/>
    <s v="Powercharts Anpassung SQL 2012"/>
    <s v="Roland Borchard"/>
    <s v="Roland Borchard"/>
    <x v="13"/>
  </r>
  <r>
    <x v="2058"/>
    <n v="2.5"/>
    <x v="41"/>
    <x v="3"/>
    <s v="Umstellung hart kodierter Faktoren und Preise auf MPT basiert"/>
    <m/>
    <s v="Spiegel"/>
    <s v="als Vorbereitung zur Jahresversionierung"/>
    <s v="zu klären"/>
    <s v="CHA Calculator"/>
    <s v="Marlies Spiegel "/>
    <s v="Marlies Spiegel"/>
    <x v="13"/>
  </r>
  <r>
    <x v="2058"/>
    <n v="1.5"/>
    <x v="41"/>
    <x v="3"/>
    <s v="Umstellung Datenbank für Jahresversionierung"/>
    <m/>
    <s v="Spiegel"/>
    <s v="als Vorbereitung zur Jahresversionierung"/>
    <s v="zu klären"/>
    <s v="CHA Calculator"/>
    <s v="Marlies Spiegel "/>
    <s v="Marlies Spiegel"/>
    <x v="13"/>
  </r>
  <r>
    <x v="2059"/>
    <n v="7"/>
    <x v="91"/>
    <x v="52"/>
    <s v="Umstellung auf SSAS 2012"/>
    <m/>
    <s v="Borchard"/>
    <m/>
    <s v="zu klären"/>
    <s v="Powercharts Anpassung SQL 2012"/>
    <s v="Roland Borchard"/>
    <s v="Roland Borchard"/>
    <x v="13"/>
  </r>
  <r>
    <x v="2060"/>
    <n v="8"/>
    <x v="91"/>
    <x v="52"/>
    <s v="Umstellung auf SSAS 2012"/>
    <m/>
    <s v="Borchard"/>
    <m/>
    <s v="zu klären"/>
    <s v="Powercharts Anpassung SQL 2012"/>
    <s v="Roland Borchard"/>
    <s v="Roland Borchard"/>
    <x v="13"/>
  </r>
  <r>
    <x v="2061"/>
    <n v="1.5"/>
    <x v="41"/>
    <x v="3"/>
    <s v="Umstellung Datenbank für Jahresversionierung"/>
    <m/>
    <s v="Spiegel"/>
    <s v="als Vorbereitung zur Jahresversionierung"/>
    <s v="zu klären"/>
    <s v="CHA Calculator"/>
    <s v="Marlies Spiegel "/>
    <s v="Marlies Spiegel"/>
    <x v="13"/>
  </r>
  <r>
    <x v="2062"/>
    <n v="0.5"/>
    <x v="76"/>
    <x v="38"/>
    <s v="Bereitstellung aller MPTs an Frau Pechstein"/>
    <m/>
    <s v="Pechstein"/>
    <m/>
    <s v="4300064782"/>
    <s v="Cost Calculator übergreifend"/>
    <s v="Katharina Werner"/>
    <s v="Katharina Werner"/>
    <x v="13"/>
  </r>
  <r>
    <x v="2062"/>
    <n v="2"/>
    <x v="91"/>
    <x v="52"/>
    <s v="Umstellung auf SSAS 2012"/>
    <m/>
    <s v="Borchard"/>
    <m/>
    <s v="zu klären"/>
    <s v="Powercharts Anpassung SQL 2012"/>
    <s v="Roland Borchard"/>
    <s v="Roland Borchard"/>
    <x v="13"/>
  </r>
  <r>
    <x v="2062"/>
    <n v="8"/>
    <x v="52"/>
    <x v="14"/>
    <s v="Anpassung MDX wegen neuer Cube Struktur, Tests + Produktion 05/15"/>
    <m/>
    <s v="Geiger"/>
    <m/>
    <s v="4300058330"/>
    <s v="Taunus"/>
    <s v="Tanja Geiger"/>
    <s v="Roland Borchard"/>
    <x v="13"/>
  </r>
  <r>
    <x v="2062"/>
    <n v="2"/>
    <x v="52"/>
    <x v="14"/>
    <s v="Feintuning Distri Report wegen Performance"/>
    <m/>
    <s v="Geiger"/>
    <m/>
    <s v="4300058330"/>
    <s v="Taunus"/>
    <s v="Tanja Geiger"/>
    <s v="Roland Borchard"/>
    <x v="13"/>
  </r>
  <r>
    <x v="2063"/>
    <n v="0.5"/>
    <x v="88"/>
    <x v="49"/>
    <s v="Erstellung MPT File"/>
    <s v="MPT Import"/>
    <s v="Sdunzig"/>
    <m/>
    <s v="4300064785"/>
    <s v="Cost Calculator Regional"/>
    <s v="Norbert Sdunzig"/>
    <s v="Norbert Sdunzig"/>
    <x v="13"/>
  </r>
  <r>
    <x v="2063"/>
    <n v="0.5"/>
    <x v="89"/>
    <x v="50"/>
    <s v="Erstellung MPT File"/>
    <s v="MPT Import"/>
    <s v="Sdunzig"/>
    <m/>
    <s v="4300064785"/>
    <s v="Cost Calculator Regional"/>
    <s v="Norbert Sdunzig"/>
    <s v="Norbert Sdunzig"/>
    <x v="13"/>
  </r>
  <r>
    <x v="2062"/>
    <n v="2"/>
    <x v="41"/>
    <x v="3"/>
    <s v="Umstellung Datenbank für Jahresversionierung"/>
    <m/>
    <s v="Spiegel"/>
    <s v="als Vorbereitung zur Jahresversionierung"/>
    <s v="zu klären"/>
    <s v="CHA Calculator"/>
    <s v="Marlies Spiegel "/>
    <s v="Marlies Spiegel"/>
    <x v="13"/>
  </r>
  <r>
    <x v="2064"/>
    <n v="7"/>
    <x v="91"/>
    <x v="52"/>
    <s v="Umstellung auf SSAS 2012 Sales Analyzer Integration"/>
    <m/>
    <s v="Borchard"/>
    <m/>
    <s v="zu klären"/>
    <s v="Powercharts Anpassung SQL 2012"/>
    <s v="Roland Borchard"/>
    <s v="Roland Borchard"/>
    <x v="13"/>
  </r>
  <r>
    <x v="2064"/>
    <n v="1"/>
    <x v="91"/>
    <x v="52"/>
    <s v="Beprechung Layoutänderungen"/>
    <m/>
    <s v="Schilly"/>
    <m/>
    <s v="zu klären"/>
    <s v="Powercharts Anpassung SQL 2012"/>
    <s v="Roland Borchard"/>
    <s v="Roland Borchard"/>
    <x v="13"/>
  </r>
  <r>
    <x v="2064"/>
    <n v="2"/>
    <x v="93"/>
    <x v="54"/>
    <s v="Besprechung DA Workstation und DA Adhoc"/>
    <m/>
    <s v="Cikes/Madelung"/>
    <m/>
    <s v="4300065760"/>
    <s v="Cost Calcualtor Disease Analyzer"/>
    <s v="Madelung/Cikes"/>
    <s v="Kerstin Bode-Greuel"/>
    <x v="13"/>
  </r>
  <r>
    <x v="2064"/>
    <n v="1"/>
    <x v="52"/>
    <x v="14"/>
    <s v="Bereitstellung neue Version"/>
    <m/>
    <s v="Geiger"/>
    <m/>
    <s v="4300058330"/>
    <s v="Taunus"/>
    <s v="Tanja Geiger"/>
    <s v="Roland Borchard"/>
    <x v="13"/>
  </r>
  <r>
    <x v="2064"/>
    <n v="4.5"/>
    <x v="40"/>
    <x v="2"/>
    <s v="Produktionen aus Zukunft ignorieren"/>
    <m/>
    <s v="Despotovic"/>
    <m/>
    <s v="4300058328"/>
    <s v="PP2"/>
    <s v="Sandra Despotovic"/>
    <s v="Roland Borchard"/>
    <x v="13"/>
  </r>
  <r>
    <x v="2065"/>
    <n v="4"/>
    <x v="55"/>
    <x v="17"/>
    <s v="Automatisierung Ranking"/>
    <m/>
    <s v="Salwa-Emmel"/>
    <m/>
    <s v="4300058330"/>
    <s v="Taunus"/>
    <s v="Tanja Geiger"/>
    <s v="Roland Borchard"/>
    <x v="13"/>
  </r>
  <r>
    <x v="2065"/>
    <n v="2"/>
    <x v="69"/>
    <x v="31"/>
    <s v="Feintuning Gridboxen mit fester Breite"/>
    <s v="Oberfläche"/>
    <s v="Herrmann"/>
    <m/>
    <s v="4300064785"/>
    <s v="Cost Calculator Regional"/>
    <s v="Claudia Herrmann"/>
    <s v="Claudia Herrmann"/>
    <x v="13"/>
  </r>
  <r>
    <x v="2065"/>
    <n v="8"/>
    <x v="91"/>
    <x v="52"/>
    <s v="Umstellung auf SSAS 2012 Sales Analyzer Integration"/>
    <m/>
    <s v="Borchard"/>
    <m/>
    <s v="zu klären"/>
    <s v="Powercharts Anpassung SQL 2012"/>
    <s v="Roland Borchard"/>
    <s v="Roland Borchard"/>
    <x v="13"/>
  </r>
  <r>
    <x v="2066"/>
    <n v="4"/>
    <x v="55"/>
    <x v="17"/>
    <s v="Automatisierung Ranking"/>
    <m/>
    <s v="Salwa-Emmel"/>
    <m/>
    <s v="4300058330"/>
    <s v="Taunus"/>
    <s v="Tanja Geiger"/>
    <s v="Roland Borchard"/>
    <x v="13"/>
  </r>
  <r>
    <x v="2066"/>
    <n v="5"/>
    <x v="91"/>
    <x v="52"/>
    <s v="Umstellung auf SSAS 2012, Tests + neues Deployment"/>
    <m/>
    <s v="Borchard"/>
    <m/>
    <s v="zu klären"/>
    <s v="Powercharts Anpassung SQL 2012"/>
    <s v="Roland Borchard"/>
    <s v="Roland Borchard"/>
    <x v="13"/>
  </r>
  <r>
    <x v="2067"/>
    <n v="7"/>
    <x v="77"/>
    <x v="39"/>
    <s v="neues Preisversionsmodell + Jahresmodell, Datenbankanpassungen"/>
    <s v="System"/>
    <s v="Werner"/>
    <m/>
    <s v="4300064782"/>
    <s v="Cost Calculator übergreifend"/>
    <s v="Katharina Werner"/>
    <s v="Katharina Werner"/>
    <x v="13"/>
  </r>
  <r>
    <x v="2068"/>
    <n v="4"/>
    <x v="93"/>
    <x v="54"/>
    <s v="Erstellung Mockup + MPT File DA Workstation"/>
    <m/>
    <s v="Cikes/Madelung"/>
    <m/>
    <s v="4300065760"/>
    <s v="Cost Calcualtor Disease Analyzer"/>
    <s v="Madelung/Cikes"/>
    <s v="Kerstin Bode-Greuel"/>
    <x v="13"/>
  </r>
  <r>
    <x v="2069"/>
    <n v="10"/>
    <x v="91"/>
    <x v="52"/>
    <s v="Umstellung auf SSAS 2012, Tests + neues Deployment + Einrichtung 030 Server"/>
    <m/>
    <s v="Borchard"/>
    <m/>
    <s v="zu klären"/>
    <s v="Powercharts Anpassung SQL 2012"/>
    <s v="Roland Borchard"/>
    <s v="Roland Borchard"/>
    <x v="13"/>
  </r>
  <r>
    <x v="2070"/>
    <n v="8"/>
    <x v="78"/>
    <x v="40"/>
    <s v="Berechnung für ST 210"/>
    <m/>
    <m/>
    <m/>
    <s v="4300059525"/>
    <s v="Subterritory Planner"/>
    <s v="Udo Burger"/>
    <s v="Udo Burger"/>
    <x v="13"/>
  </r>
  <r>
    <x v="2071"/>
    <n v="1"/>
    <x v="41"/>
    <x v="3"/>
    <s v="Entfernung Anzahl Territories für 2nd Micro"/>
    <m/>
    <s v="Spiegel"/>
    <m/>
    <s v="zu klären"/>
    <s v="CHA Calculator"/>
    <s v="Marlies Spiegel "/>
    <s v="Marlies Spiegel"/>
    <x v="13"/>
  </r>
  <r>
    <x v="2071"/>
    <n v="7"/>
    <x v="78"/>
    <x v="40"/>
    <s v="Berechnung für ST 210"/>
    <m/>
    <m/>
    <m/>
    <s v="4300059525"/>
    <s v="Subterritory Planner"/>
    <s v="Udo Burger"/>
    <s v="Udo Burger"/>
    <x v="13"/>
  </r>
  <r>
    <x v="2072"/>
    <n v="1"/>
    <x v="70"/>
    <x v="32"/>
    <s v="Produktion 06/15"/>
    <m/>
    <s v="Crone"/>
    <m/>
    <s v="4300058330"/>
    <s v="Taunus"/>
    <s v="Birgit Schilly"/>
    <s v="Roland Borchard"/>
    <x v="13"/>
  </r>
  <r>
    <x v="2072"/>
    <n v="0.5"/>
    <x v="93"/>
    <x v="54"/>
    <s v="Feinschliff Mockup und Versand an Frau Cikes"/>
    <s v="Oberfläche"/>
    <s v="Cikes/Madelung"/>
    <m/>
    <s v="4300065760"/>
    <s v="Cost Calcualtor Disease Analyzer"/>
    <s v="Madelung/Cikes"/>
    <s v="Kerstin Bode-Greuel"/>
    <x v="13"/>
  </r>
  <r>
    <x v="2072"/>
    <n v="3"/>
    <x v="65"/>
    <x v="27"/>
    <s v="Anpassung MDX wegen Herstellerwechsel"/>
    <m/>
    <s v="Propp"/>
    <m/>
    <s v="4300058330"/>
    <s v="Taunus"/>
    <s v="Julia Propp"/>
    <s v="Roland Borchard"/>
    <x v="13"/>
  </r>
  <r>
    <x v="2072"/>
    <n v="2.5"/>
    <x v="39"/>
    <x v="1"/>
    <s v="Automatisiertes Einfügen Marktbasis auf Dashboard"/>
    <m/>
    <s v="Crone"/>
    <m/>
    <s v="4300058330"/>
    <s v="Taunus"/>
    <s v="Birgit Schilly"/>
    <s v="Roland Borchard"/>
    <x v="13"/>
  </r>
  <r>
    <x v="2072"/>
    <n v="8"/>
    <x v="93"/>
    <x v="54"/>
    <s v="Neues Grid für Panels"/>
    <s v="Oberfläche"/>
    <s v="Cikes/Madelung"/>
    <m/>
    <s v="4300065760"/>
    <s v="Cost Calcualtor Disease Analyzer"/>
    <s v="Madelung/Cikes"/>
    <s v="Kerstin Bode-Greuel"/>
    <x v="13"/>
  </r>
  <r>
    <x v="2073"/>
    <n v="6"/>
    <x v="65"/>
    <x v="27"/>
    <s v="Performance Optimierung bei Stada Distribution nach Herstellerwechsel"/>
    <m/>
    <s v="Propp"/>
    <m/>
    <s v="4300058330"/>
    <s v="Taunus"/>
    <s v="Julia Propp"/>
    <s v="Roland Borchard"/>
    <x v="13"/>
  </r>
  <r>
    <x v="2073"/>
    <n v="7"/>
    <x v="93"/>
    <x v="54"/>
    <s v="Neues Grid für Panels"/>
    <s v="Oberfläche"/>
    <s v="Cikes/Madelung"/>
    <m/>
    <s v="4300065760"/>
    <s v="Cost Calcualtor Disease Analyzer"/>
    <s v="Madelung/Cikes"/>
    <s v="Kerstin Bode-Greuel"/>
    <x v="13"/>
  </r>
  <r>
    <x v="2073"/>
    <n v="1"/>
    <x v="55"/>
    <x v="17"/>
    <s v="Produktion 06/15"/>
    <m/>
    <s v="Salwa-Emmel"/>
    <m/>
    <s v="4300058330"/>
    <s v="Taunus"/>
    <s v="Tanja Geiger"/>
    <s v="Roland Borchard"/>
    <x v="13"/>
  </r>
  <r>
    <x v="2073"/>
    <n v="1.5"/>
    <x v="61"/>
    <x v="23"/>
    <s v="Umstellung auf Template Logik und Produktion 06/15"/>
    <m/>
    <s v="Salwa-Emmel"/>
    <m/>
    <s v="4300058330"/>
    <s v="Taunus"/>
    <s v="Tanja Geiger"/>
    <s v="Roland Borchard"/>
    <x v="13"/>
  </r>
  <r>
    <x v="2074"/>
    <n v="0.5"/>
    <x v="93"/>
    <x v="54"/>
    <s v="Anpassungen MPT File Merge + Complete getrennt"/>
    <s v="MPT Import"/>
    <s v="Cikes/Madelung"/>
    <m/>
    <s v="4300065760"/>
    <s v="Cost Calcualtor Disease Analyzer"/>
    <s v="Madelung/Cikes"/>
    <s v="Kerstin Bode-Greuel"/>
    <x v="13"/>
  </r>
  <r>
    <x v="2074"/>
    <n v="3"/>
    <x v="65"/>
    <x v="27"/>
    <s v="Feinschliff Performanceoptimierung + Bereitstellung Powerspreadsheet Update"/>
    <m/>
    <s v="Propp"/>
    <m/>
    <s v="4300058330"/>
    <s v="Taunus"/>
    <s v="Julia Propp"/>
    <s v="Roland Borchard"/>
    <x v="13"/>
  </r>
  <r>
    <x v="2074"/>
    <n v="0.5"/>
    <x v="66"/>
    <x v="28"/>
    <s v="Produktion 05/15 Report"/>
    <m/>
    <s v="Crone"/>
    <m/>
    <s v="4300058330"/>
    <s v="Taunus"/>
    <s v="Tanja Geiger"/>
    <s v="Roland Borchard"/>
    <x v="13"/>
  </r>
  <r>
    <x v="2075"/>
    <n v="7"/>
    <x v="56"/>
    <x v="18"/>
    <s v="Anpassung OTC Berechnung und der Jahresversionierung von OTCs"/>
    <s v="Berechnungsmodell"/>
    <s v="Pechstein"/>
    <m/>
    <s v="4300064783"/>
    <s v="Cost Calculator National"/>
    <s v="Pechstein"/>
    <s v="Marlen Pechstein"/>
    <x v="13"/>
  </r>
  <r>
    <x v="2075"/>
    <n v="1"/>
    <x v="41"/>
    <x v="3"/>
    <s v="neue Kundenliste"/>
    <m/>
    <s v="Spiegel"/>
    <m/>
    <s v="zu klären"/>
    <s v="CHA Calculator"/>
    <s v="Marlies Spiegel "/>
    <s v="Marlies Spiegel"/>
    <x v="13"/>
  </r>
  <r>
    <x v="2075"/>
    <n v="1"/>
    <x v="41"/>
    <x v="3"/>
    <s v="neuer Attributsatz"/>
    <m/>
    <s v="Spiegel"/>
    <m/>
    <s v="zu klären"/>
    <s v="CHA Calculator"/>
    <s v="Marlies Spiegel "/>
    <s v="Marlies Spiegel"/>
    <x v="13"/>
  </r>
  <r>
    <x v="2075"/>
    <n v="1"/>
    <x v="39"/>
    <x v="1"/>
    <s v="Manuelle Anpassungen + Produktion 06/15"/>
    <m/>
    <s v="Crone"/>
    <m/>
    <s v="4300058330"/>
    <s v="Taunus"/>
    <s v="Birgit Schilly"/>
    <s v="Roland Borchard"/>
    <x v="13"/>
  </r>
  <r>
    <x v="2075"/>
    <n v="1"/>
    <x v="65"/>
    <x v="27"/>
    <s v="Produktion Sonnenmärkte 06/15"/>
    <m/>
    <s v="Propp"/>
    <m/>
    <s v="4300058330"/>
    <s v="Taunus"/>
    <s v="Julia Propp"/>
    <s v="Roland Borchard"/>
    <x v="13"/>
  </r>
  <r>
    <x v="2075"/>
    <n v="0.5"/>
    <x v="70"/>
    <x v="32"/>
    <s v="Produktion RegionApoSpezial 06/15"/>
    <m/>
    <s v="Crone"/>
    <m/>
    <s v="4300058330"/>
    <s v="Taunus"/>
    <s v="Birgit Schilly"/>
    <s v="Roland Borchard"/>
    <x v="13"/>
  </r>
  <r>
    <x v="2076"/>
    <n v="6"/>
    <x v="93"/>
    <x v="54"/>
    <s v="Neues Grid für Panels"/>
    <s v="Oberfläche"/>
    <s v="Cikes/Madelung"/>
    <m/>
    <s v="4300065760"/>
    <s v="Cost Calcualtor Disease Analyzer"/>
    <s v="Madelung/Cikes"/>
    <s v="Kerstin Bode-Greuel"/>
    <x v="13"/>
  </r>
  <r>
    <x v="2077"/>
    <n v="7"/>
    <x v="77"/>
    <x v="39"/>
    <s v="Test aller Kalkulatoren wegen Umstellung von Szenario auf Jahresmodell"/>
    <s v="Test"/>
    <s v="Werner"/>
    <m/>
    <s v="4300064782"/>
    <s v="Cost Calculator übergreifend"/>
    <s v="Katharina Werner"/>
    <s v="Katharina Werner"/>
    <x v="13"/>
  </r>
  <r>
    <x v="2077"/>
    <n v="1"/>
    <x v="41"/>
    <x v="3"/>
    <s v="OTC Picklist aktualisiert"/>
    <m/>
    <s v="Spiegel"/>
    <m/>
    <s v="zu klären"/>
    <s v="CHA Calculator"/>
    <s v="Marlies Spiegel "/>
    <s v="Marlies Spiegel"/>
    <x v="13"/>
  </r>
  <r>
    <x v="2077"/>
    <n v="2"/>
    <x v="40"/>
    <x v="2"/>
    <s v="Strategie Meeting PP3 in Frankfurt"/>
    <m/>
    <s v="Borchard"/>
    <m/>
    <s v="4300058328"/>
    <s v="PP2"/>
    <s v="Sandra Despotovic"/>
    <s v="Roland Borchard"/>
    <x v="13"/>
  </r>
  <r>
    <x v="2077"/>
    <n v="1"/>
    <x v="40"/>
    <x v="2"/>
    <s v="Strategie Meeting Accessibility"/>
    <m/>
    <s v="Gruhn"/>
    <m/>
    <s v="4300058328"/>
    <s v="PP2"/>
    <s v="Sandra Despotovic"/>
    <s v="Roland Borchard"/>
    <x v="13"/>
  </r>
  <r>
    <x v="2077"/>
    <n v="1"/>
    <x v="40"/>
    <x v="2"/>
    <s v="Strategie Meeting, offene Punkte"/>
    <m/>
    <s v="Despotovic"/>
    <m/>
    <s v="4300058328"/>
    <s v="PP2"/>
    <s v="Sandra Despotovic"/>
    <s v="Roland Borchard"/>
    <x v="13"/>
  </r>
  <r>
    <x v="2077"/>
    <n v="1"/>
    <x v="91"/>
    <x v="52"/>
    <s v="StrategieMeeting Powercharts weitere Vorgehensweise"/>
    <m/>
    <s v="Salwa-Emmel"/>
    <m/>
    <s v="zu klären"/>
    <s v="Powercharts Anpassung SQL 2012"/>
    <s v="Roland Borchard"/>
    <s v="Roland Borchard"/>
    <x v="13"/>
  </r>
  <r>
    <x v="2077"/>
    <n v="1"/>
    <x v="40"/>
    <x v="2"/>
    <s v="Besprechung Master File Tests"/>
    <m/>
    <s v="Günther"/>
    <m/>
    <s v="4300058328"/>
    <s v="PP2"/>
    <s v="Sandra Despotovic"/>
    <s v="Roland Borchard"/>
    <x v="13"/>
  </r>
  <r>
    <x v="2077"/>
    <n v="1"/>
    <x v="40"/>
    <x v="2"/>
    <s v="erste Tests, Laden von 4,2 Gbyte, Machbarkeit"/>
    <m/>
    <s v="Günther"/>
    <m/>
    <s v="4300058328"/>
    <s v="PP2"/>
    <s v="Sandra Despotovic"/>
    <s v="Roland Borchard"/>
    <x v="13"/>
  </r>
  <r>
    <x v="2078"/>
    <n v="1"/>
    <x v="56"/>
    <x v="18"/>
    <s v="Analyse Differenzen bei Teilmarktkalkulation"/>
    <s v="Berechnungsmodell"/>
    <s v="Pechstein"/>
    <m/>
    <s v="4300064783"/>
    <s v="Cost Calculator National"/>
    <s v="Pechstein"/>
    <s v="Marlen Pechstein"/>
    <x v="13"/>
  </r>
  <r>
    <x v="2078"/>
    <n v="2"/>
    <x v="41"/>
    <x v="3"/>
    <s v="Lizenzen eingebaut"/>
    <m/>
    <s v="Spiegel"/>
    <m/>
    <s v="zu klären"/>
    <s v="CHA Calculator"/>
    <s v="Marlies Spiegel "/>
    <s v="Marlies Spiegel"/>
    <x v="13"/>
  </r>
  <r>
    <x v="2078"/>
    <n v="3"/>
    <x v="56"/>
    <x v="18"/>
    <s v="Erweiterung Multiselektionskombobox Teilmarkt auf Unterstützung des Jahresmodells"/>
    <s v="Berechnungsmodell"/>
    <s v="Pechstein"/>
    <m/>
    <s v="4300064783"/>
    <s v="Cost Calculator National"/>
    <s v="Pechstein"/>
    <s v="Marlen Pechstein"/>
    <x v="13"/>
  </r>
  <r>
    <x v="2078"/>
    <n v="7"/>
    <x v="76"/>
    <x v="38"/>
    <s v="Anpassung MPT Import auf Jahresmodell + neue Preisversion mit CM als Vorlage"/>
    <s v="AdminFunktion"/>
    <s v="Werner"/>
    <m/>
    <s v="4300064782"/>
    <s v="Cost Calculator übergreifend"/>
    <s v="Katharina Werner"/>
    <s v="Katharina Werner"/>
    <x v="13"/>
  </r>
  <r>
    <x v="2079"/>
    <n v="6"/>
    <x v="76"/>
    <x v="38"/>
    <s v="Anpassung MPT Import auf Jahresmodell + neue Preisversion mit CM als Vorlage"/>
    <s v="AdminFunktion"/>
    <s v="Werner"/>
    <m/>
    <s v="4300064782"/>
    <s v="Cost Calculator übergreifend"/>
    <s v="Katharina Werner"/>
    <s v="Katharina Werner"/>
    <x v="13"/>
  </r>
  <r>
    <x v="2078"/>
    <n v="2.5"/>
    <x v="56"/>
    <x v="18"/>
    <s v="umfangreiche Tests, Vergleich mit Produktionsversion"/>
    <s v="Berechnungsmodell"/>
    <s v="Pechstein"/>
    <m/>
    <s v="4300064783"/>
    <s v="Cost Calculator National"/>
    <s v="Pechstein"/>
    <s v="Marlen Pechstein"/>
    <x v="13"/>
  </r>
  <r>
    <x v="2079"/>
    <n v="5"/>
    <x v="41"/>
    <x v="3"/>
    <s v="Laden, Speicher + Berechnungslogik erweitert"/>
    <m/>
    <s v="Spiegel"/>
    <m/>
    <s v="zu klären"/>
    <s v="CHA Calculator"/>
    <s v="Marlies Spiegel "/>
    <s v="Marlies Spiegel"/>
    <x v="13"/>
  </r>
  <r>
    <x v="2079"/>
    <n v="1"/>
    <x v="93"/>
    <x v="54"/>
    <s v="Workstation Exportvorlage"/>
    <m/>
    <s v="Cikes/Madelung"/>
    <m/>
    <s v="4300065760"/>
    <s v="Cost Calcualtor Disease Analyzer"/>
    <s v="Madelung/Cikes"/>
    <s v="Kerstin Bode-Greuel"/>
    <x v="13"/>
  </r>
  <r>
    <x v="2080"/>
    <n v="7"/>
    <x v="77"/>
    <x v="39"/>
    <s v="Anpassung MPT Import basierend auf Jahresmodell und neue Preisversion"/>
    <s v="System"/>
    <s v="Werner"/>
    <m/>
    <s v="4300064782"/>
    <s v="Cost Calculator übergreifend"/>
    <s v="Katharina Werner"/>
    <s v="Katharina Werner"/>
    <x v="13"/>
  </r>
  <r>
    <x v="2081"/>
    <n v="2"/>
    <x v="78"/>
    <x v="40"/>
    <s v="Makro Planner Problemanalyse Gebiet 40101"/>
    <m/>
    <s v="Conceiao"/>
    <m/>
    <s v="4300059525"/>
    <s v="Subterritory Planner"/>
    <s v="Udo Burger"/>
    <s v="Udo Burger"/>
    <x v="13"/>
  </r>
  <r>
    <x v="2081"/>
    <n v="7"/>
    <x v="77"/>
    <x v="39"/>
    <s v="Anpassung MPT Import basierend auf Jahresmodell und neue Preisversion"/>
    <s v="System"/>
    <s v="Werner"/>
    <m/>
    <s v="4300064782"/>
    <s v="Cost Calculator übergreifend"/>
    <s v="Katharina Werner"/>
    <s v="Katharina Werner"/>
    <x v="13"/>
  </r>
  <r>
    <x v="2081"/>
    <n v="4"/>
    <x v="41"/>
    <x v="3"/>
    <s v="Satellitenspezifische Aktualisierungsfrequenzen"/>
    <m/>
    <s v="Spiegel"/>
    <m/>
    <s v="zu klären"/>
    <s v="CHA Calculator"/>
    <s v="Marlies Spiegel "/>
    <s v="Marlies Spiegel"/>
    <x v="13"/>
  </r>
  <r>
    <x v="2082"/>
    <n v="7"/>
    <x v="77"/>
    <x v="39"/>
    <s v="Anpassung MPT Import basierend auf Jahresmodell und neue Preisversion"/>
    <s v="System"/>
    <s v="Werner"/>
    <m/>
    <s v="4300064782"/>
    <s v="Cost Calculator übergreifend"/>
    <s v="Katharina Werner"/>
    <s v="Katharina Werner"/>
    <x v="13"/>
  </r>
  <r>
    <x v="2083"/>
    <n v="8"/>
    <x v="77"/>
    <x v="39"/>
    <s v="Anpassung MPT Import basierend auf Jahresmodell und neue Preisversion"/>
    <s v="System"/>
    <s v="Werner"/>
    <m/>
    <s v="4300064782"/>
    <s v="Cost Calculator übergreifend"/>
    <s v="Katharina Werner"/>
    <s v="Katharina Werner"/>
    <x v="13"/>
  </r>
  <r>
    <x v="2084"/>
    <n v="3"/>
    <x v="41"/>
    <x v="3"/>
    <s v="Analyse und Entwurf Mindestpreise"/>
    <m/>
    <s v="Spiegel"/>
    <m/>
    <s v="zu klären"/>
    <s v="CHA Calculator"/>
    <s v="Marlies Spiegel "/>
    <s v="Marlies Spiegel"/>
    <x v="13"/>
  </r>
  <r>
    <x v="2083"/>
    <n v="1"/>
    <x v="93"/>
    <x v="54"/>
    <s v="Workstation Exportvorlage"/>
    <m/>
    <s v="Cikes/Madelung"/>
    <m/>
    <s v="4300065760"/>
    <s v="Cost Calcualtor Disease Analyzer"/>
    <s v="Madelung/Cikes"/>
    <s v="Kerstin Bode-Greuel"/>
    <x v="13"/>
  </r>
  <r>
    <x v="2084"/>
    <n v="2"/>
    <x v="41"/>
    <x v="3"/>
    <s v="Erstellung Mockup Kurzabo + Mindestpreise"/>
    <m/>
    <s v="Spiegel"/>
    <m/>
    <s v="zu klären"/>
    <s v="CHA Calculator"/>
    <s v="Marlies Spiegel "/>
    <s v="Marlies Spiegel"/>
    <x v="13"/>
  </r>
  <r>
    <x v="2084"/>
    <n v="2"/>
    <x v="41"/>
    <x v="3"/>
    <s v="Online Meeting, Kärung offener Punkte"/>
    <m/>
    <s v="Spiegel"/>
    <m/>
    <s v="zu klären"/>
    <s v="CHA Calculator"/>
    <s v="Marlies Spiegel "/>
    <s v="Marlies Spiegel"/>
    <x v="13"/>
  </r>
  <r>
    <x v="2084"/>
    <n v="3"/>
    <x v="41"/>
    <x v="3"/>
    <s v="Implementierung Mindestpreise"/>
    <m/>
    <s v="Spiegel"/>
    <m/>
    <s v="zu klären"/>
    <s v="CHA Calculator"/>
    <s v="Marlies Spiegel "/>
    <s v="Marlies Spiegel"/>
    <x v="13"/>
  </r>
  <r>
    <x v="2084"/>
    <n v="2"/>
    <x v="67"/>
    <x v="29"/>
    <s v="Erstellung Cube + BrandMatching 05/15"/>
    <m/>
    <s v="Buteweg"/>
    <m/>
    <s v="4300058330"/>
    <s v="Taunus"/>
    <s v="Tanja Geiger"/>
    <s v="Roland Borchard"/>
    <x v="13"/>
  </r>
  <r>
    <x v="2084"/>
    <n v="2"/>
    <x v="67"/>
    <x v="29"/>
    <s v="Automatisiertes Ersetzen von YTD"/>
    <m/>
    <s v="Buteweg"/>
    <m/>
    <s v="4300058330"/>
    <s v="Taunus"/>
    <s v="Tanja Geiger"/>
    <s v="Roland Borchard"/>
    <x v="13"/>
  </r>
  <r>
    <x v="2084"/>
    <n v="2"/>
    <x v="67"/>
    <x v="29"/>
    <s v="Produktion, manuelle Anpassungen und Auslieferung 06/15"/>
    <m/>
    <s v="Buteweg"/>
    <m/>
    <s v="4300058330"/>
    <s v="Taunus"/>
    <s v="Tanja Geiger"/>
    <s v="Roland Borchard"/>
    <x v="13"/>
  </r>
  <r>
    <x v="2084"/>
    <n v="5"/>
    <x v="77"/>
    <x v="39"/>
    <s v="Test Import aller Kalkulatoren wegen umfangreicher Neuerungen: Preisversionierung + Jahresmodell"/>
    <s v="Test"/>
    <s v="Werner"/>
    <m/>
    <s v="4300064782"/>
    <s v="Cost Calculator übergreifend"/>
    <s v="Katharina Werner"/>
    <s v="Katharina Werner"/>
    <x v="13"/>
  </r>
  <r>
    <x v="2085"/>
    <n v="4"/>
    <x v="76"/>
    <x v="38"/>
    <s v="Administration UI erstellt für neue Jahres + Preisversionierung"/>
    <s v="Oberfläche"/>
    <s v="Werner"/>
    <m/>
    <s v="4300064782"/>
    <s v="Cost Calculator übergreifend"/>
    <s v="Katharina Werner"/>
    <s v="Katharina Werner"/>
    <x v="13"/>
  </r>
  <r>
    <x v="2085"/>
    <n v="4"/>
    <x v="76"/>
    <x v="38"/>
    <s v="Anbindung neuer Ladeprozess an die AdminOberfläche"/>
    <s v="MPT Import"/>
    <s v="Werner"/>
    <m/>
    <s v="4300064782"/>
    <s v="Cost Calculator übergreifend"/>
    <s v="Katharina Werner"/>
    <s v="Katharina Werner"/>
    <x v="13"/>
  </r>
  <r>
    <x v="2086"/>
    <n v="4"/>
    <x v="76"/>
    <x v="38"/>
    <s v="Anbindung neuer Ladeprozess an die AdminOberfläche"/>
    <s v="MPT Import"/>
    <s v="Werner"/>
    <m/>
    <s v="4300064782"/>
    <s v="Cost Calculator übergreifend"/>
    <s v="Katharina Werner"/>
    <s v="Katharina Werner"/>
    <x v="13"/>
  </r>
  <r>
    <x v="2086"/>
    <n v="4"/>
    <x v="76"/>
    <x v="38"/>
    <s v="Test Ladeprozess aus Adminoberfläche für alle Kalkulatoren"/>
    <s v="Test"/>
    <s v="Werner"/>
    <m/>
    <s v="4300064782"/>
    <s v="Cost Calculator übergreifend"/>
    <s v="Katharina Werner"/>
    <s v="Katharina Werner"/>
    <x v="13"/>
  </r>
  <r>
    <x v="2087"/>
    <n v="2"/>
    <x v="77"/>
    <x v="39"/>
    <s v="Einbindung Preisversionierung in Export"/>
    <s v="Export"/>
    <s v="Werner"/>
    <m/>
    <s v="4300064782"/>
    <s v="Cost Calculator übergreifend"/>
    <s v="Katharina Werner"/>
    <s v="Katharina Werner"/>
    <x v="13"/>
  </r>
  <r>
    <x v="2087"/>
    <n v="3"/>
    <x v="77"/>
    <x v="39"/>
    <s v="Einbindung Preisversionierung in Speichern/Laden"/>
    <s v="Speicher/Laden"/>
    <s v="Werner"/>
    <m/>
    <s v="4300064782"/>
    <s v="Cost Calculator übergreifend"/>
    <s v="Katharina Werner"/>
    <s v="Katharina Werner"/>
    <x v="13"/>
  </r>
  <r>
    <x v="2087"/>
    <n v="2"/>
    <x v="40"/>
    <x v="2"/>
    <s v="SASMP Produktion werden nicht mehr physisch gelöscht, sonder nur Flags gesetzt"/>
    <m/>
    <s v="Despotovic"/>
    <m/>
    <s v="4300058328"/>
    <s v="PP2"/>
    <s v="Sandra Despotovic"/>
    <s v="Roland Borchard"/>
    <x v="13"/>
  </r>
  <r>
    <x v="2088"/>
    <n v="2"/>
    <x v="94"/>
    <x v="55"/>
    <s v="Telefonmeeting über weitere Vorgehensweise +  Fahrplan weitere Vorgehensweise"/>
    <m/>
    <s v="Kochanek/Gruhn"/>
    <m/>
    <s v="zu klären"/>
    <s v="PP2"/>
    <s v="Uwe Gruhn"/>
    <s v="zu klären"/>
    <x v="13"/>
  </r>
  <r>
    <x v="2088"/>
    <n v="1"/>
    <x v="40"/>
    <x v="2"/>
    <s v="Support IXAGHF + Unterstützung Laden mit altem ActualMonth"/>
    <m/>
    <s v="Despotovic/Hornbruch"/>
    <m/>
    <s v="4300058328"/>
    <s v="PP2"/>
    <s v="Sandra Despotovic"/>
    <s v="Roland Borchard"/>
    <x v="13"/>
  </r>
  <r>
    <x v="2088"/>
    <n v="3"/>
    <x v="95"/>
    <x v="56"/>
    <s v="Aufbau Projektstruktur"/>
    <s v="System"/>
    <s v="Cikes/Madelung"/>
    <m/>
    <s v="4300065760"/>
    <s v="Cost Calcualtor Disease Analyzer"/>
    <s v="Madelung/Cikes"/>
    <s v="Kerstin Bode-Greuel"/>
    <x v="13"/>
  </r>
  <r>
    <x v="2089"/>
    <n v="1.5"/>
    <x v="56"/>
    <x v="18"/>
    <s v="Überprüfung und teilweise Umsetzung gewünschter Änderungsvorschlge MPT"/>
    <s v="MPT Import"/>
    <s v="Pechstein"/>
    <m/>
    <s v="4300064783"/>
    <s v="Cost Calculator National"/>
    <s v="Pechstein"/>
    <s v="Marlen Pechstein"/>
    <x v="13"/>
  </r>
  <r>
    <x v="2089"/>
    <n v="3"/>
    <x v="41"/>
    <x v="3"/>
    <s v="letzte Tests und kleinere Korrekturen"/>
    <m/>
    <s v="Spiegel"/>
    <m/>
    <s v="zu klären"/>
    <s v="CHA Calculator"/>
    <s v="Marlies Spiegel "/>
    <s v="Marlies Spiegel"/>
    <x v="13"/>
  </r>
  <r>
    <x v="2089"/>
    <n v="4"/>
    <x v="76"/>
    <x v="38"/>
    <s v="Test Ladeprozess 2015 + 2016 Preise und Faktoren für alle Kalkulatoren + letzte kleinere Korrekturen"/>
    <s v="Test"/>
    <s v="Werner"/>
    <m/>
    <s v="4300064782"/>
    <s v="Cost Calculator übergreifend"/>
    <s v="Katharina Werner"/>
    <s v="Katharina Werner"/>
    <x v="13"/>
  </r>
  <r>
    <x v="2090"/>
    <n v="4"/>
    <x v="76"/>
    <x v="38"/>
    <s v="Test und Erweiterung und Feinschliff Preisverwaltungs Schnittstelle"/>
    <s v="Test"/>
    <s v="Werner"/>
    <m/>
    <s v="4300064782"/>
    <s v="Cost Calculator übergreifend"/>
    <s v="Katharina Werner"/>
    <s v="Katharina Werner"/>
    <x v="13"/>
  </r>
  <r>
    <x v="2090"/>
    <n v="0.5"/>
    <x v="56"/>
    <x v="18"/>
    <s v="Telefonmeeting offene Punkte MPT File"/>
    <s v="Test"/>
    <s v="Pechstein"/>
    <m/>
    <s v="4300064783"/>
    <s v="Cost Calculator National"/>
    <s v="Pechstein"/>
    <s v="Marlen Pechstein"/>
    <x v="13"/>
  </r>
  <r>
    <x v="2090"/>
    <n v="2"/>
    <x v="41"/>
    <x v="3"/>
    <s v="Bereitstellung und Installation des Upgrades"/>
    <m/>
    <s v="Spiegel"/>
    <m/>
    <s v="zu klären"/>
    <s v="CHA Calculator"/>
    <s v="Marlies Spiegel "/>
    <s v="Marlies Spiegel"/>
    <x v="13"/>
  </r>
  <r>
    <x v="2091"/>
    <n v="2"/>
    <x v="40"/>
    <x v="2"/>
    <s v="PDNV52SN Support nicht vorhandene Produktion für Actual Month = 201507"/>
    <m/>
    <s v="Günther"/>
    <m/>
    <s v="4300058328"/>
    <s v="PP2"/>
    <s v="Sandra Despotovic"/>
    <s v="Roland Borchard"/>
    <x v="13"/>
  </r>
  <r>
    <x v="2091"/>
    <n v="3"/>
    <x v="42"/>
    <x v="4"/>
    <s v="Überprüfung, Installation und Einrichtung Produktionsserver"/>
    <m/>
    <s v="Borchard"/>
    <m/>
    <s v="4300058330"/>
    <s v="Taunus"/>
    <s v="Tanja Geiger"/>
    <s v="Roland Borchard"/>
    <x v="13"/>
  </r>
  <r>
    <x v="2091"/>
    <n v="1"/>
    <x v="66"/>
    <x v="28"/>
    <s v="Produktion Juli Berichte"/>
    <m/>
    <s v="Crone"/>
    <m/>
    <s v="4300058330"/>
    <s v="Taunus"/>
    <s v="Tanja Geiger"/>
    <s v="Roland Borchard"/>
    <x v="13"/>
  </r>
  <r>
    <x v="2091"/>
    <n v="1"/>
    <x v="70"/>
    <x v="32"/>
    <s v="Produktion Juli Apo Berichte"/>
    <m/>
    <s v="Crone"/>
    <m/>
    <s v="4300058330"/>
    <s v="Taunus"/>
    <s v="Birgit Schilly"/>
    <s v="Roland Borchard"/>
    <x v="13"/>
  </r>
  <r>
    <x v="2091"/>
    <n v="1"/>
    <x v="70"/>
    <x v="32"/>
    <s v="Produktion Juli Apo Spezial Berichte"/>
    <m/>
    <s v="Crone"/>
    <m/>
    <s v="4300058330"/>
    <s v="Taunus"/>
    <s v="Birgit Schilly"/>
    <s v="Roland Borchard"/>
    <x v="13"/>
  </r>
  <r>
    <x v="2091"/>
    <n v="2"/>
    <x v="39"/>
    <x v="1"/>
    <s v="Produktion Juli Berichte + Manuelle Anpassungen"/>
    <m/>
    <s v="Crone"/>
    <m/>
    <s v="4300058330"/>
    <s v="Taunus"/>
    <s v="Birgit Schilly"/>
    <s v="Roland Borchard"/>
    <x v="13"/>
  </r>
  <r>
    <x v="2092"/>
    <n v="6"/>
    <x v="91"/>
    <x v="52"/>
    <s v="Konvertierung Bayer+Protina pch Files + groupings + Anpassung Gültigkeitsprüfung"/>
    <m/>
    <s v="Salwa-Emmel"/>
    <m/>
    <s v="zu klären"/>
    <s v="Powercharts Anpassung SQL 2012"/>
    <s v="Roland Borchard"/>
    <s v="Roland Borchard"/>
    <x v="13"/>
  </r>
  <r>
    <x v="2092"/>
    <n v="2"/>
    <x v="96"/>
    <x v="57"/>
    <s v="3.Mockup"/>
    <m/>
    <s v="Cikes/Madelung"/>
    <m/>
    <s v="4300065760"/>
    <s v="Cost Calcualtor Disease Analyzer"/>
    <s v="Madelung/Cikes"/>
    <s v="Kerstin Bode-Greuel"/>
    <x v="13"/>
  </r>
  <r>
    <x v="2093"/>
    <n v="4"/>
    <x v="91"/>
    <x v="52"/>
    <s v="Konvertierung Bayer+Protina pch Files + groupings + Versionsprüfung für groupings.xml"/>
    <m/>
    <s v="Salwa-Emmel"/>
    <m/>
    <s v="zu klären"/>
    <s v="Powercharts Anpassung SQL 2012"/>
    <s v="Roland Borchard"/>
    <s v="Roland Borchard"/>
    <x v="13"/>
  </r>
  <r>
    <x v="2093"/>
    <n v="1"/>
    <x v="96"/>
    <x v="57"/>
    <s v="Online Meeting neuer Mockup"/>
    <m/>
    <s v="Cikes/Madelung"/>
    <m/>
    <s v="4300065760"/>
    <s v="Cost Calcualtor Disease Analyzer"/>
    <s v="Madelung/Cikes"/>
    <s v="Kerstin Bode-Greuel"/>
    <x v="13"/>
  </r>
  <r>
    <x v="2093"/>
    <n v="1"/>
    <x v="91"/>
    <x v="52"/>
    <s v="Bereitstellung neue Version"/>
    <m/>
    <s v="Salwa-Emmel"/>
    <m/>
    <s v="zu klären"/>
    <s v="Powercharts Anpassung SQL 2012"/>
    <s v="Roland Borchard"/>
    <s v="Roland Borchard"/>
    <x v="13"/>
  </r>
  <r>
    <x v="2093"/>
    <n v="1"/>
    <x v="76"/>
    <x v="38"/>
    <s v="Online Meeting Administration"/>
    <m/>
    <s v="Werner/Schwarz"/>
    <m/>
    <s v="4300064782"/>
    <s v="Cost Calculator übergreifend"/>
    <s v="Katharina Werner"/>
    <s v="Katharina Werner"/>
    <x v="13"/>
  </r>
  <r>
    <x v="2094"/>
    <m/>
    <x v="36"/>
    <x v="0"/>
    <m/>
    <m/>
    <m/>
    <m/>
    <e v="#N/A"/>
    <e v="#N/A"/>
    <e v="#N/A"/>
    <e v="#N/A"/>
    <x v="14"/>
  </r>
  <r>
    <x v="2094"/>
    <m/>
    <x v="36"/>
    <x v="0"/>
    <m/>
    <m/>
    <m/>
    <m/>
    <e v="#N/A"/>
    <e v="#N/A"/>
    <e v="#N/A"/>
    <e v="#N/A"/>
    <x v="14"/>
  </r>
  <r>
    <x v="2094"/>
    <m/>
    <x v="36"/>
    <x v="0"/>
    <m/>
    <m/>
    <m/>
    <m/>
    <e v="#N/A"/>
    <e v="#N/A"/>
    <e v="#N/A"/>
    <e v="#N/A"/>
    <x v="14"/>
  </r>
  <r>
    <x v="2094"/>
    <m/>
    <x v="36"/>
    <x v="0"/>
    <m/>
    <m/>
    <m/>
    <m/>
    <e v="#N/A"/>
    <e v="#N/A"/>
    <e v="#N/A"/>
    <e v="#N/A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8" cacheId="0" applyNumberFormats="0" applyBorderFormats="0" applyFontFormats="0" applyPatternFormats="0" applyAlignmentFormats="0" applyWidthHeightFormats="1" dataCaption="Werte" updatedVersion="5" minRefreshableVersion="3" useAutoFormatting="1" itemPrintTitles="1" createdVersion="4" indent="0" outline="1" outlineData="1" multipleFieldFilters="0" chartFormat="3" fieldListSortAscending="1">
  <location ref="A4:Q6" firstHeaderRow="1" firstDataRow="2" firstDataCol="1" rowPageCount="2" colPageCount="1"/>
  <pivotFields count="13">
    <pivotField showAll="0">
      <items count="209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14"/>
        <item x="1015"/>
        <item x="1016"/>
        <item x="1006"/>
        <item x="1007"/>
        <item x="1017"/>
        <item x="1018"/>
        <item x="1019"/>
        <item x="1008"/>
        <item x="1020"/>
        <item x="1021"/>
        <item x="1022"/>
        <item x="1010"/>
        <item x="1011"/>
        <item x="1009"/>
        <item x="1012"/>
        <item x="1013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37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5"/>
        <item x="1776"/>
        <item x="1777"/>
        <item x="1778"/>
        <item x="1779"/>
        <item x="1781"/>
        <item x="1782"/>
        <item x="1783"/>
        <item x="1784"/>
        <item x="1785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614"/>
        <item x="1642"/>
        <item x="1774"/>
        <item x="1780"/>
        <item x="1786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2094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8"/>
        <item x="1909"/>
        <item x="1910"/>
        <item x="1912"/>
        <item x="1913"/>
        <item x="1914"/>
        <item x="1915"/>
        <item x="1907"/>
        <item x="1911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t="default"/>
      </items>
    </pivotField>
    <pivotField dataField="1" showAll="0" defaultSubtotal="0"/>
    <pivotField axis="axisPage" multipleItemSelectionAllowed="1" showAll="0" defaultSubtotal="0">
      <items count="97">
        <item h="1" x="23"/>
        <item h="1" x="46"/>
        <item h="1" x="44"/>
        <item x="76"/>
        <item h="1" x="86"/>
        <item h="1" x="41"/>
        <item x="48"/>
        <item x="77"/>
        <item h="1" x="93"/>
        <item h="1" x="96"/>
        <item h="1" x="92"/>
        <item h="1" x="95"/>
        <item x="56"/>
        <item x="87"/>
        <item x="51"/>
        <item h="1" x="43"/>
        <item h="1" x="60"/>
        <item x="69"/>
        <item x="82"/>
        <item x="83"/>
        <item x="85"/>
        <item x="84"/>
        <item x="80"/>
        <item h="1" x="53"/>
        <item x="79"/>
        <item x="81"/>
        <item x="88"/>
        <item h="1" x="49"/>
        <item x="89"/>
        <item h="1" x="3"/>
        <item h="1" x="90"/>
        <item h="1" x="8"/>
        <item h="1" x="91"/>
        <item h="1" x="54"/>
        <item h="1" x="40"/>
        <item h="1" x="94"/>
        <item h="1" x="45"/>
        <item h="1" x="27"/>
        <item h="1" x="5"/>
        <item h="1" x="42"/>
        <item h="1" x="75"/>
        <item h="1" x="72"/>
        <item h="1" x="9"/>
        <item h="1" x="4"/>
        <item h="1" x="10"/>
        <item h="1" x="11"/>
        <item h="1" x="22"/>
        <item h="1" x="24"/>
        <item h="1" x="28"/>
        <item h="1" x="1"/>
        <item h="1" x="34"/>
        <item h="1" x="0"/>
        <item h="1" x="16"/>
        <item h="1" x="17"/>
        <item h="1" x="33"/>
        <item h="1" x="19"/>
        <item h="1" x="20"/>
        <item h="1" x="26"/>
        <item h="1" x="30"/>
        <item h="1" x="6"/>
        <item h="1" x="12"/>
        <item h="1" x="38"/>
        <item h="1" x="15"/>
        <item h="1" x="32"/>
        <item h="1" x="2"/>
        <item h="1" x="14"/>
        <item h="1" x="13"/>
        <item h="1" x="18"/>
        <item h="1" x="21"/>
        <item h="1" x="25"/>
        <item h="1" x="35"/>
        <item h="1" x="29"/>
        <item h="1" x="31"/>
        <item h="1" x="7"/>
        <item h="1" x="37"/>
        <item h="1" x="78"/>
        <item h="1" x="64"/>
        <item h="1" x="74"/>
        <item h="1" x="63"/>
        <item h="1" x="47"/>
        <item h="1" x="52"/>
        <item h="1" x="59"/>
        <item h="1" x="67"/>
        <item h="1" x="39"/>
        <item h="1" x="70"/>
        <item h="1" x="73"/>
        <item h="1" x="62"/>
        <item h="1" x="55"/>
        <item h="1" x="61"/>
        <item h="1" x="50"/>
        <item h="1" x="71"/>
        <item h="1" x="57"/>
        <item h="1" x="58"/>
        <item h="1" x="66"/>
        <item h="1" x="68"/>
        <item h="1" x="65"/>
        <item h="1" x="36"/>
      </items>
    </pivotField>
    <pivotField axis="axisCol" showAll="0" sortType="descending" defaultSubtotal="0">
      <items count="58">
        <item x="26"/>
        <item x="36"/>
        <item x="8"/>
        <item x="6"/>
        <item x="25"/>
        <item x="9"/>
        <item x="38"/>
        <item x="39"/>
        <item x="41"/>
        <item x="47"/>
        <item x="14"/>
        <item x="3"/>
        <item x="10"/>
        <item x="54"/>
        <item x="57"/>
        <item x="53"/>
        <item x="56"/>
        <item x="18"/>
        <item x="21"/>
        <item x="51"/>
        <item x="7"/>
        <item x="29"/>
        <item x="1"/>
        <item x="32"/>
        <item x="35"/>
        <item x="24"/>
        <item x="17"/>
        <item x="23"/>
        <item x="12"/>
        <item x="33"/>
        <item x="19"/>
        <item x="20"/>
        <item x="13"/>
        <item x="28"/>
        <item x="30"/>
        <item x="5"/>
        <item x="22"/>
        <item x="15"/>
        <item x="31"/>
        <item x="44"/>
        <item x="45"/>
        <item x="48"/>
        <item x="46"/>
        <item x="42"/>
        <item x="52"/>
        <item x="16"/>
        <item x="37"/>
        <item x="34"/>
        <item x="4"/>
        <item x="55"/>
        <item x="2"/>
        <item x="43"/>
        <item x="49"/>
        <item x="11"/>
        <item x="27"/>
        <item x="40"/>
        <item x="50"/>
        <item h="1"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/>
    <pivotField showAll="0"/>
    <pivotField showAll="0"/>
    <pivotField showAll="0"/>
    <pivotField showAll="0" defaultSubtotal="0"/>
    <pivotField showAll="0"/>
    <pivotField showAll="0" defaultSubtotal="0"/>
    <pivotField axis="axisPage" multipleItemSelectionAllowed="1" showAll="0" defaultSubtotal="0">
      <items count="15">
        <item h="1" x="14"/>
        <item h="1" x="0"/>
        <item h="1" x="1"/>
        <item h="1" x="2"/>
        <item h="1" x="3"/>
        <item h="1" x="4"/>
        <item h="1" x="6"/>
        <item h="1" x="7"/>
        <item h="1" x="8"/>
        <item h="1" x="9"/>
        <item h="1" x="10"/>
        <item h="1" x="11"/>
        <item x="12"/>
        <item x="13"/>
        <item h="1" x="5"/>
      </items>
    </pivotField>
  </pivotFields>
  <rowItems count="1">
    <i/>
  </rowItems>
  <colFields count="1">
    <field x="3"/>
  </colFields>
  <colItems count="16">
    <i>
      <x v="17"/>
    </i>
    <i>
      <x v="7"/>
    </i>
    <i>
      <x v="38"/>
    </i>
    <i>
      <x v="12"/>
    </i>
    <i>
      <x v="6"/>
    </i>
    <i>
      <x v="32"/>
    </i>
    <i>
      <x v="8"/>
    </i>
    <i>
      <x v="56"/>
    </i>
    <i>
      <x v="41"/>
    </i>
    <i>
      <x v="52"/>
    </i>
    <i>
      <x v="39"/>
    </i>
    <i>
      <x v="40"/>
    </i>
    <i>
      <x v="42"/>
    </i>
    <i>
      <x v="43"/>
    </i>
    <i>
      <x v="51"/>
    </i>
    <i t="grand">
      <x/>
    </i>
  </colItems>
  <pageFields count="2">
    <pageField fld="12" hier="-1"/>
    <pageField fld="2" hier="-1"/>
  </pageFields>
  <dataFields count="1">
    <dataField name="Summe von Std." fld="1" baseField="3" baseItem="6"/>
  </dataFields>
  <formats count="16">
    <format dxfId="136">
      <pivotArea dataOnly="0" labelOnly="1" outline="0" axis="axisValues" fieldPosition="0"/>
    </format>
    <format dxfId="135">
      <pivotArea grandRow="1" outline="0" collapsedLevelsAreSubtotals="1" fieldPosition="0"/>
    </format>
    <format dxfId="134">
      <pivotArea dataOnly="0" labelOnly="1" grandRow="1" outline="0" fieldPosition="0"/>
    </format>
    <format dxfId="133">
      <pivotArea grandRow="1" outline="0" collapsedLevelsAreSubtotals="1" fieldPosition="0"/>
    </format>
    <format dxfId="132">
      <pivotArea dataOnly="0" labelOnly="1" outline="0" axis="axisValues" fieldPosition="0"/>
    </format>
    <format dxfId="131">
      <pivotArea type="all" dataOnly="0" outline="0" fieldPosition="0"/>
    </format>
    <format dxfId="130">
      <pivotArea outline="0" collapsedLevelsAreSubtotals="1" fieldPosition="0"/>
    </format>
    <format dxfId="129">
      <pivotArea dataOnly="0" labelOnly="1" outline="0" axis="axisValues" fieldPosition="0"/>
    </format>
    <format dxfId="128">
      <pivotArea dataOnly="0" labelOnly="1" grandRow="1" outline="0" fieldPosition="0"/>
    </format>
    <format dxfId="127">
      <pivotArea type="all" dataOnly="0" outline="0" fieldPosition="0"/>
    </format>
    <format dxfId="126">
      <pivotArea outline="0" collapsedLevelsAreSubtotals="1" fieldPosition="0"/>
    </format>
    <format dxfId="125">
      <pivotArea dataOnly="0" labelOnly="1" outline="0" axis="axisValues" fieldPosition="0"/>
    </format>
    <format dxfId="124">
      <pivotArea dataOnly="0" labelOnly="1" grandRow="1" outline="0" fieldPosition="0"/>
    </format>
    <format dxfId="123">
      <pivotArea dataOnly="0" labelOnly="1" outline="0" axis="axisValues" fieldPosition="0"/>
    </format>
    <format dxfId="122">
      <pivotArea outline="0" collapsedLevelsAreSubtotals="1" fieldPosition="0"/>
    </format>
    <format dxfId="121">
      <pivotArea dataOnly="0" labelOnly="1" grandRow="1" outline="0" fieldPosition="0"/>
    </format>
  </formats>
  <chartFormats count="16">
    <chartFormat chart="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7"/>
          </reference>
        </references>
      </pivotArea>
    </chartFormat>
    <chartFormat chart="2" format="4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2" format="4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8"/>
          </reference>
        </references>
      </pivotArea>
    </chartFormat>
    <chartFormat chart="2" format="4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2"/>
          </reference>
        </references>
      </pivotArea>
    </chartFormat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2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6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1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2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9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0"/>
          </reference>
        </references>
      </pivotArea>
    </chartFormat>
    <chartFormat chart="2" format="5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2"/>
          </reference>
        </references>
      </pivotArea>
    </chartFormat>
    <chartFormat chart="2" format="5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3"/>
          </reference>
        </references>
      </pivotArea>
    </chartFormat>
    <chartFormat chart="2" format="5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1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Werte" updatedVersion="5" minRefreshableVersion="3" useAutoFormatting="1" itemPrintTitles="1" createdVersion="5" indent="0" outline="1" outlineData="1" multipleFieldFilters="0" chartFormat="2" fieldListSortAscending="1">
  <location ref="A4:O6" firstHeaderRow="1" firstDataRow="2" firstDataCol="1" rowPageCount="2" colPageCount="1"/>
  <pivotFields count="4">
    <pivotField dataField="1" showAll="0"/>
    <pivotField axis="axisCol" allDrilled="1" showAll="0" sortType="descending" dataSourceSort="1" defaultSubtotal="0" defaultAttributeDrillState="1">
      <items count="58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x="13"/>
        <item s="1" x="14"/>
        <item s="1" x="15"/>
        <item s="1" x="16"/>
        <item s="1" x="17"/>
        <item s="1" x="18"/>
        <item s="1" x="19"/>
        <item s="1" x="20"/>
        <item s="1" x="21"/>
        <item s="1" x="22"/>
        <item s="1" x="23"/>
        <item s="1" x="24"/>
        <item s="1" x="25"/>
        <item s="1" x="26"/>
        <item s="1" x="27"/>
        <item s="1" x="28"/>
        <item s="1" x="29"/>
        <item s="1" x="30"/>
        <item s="1" x="31"/>
        <item s="1" x="32"/>
        <item s="1" x="33"/>
        <item s="1" x="34"/>
        <item s="1" x="35"/>
        <item s="1" x="36"/>
        <item s="1" x="37"/>
        <item s="1" x="38"/>
        <item s="1" x="39"/>
        <item s="1" x="40"/>
        <item s="1" x="41"/>
        <item s="1" x="42"/>
        <item s="1" x="43"/>
        <item s="1" x="44"/>
        <item s="1" x="45"/>
        <item s="1" x="46"/>
        <item s="1" x="47"/>
        <item s="1" x="48"/>
        <item s="1" x="49"/>
        <item s="1" x="50"/>
        <item s="1" x="51"/>
        <item s="1" x="52"/>
        <item s="1" x="53"/>
        <item s="1" x="54"/>
        <item s="1" x="55"/>
        <item s="1" x="56"/>
        <item s="1" x="5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Items count="1">
    <i/>
  </rowItems>
  <colFields count="1">
    <field x="1"/>
  </colFields>
  <colItems count="14">
    <i>
      <x v="2"/>
    </i>
    <i>
      <x/>
    </i>
    <i>
      <x v="4"/>
    </i>
    <i>
      <x v="1"/>
    </i>
    <i>
      <x v="3"/>
    </i>
    <i>
      <x v="12"/>
    </i>
    <i>
      <x v="7"/>
    </i>
    <i>
      <x v="11"/>
    </i>
    <i>
      <x v="5"/>
    </i>
    <i>
      <x v="6"/>
    </i>
    <i>
      <x v="8"/>
    </i>
    <i>
      <x v="9"/>
    </i>
    <i>
      <x v="10"/>
    </i>
    <i t="grand">
      <x/>
    </i>
  </colItems>
  <pageFields count="2">
    <pageField fld="2" hier="12" name="[Tabelle3].[Jahr].&amp;[2014]" cap="2014"/>
    <pageField fld="3" hier="2" name="[Tabelle3].[cognovo Kst.Code].&amp;[CALCCM]" cap="CALCCM"/>
  </pageFields>
  <dataFields count="1">
    <dataField name="Summe von Std." fld="0" baseField="0" baseItem="0"/>
  </dataFields>
  <chartFormats count="5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</chartFormats>
  <pivotHierarchies count="16">
    <pivotHierarchy dragToData="1"/>
    <pivotHierarchy dragToData="1"/>
    <pivotHierarchy multipleItemSelectionAllowed="1" dragToData="1">
      <members count="14" level="1">
        <member name="[Tabelle3].[cognovo Kst.Code].&amp;[CALCCM]"/>
        <member name="[Tabelle3].[cognovo Kst.Code].&amp;[CALCNPA]"/>
        <member name="[Tabelle3].[cognovo Kst.Code].&amp;[CALCPHS]"/>
        <member name="[Tabelle3].[cognovo Kst.Code].&amp;[CALCRPM]"/>
        <member name="[Tabelle3].[cognovo Kst.Code].&amp;[CALCRVM]"/>
        <member name="[Tabelle3].[cognovo Kst.Code].&amp;[CALCXMM]"/>
        <member name="[Tabelle3].[cognovo Kst.Code].&amp;[CALCISSOR]"/>
        <member name="[Tabelle3].[cognovo Kst.Code].&amp;[CALCCOMMON]"/>
        <member name="[Tabelle3].[cognovo Kst.Code].&amp;[CALCDPMPSN]"/>
        <member name="[Tabelle3].[cognovo Kst.Code].&amp;[CALCPHSDIA]"/>
        <member name="[Tabelle3].[cognovo Kst.Code].&amp;[CALCPHSDOC]"/>
        <member name="[Tabelle3].[cognovo Kst.Code].&amp;[CALCPHSMED]"/>
        <member name="[Tabelle3].[cognovo Kst.Code].&amp;[CALCPHSPOS]"/>
        <member name="[Tabelle3].[cognovo Kst.Code].&amp;[CALCPHSISSOR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Tabelle3].[Jahr].&amp;[2014]"/>
        <member name="[Tabelle3].[Jahr].&amp;[2015]"/>
      </members>
    </pivotHierarchy>
    <pivotHierarchy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colHierarchiesUsage count="1">
    <colHierarchyUsage hierarchyUsage="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2015_08_ZeitErfassung+Dashboard.xlsm!Tabelle3">
        <x15:activeTabTopLevelEntity name="[Tabelle3]"/>
      </x15:pivotTableUISettings>
    </ext>
  </extLst>
</pivotTableDefinition>
</file>

<file path=xl/pivotTables/pivotTable3.xml><?xml version="1.0" encoding="utf-8"?>
<pivotTableDefinition xmlns="http://schemas.openxmlformats.org/spreadsheetml/2006/main" name="PivotTable3" cacheId="2" applyNumberFormats="0" applyBorderFormats="0" applyFontFormats="0" applyPatternFormats="0" applyAlignmentFormats="0" applyWidthHeightFormats="1" dataCaption="Werte" updatedVersion="5" minRefreshableVersion="3" useAutoFormatting="1" itemPrintTitles="1" createdVersion="5" indent="0" outline="1" outlineData="1" multipleFieldFilters="0" chartFormat="7" fieldListSortAscending="1">
  <location ref="A4:D6" firstHeaderRow="1" firstDataRow="2" firstDataCol="1" rowPageCount="2" colPageCount="1"/>
  <pivotFields count="4">
    <pivotField dataField="1" showAll="0"/>
    <pivotField axis="axisCol" allDrilled="1" showAll="0" sortType="ascending" dataSourceSort="1" defaultSubtotal="0" defaultAttributeDrillState="1">
      <items count="2">
        <item x="0"/>
        <item x="1"/>
      </items>
    </pivotField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Items count="1">
    <i/>
  </rowItems>
  <colFields count="1">
    <field x="1"/>
  </colFields>
  <colItems count="3">
    <i>
      <x/>
    </i>
    <i>
      <x v="1"/>
    </i>
    <i t="grand">
      <x/>
    </i>
  </colItems>
  <pageFields count="2">
    <pageField fld="2" hier="12" name="[Tabelle3].[Jahr].&amp;[2014]" cap="2014"/>
    <pageField fld="3" hier="2" name="[Tabelle3].[cognovo Kst.Code].&amp;[CALCADMIN]" cap="CALCADMIN"/>
  </pageFields>
  <dataFields count="1">
    <dataField name="Summe von Std." fld="0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Hierarchies count="16">
    <pivotHierarchy dragToData="1"/>
    <pivotHierarchy dragToData="1"/>
    <pivotHierarchy multipleItemSelectionAllowed="1" dragToData="1">
      <members count="2" level="1">
        <member name="[Tabelle3].[cognovo Kst.Code].&amp;[CALCADMIN]"/>
        <member name="[Tabelle3].[cognovo Kst.Code].&amp;[CALCREFAC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Tabelle3].[Jahr].&amp;[2014]"/>
        <member name="[Tabelle3].[Jahr].&amp;[2015]"/>
      </members>
    </pivotHierarchy>
    <pivotHierarchy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colHierarchiesUsage count="1">
    <colHierarchyUsage hierarchyUsage="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2015_08_ZeitErfassung+Dashboard.xlsm!Tabelle3">
        <x15:activeTabTopLevelEntity name="[Tabelle3]"/>
      </x15:pivotTableUISettings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Werte" updatedVersion="5" minRefreshableVersion="3" useAutoFormatting="1" itemPrintTitles="1" createdVersion="5" indent="0" outline="1" outlineData="1" multipleFieldFilters="0" fieldListSortAscending="1">
  <location ref="A4:F6" firstHeaderRow="1" firstDataRow="2" firstDataCol="1" rowPageCount="2" colPageCount="1"/>
  <pivotFields count="4">
    <pivotField dataField="1" showAll="0"/>
    <pivotField axis="axisCol" allDrilled="1" showAll="0" sortType="ascending" dataSourceSort="1" defaultSubtotal="0" defaultAttributeDrillState="1">
      <items count="4">
        <item x="0"/>
        <item x="1"/>
        <item x="2"/>
        <item x="3"/>
      </items>
    </pivotField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Items count="1">
    <i/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pageFields count="2">
    <pageField fld="2" hier="12" name="[Tabelle3].[Jahr].&amp;[2015]" cap="2015"/>
    <pageField fld="3" hier="2" name="[Tabelle3].[cognovo Kst.Code].&amp;[CALCDA]" cap="CALCDA"/>
  </pageFields>
  <dataFields count="1">
    <dataField name="Summe von Std." fld="0" baseField="0" baseItem="0"/>
  </dataFields>
  <pivotHierarchies count="16">
    <pivotHierarchy dragToData="1"/>
    <pivotHierarchy dragToData="1"/>
    <pivotHierarchy multipleItemSelectionAllowed="1" dragToData="1">
      <members count="4" level="1">
        <member name="[Tabelle3].[cognovo Kst.Code].&amp;[CALCDA]"/>
        <member name="[Tabelle3].[cognovo Kst.Code].&amp;[CALCDAAH]"/>
        <member name="[Tabelle3].[cognovo Kst.Code].&amp;[CALCDAWS]"/>
        <member name="[Tabelle3].[cognovo Kst.Code].&amp;[CALCDAAL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abelle3].[Jahr].&amp;[2015]"/>
      </members>
    </pivotHierarchy>
    <pivotHierarchy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colHierarchiesUsage count="1">
    <colHierarchyUsage hierarchyUsage="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2015_08_ZeitErfassung+Dashboard.xlsm!Tabelle3">
        <x15:activeTabTopLevelEntity name="[Tabelle3]"/>
      </x15:pivotTableUISettings>
    </ext>
  </extLst>
</pivotTableDefinition>
</file>

<file path=xl/tables/table1.xml><?xml version="1.0" encoding="utf-8"?>
<table xmlns="http://schemas.openxmlformats.org/spreadsheetml/2006/main" id="3" name="Tabelle3" displayName="Tabelle3" ref="B9:N146" totalsRowShown="0" headerRowDxfId="154" dataDxfId="152" headerRowBorderDxfId="153">
  <autoFilter ref="B9:N146"/>
  <tableColumns count="13">
    <tableColumn id="1" name="Datum" dataDxfId="151"/>
    <tableColumn id="2" name="Std." dataDxfId="150"/>
    <tableColumn id="3" name="cognovo Kst.Code" dataDxfId="149"/>
    <tableColumn id="4" name="cognovo Kst.Name" dataDxfId="148">
      <calculatedColumnFormula>VLOOKUP(D10,tblProjekt[#Data],2,FALSE)</calculatedColumnFormula>
    </tableColumn>
    <tableColumn id="5" name="Durchgeführte Arbeiten" dataDxfId="147"/>
    <tableColumn id="12" name="Kalkulator Tätigkeit" dataDxfId="146"/>
    <tableColumn id="6" name="Ansprechpartner" dataDxfId="145"/>
    <tableColumn id="7" name="Bemerkung" dataDxfId="144"/>
    <tableColumn id="8" name="PO Nummer" dataDxfId="143">
      <calculatedColumnFormula>VLOOKUP(D10,tblProjekt[#Data],3,FALSE)</calculatedColumnFormula>
    </tableColumn>
    <tableColumn id="9" name="Projekt" dataDxfId="142">
      <calculatedColumnFormula>VLOOKUP(D10,tblProjekt[#Data],4,FALSE)</calculatedColumnFormula>
    </tableColumn>
    <tableColumn id="10" name="Besteller" dataDxfId="141">
      <calculatedColumnFormula>VLOOKUP(D10,tblProjekt[],5,FALSE)</calculatedColumnFormula>
    </tableColumn>
    <tableColumn id="11" name="Rechnungsempfänger" dataDxfId="140">
      <calculatedColumnFormula>VLOOKUP(D10,tblProjekt[#Data],6,FALSE)</calculatedColumnFormula>
    </tableColumn>
    <tableColumn id="14" name="Jahr" dataDxfId="139">
      <calculatedColumnFormula xml:space="preserve"> YEAR(B10)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7" name="tblProjekt" displayName="tblProjekt" ref="A3:I80" totalsRowShown="0" headerRowDxfId="138">
  <autoFilter ref="A3:I80"/>
  <sortState ref="A4:I66">
    <sortCondition ref="A3:A66"/>
  </sortState>
  <tableColumns count="9">
    <tableColumn id="1" name="cognovo Kostenstelle"/>
    <tableColumn id="2" name="cognovo Kostenstellenname"/>
    <tableColumn id="3" name="PurchaseOrderNumber"/>
    <tableColumn id="6" name="Projekt"/>
    <tableColumn id="4" name="Besteller"/>
    <tableColumn id="5" name="Rechnungsempfänger"/>
    <tableColumn id="7" name="geschätzter Aufwand"/>
    <tableColumn id="8" name="Status" dataDxfId="137"/>
    <tableColumn id="9" name="Bemerkung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8" name="Tabelle8" displayName="Tabelle8" ref="A3:A22" totalsRowShown="0">
  <autoFilter ref="A3:A22"/>
  <tableColumns count="1">
    <tableColumn id="1" name="Tätigkeitsbeschreibung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4" name="Tabelle156101112131415" displayName="Tabelle156101112131415" ref="A1:H11" totalsRowShown="0" headerRowDxfId="120" dataDxfId="118" headerRowBorderDxfId="119">
  <autoFilter ref="A1:H11"/>
  <tableColumns count="8">
    <tableColumn id="1" name="Projekt Code" dataDxfId="117"/>
    <tableColumn id="2" name="Projektname" dataDxfId="116"/>
    <tableColumn id="3" name="User Story" dataDxfId="115"/>
    <tableColumn id="4" name="Besteller" dataDxfId="114"/>
    <tableColumn id="5" name="geschätzter Aufwand" dataDxfId="113"/>
    <tableColumn id="6" name="Status" dataDxfId="112"/>
    <tableColumn id="7" name="Bemerkung" dataDxfId="111"/>
    <tableColumn id="8" name="Termin" dataDxfId="110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3" name="Tabelle1561011121314" displayName="Tabelle1561011121314" ref="A1:H4" totalsRowShown="0" headerRowDxfId="109" dataDxfId="107" headerRowBorderDxfId="108">
  <autoFilter ref="A1:H4"/>
  <tableColumns count="8">
    <tableColumn id="1" name="Projekt Code" dataDxfId="106"/>
    <tableColumn id="2" name="Projektname" dataDxfId="105"/>
    <tableColumn id="3" name="User Story" dataDxfId="104"/>
    <tableColumn id="4" name="Besteller" dataDxfId="103"/>
    <tableColumn id="5" name="geschätzter Aufwand" dataDxfId="102"/>
    <tableColumn id="6" name="Status" dataDxfId="101"/>
    <tableColumn id="7" name="Bemerkung" dataDxfId="100"/>
    <tableColumn id="8" name="Termin" dataDxfId="99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2" name="Tabelle15610111213" displayName="Tabelle15610111213" ref="A1:H4" totalsRowShown="0" headerRowDxfId="98" dataDxfId="96" headerRowBorderDxfId="97">
  <autoFilter ref="A1:H4"/>
  <tableColumns count="8">
    <tableColumn id="1" name="Projekt Code" dataDxfId="95"/>
    <tableColumn id="2" name="Projektname" dataDxfId="94"/>
    <tableColumn id="3" name="User Story" dataDxfId="93"/>
    <tableColumn id="4" name="Besteller" dataDxfId="92"/>
    <tableColumn id="5" name="geschätzter Aufwand" dataDxfId="91"/>
    <tableColumn id="6" name="Status" dataDxfId="90"/>
    <tableColumn id="7" name="Bemerkung" dataDxfId="89"/>
    <tableColumn id="8" name="Termin" dataDxfId="88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1" name="Tabelle156101112" displayName="Tabelle156101112" ref="A1:H5" totalsRowShown="0" headerRowDxfId="87" dataDxfId="85" headerRowBorderDxfId="86">
  <autoFilter ref="A1:H5"/>
  <tableColumns count="8">
    <tableColumn id="1" name="Projekt Code" dataDxfId="84"/>
    <tableColumn id="2" name="Projektname" dataDxfId="83"/>
    <tableColumn id="3" name="User Story" dataDxfId="82"/>
    <tableColumn id="4" name="Besteller" dataDxfId="81"/>
    <tableColumn id="5" name="geschätzter Aufwand" dataDxfId="80"/>
    <tableColumn id="6" name="Status" dataDxfId="79"/>
    <tableColumn id="7" name="Bemerkung" dataDxfId="78"/>
    <tableColumn id="8" name="Termin" dataDxfId="77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10" name="Tabelle1561011" displayName="Tabelle1561011" ref="A1:H6" totalsRowShown="0" headerRowDxfId="76" dataDxfId="74" headerRowBorderDxfId="75">
  <autoFilter ref="A1:H6"/>
  <tableColumns count="8">
    <tableColumn id="1" name="Projekt Code" dataDxfId="73"/>
    <tableColumn id="2" name="Projektname" dataDxfId="72"/>
    <tableColumn id="3" name="User Story" dataDxfId="71"/>
    <tableColumn id="4" name="Besteller" dataDxfId="70"/>
    <tableColumn id="5" name="geschätzter Aufwand" dataDxfId="69"/>
    <tableColumn id="6" name="Status" dataDxfId="68"/>
    <tableColumn id="7" name="Bemerkung" dataDxfId="67"/>
    <tableColumn id="8" name="Termin" dataDxfId="66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9" name="Tabelle15610" displayName="Tabelle15610" ref="A1:H9" totalsRowShown="0" headerRowDxfId="65" dataDxfId="63" headerRowBorderDxfId="64">
  <autoFilter ref="A1:H9"/>
  <tableColumns count="8">
    <tableColumn id="1" name="Projekt Code" dataDxfId="62"/>
    <tableColumn id="2" name="Projektname" dataDxfId="61"/>
    <tableColumn id="3" name="User Story" dataDxfId="60"/>
    <tableColumn id="4" name="Besteller" dataDxfId="59"/>
    <tableColumn id="5" name="geschätzter Aufwand" dataDxfId="58"/>
    <tableColumn id="6" name="Status" dataDxfId="57"/>
    <tableColumn id="7" name="Bemerkung" dataDxfId="56"/>
    <tableColumn id="8" name="Termin" dataDxfId="55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5" name="Tabelle156" displayName="Tabelle156" ref="A1:H8" totalsRowShown="0" headerRowDxfId="54" dataDxfId="52" headerRowBorderDxfId="53">
  <autoFilter ref="A1:H8"/>
  <tableColumns count="8">
    <tableColumn id="1" name="Projekt Code" dataDxfId="51"/>
    <tableColumn id="2" name="Projektname" dataDxfId="50"/>
    <tableColumn id="3" name="User Story" dataDxfId="49"/>
    <tableColumn id="4" name="Besteller" dataDxfId="48"/>
    <tableColumn id="5" name="geschätzter Aufwand" dataDxfId="47"/>
    <tableColumn id="6" name="Status" dataDxfId="46"/>
    <tableColumn id="7" name="Bemerkung" dataDxfId="45"/>
    <tableColumn id="8" name="Termin" dataDxfId="44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6" name="Tabelle1567" displayName="Tabelle1567" ref="A1:H3" totalsRowShown="0" headerRowDxfId="43" dataDxfId="41" headerRowBorderDxfId="42">
  <autoFilter ref="A1:H3"/>
  <tableColumns count="8">
    <tableColumn id="1" name="Projekt Code" dataDxfId="40"/>
    <tableColumn id="2" name="Projektname" dataDxfId="39"/>
    <tableColumn id="3" name="User Story" dataDxfId="38"/>
    <tableColumn id="4" name="Besteller" dataDxfId="37"/>
    <tableColumn id="5" name="geschätzter Aufwand" dataDxfId="36"/>
    <tableColumn id="6" name="Status" dataDxfId="35"/>
    <tableColumn id="7" name="Bemerkung" dataDxfId="34"/>
    <tableColumn id="8" name="Termin" dataDxfId="33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4" name="Tabelle15" displayName="Tabelle15" ref="A1:H13" totalsRowShown="0" headerRowDxfId="32" dataDxfId="30" headerRowBorderDxfId="31">
  <autoFilter ref="A1:H13"/>
  <tableColumns count="8">
    <tableColumn id="1" name="Projekt Code" dataDxfId="29"/>
    <tableColumn id="2" name="Projektname" dataDxfId="28"/>
    <tableColumn id="3" name="User Story" dataDxfId="27"/>
    <tableColumn id="4" name="Besteller" dataDxfId="26"/>
    <tableColumn id="5" name="geschätzter Aufwand" dataDxfId="25"/>
    <tableColumn id="6" name="Status" dataDxfId="24"/>
    <tableColumn id="7" name="Bemerkung" dataDxfId="23"/>
    <tableColumn id="8" name="Termin" dataDxfId="22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" name="Tabelle1" displayName="Tabelle1" ref="A1:H24" totalsRowShown="0" headerRowDxfId="21" dataDxfId="19" headerRowBorderDxfId="20">
  <autoFilter ref="A1:H24"/>
  <tableColumns count="8">
    <tableColumn id="1" name="Projekt Code" dataDxfId="18"/>
    <tableColumn id="2" name="Projektname" dataDxfId="17"/>
    <tableColumn id="3" name="User Story" dataDxfId="16"/>
    <tableColumn id="4" name="Besteller" dataDxfId="15"/>
    <tableColumn id="5" name="geschätzter Aufwand" dataDxfId="14"/>
    <tableColumn id="6" name="Status" dataDxfId="13"/>
    <tableColumn id="7" name="Bemerkung" dataDxfId="12"/>
    <tableColumn id="8" name="Termin" dataDxfId="11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2" name="Tabelle13" displayName="Tabelle13" ref="A1:H21" totalsRowShown="0" headerRowDxfId="10" dataDxfId="8" headerRowBorderDxfId="9">
  <autoFilter ref="A1:H21"/>
  <tableColumns count="8">
    <tableColumn id="1" name="Projekt Code" dataDxfId="7"/>
    <tableColumn id="2" name="Projektname" dataDxfId="6"/>
    <tableColumn id="3" name="User Story" dataDxfId="5"/>
    <tableColumn id="4" name="Besteller" dataDxfId="4"/>
    <tableColumn id="5" name="geschätzter Aufwand" dataDxfId="3"/>
    <tableColumn id="6" name="Status" dataDxfId="2"/>
    <tableColumn id="7" name="Bemerkung" dataDxfId="1"/>
    <tableColumn id="8" name="Termin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 filterMode="1">
    <pageSetUpPr fitToPage="1"/>
  </sheetPr>
  <dimension ref="A1:U148"/>
  <sheetViews>
    <sheetView showGridLines="0" tabSelected="1" zoomScale="125" zoomScaleNormal="125" zoomScalePageLayoutView="125" workbookViewId="0">
      <pane ySplit="9" topLeftCell="A10" activePane="bottomLeft" state="frozen"/>
      <selection pane="bottomLeft" activeCell="C142" sqref="C142"/>
    </sheetView>
  </sheetViews>
  <sheetFormatPr baseColWidth="10" defaultRowHeight="12.75"/>
  <cols>
    <col min="1" max="1" width="3.28515625" customWidth="1"/>
    <col min="2" max="2" width="15.140625" bestFit="1" customWidth="1"/>
    <col min="3" max="3" width="6.42578125" customWidth="1"/>
    <col min="4" max="4" width="16.7109375" style="5" customWidth="1"/>
    <col min="5" max="5" width="26.7109375" style="5" customWidth="1"/>
    <col min="6" max="6" width="45.7109375" customWidth="1"/>
    <col min="7" max="7" width="26.7109375" customWidth="1"/>
    <col min="8" max="8" width="16.7109375" style="5" customWidth="1"/>
    <col min="9" max="9" width="26.7109375" style="5" customWidth="1"/>
    <col min="10" max="13" width="16.7109375" style="5" customWidth="1"/>
    <col min="14" max="14" width="15.28515625" customWidth="1"/>
  </cols>
  <sheetData>
    <row r="1" spans="1:21" ht="45.75" customHeight="1">
      <c r="H1" s="19"/>
      <c r="I1" s="19"/>
      <c r="J1" s="19"/>
      <c r="K1" s="19"/>
      <c r="L1" s="19"/>
      <c r="M1" s="19"/>
      <c r="N1" s="21"/>
      <c r="O1" s="21"/>
      <c r="P1" s="21"/>
    </row>
    <row r="2" spans="1:21" ht="51.75" customHeight="1">
      <c r="B2" s="17"/>
      <c r="C2" s="18"/>
      <c r="D2" s="20"/>
      <c r="E2" s="18"/>
      <c r="F2" s="18"/>
      <c r="G2" s="18"/>
      <c r="O2" s="14" t="s">
        <v>98</v>
      </c>
    </row>
    <row r="3" spans="1:21" ht="49.5" customHeight="1">
      <c r="B3" s="17"/>
      <c r="C3" s="18"/>
      <c r="D3" s="100" t="s">
        <v>93</v>
      </c>
      <c r="E3" s="100"/>
      <c r="F3" s="100"/>
      <c r="G3" s="66"/>
    </row>
    <row r="4" spans="1:21" ht="14.25" customHeight="1">
      <c r="B4" s="99" t="s">
        <v>100</v>
      </c>
      <c r="C4" s="99"/>
      <c r="D4" s="27" t="s">
        <v>4</v>
      </c>
      <c r="E4" s="26"/>
      <c r="F4" s="26" t="s">
        <v>99</v>
      </c>
      <c r="G4" s="26"/>
      <c r="H4" s="28">
        <v>42370</v>
      </c>
      <c r="L4" s="22" t="s">
        <v>98</v>
      </c>
    </row>
    <row r="5" spans="1:21" ht="15" customHeight="1">
      <c r="B5" s="24" t="s">
        <v>3</v>
      </c>
      <c r="C5" s="23"/>
      <c r="D5" s="101" t="s">
        <v>96</v>
      </c>
      <c r="E5" s="101"/>
      <c r="F5" s="26" t="s">
        <v>101</v>
      </c>
      <c r="G5" s="26"/>
      <c r="H5" s="29">
        <f>SUM(C81:C146)</f>
        <v>139.5</v>
      </c>
    </row>
    <row r="6" spans="1:21" ht="18.75" customHeight="1">
      <c r="B6" s="24"/>
      <c r="C6" s="23"/>
      <c r="D6" s="23"/>
      <c r="E6" s="23"/>
      <c r="F6" s="25"/>
      <c r="G6" s="25"/>
      <c r="H6" s="30"/>
    </row>
    <row r="7" spans="1:21" ht="18.75" customHeight="1">
      <c r="B7" s="15"/>
      <c r="C7" s="15"/>
      <c r="D7" s="16"/>
      <c r="E7" s="16"/>
      <c r="F7" s="16"/>
      <c r="G7" s="16"/>
    </row>
    <row r="8" spans="1:21">
      <c r="B8" s="1"/>
    </row>
    <row r="9" spans="1:21" ht="20.25" customHeight="1" thickBot="1">
      <c r="A9" s="10"/>
      <c r="B9" s="32" t="s">
        <v>1</v>
      </c>
      <c r="C9" s="32" t="s">
        <v>97</v>
      </c>
      <c r="D9" s="32" t="s">
        <v>188</v>
      </c>
      <c r="E9" s="32" t="s">
        <v>189</v>
      </c>
      <c r="F9" s="32" t="s">
        <v>2</v>
      </c>
      <c r="G9" s="32" t="s">
        <v>234</v>
      </c>
      <c r="H9" s="32" t="s">
        <v>5</v>
      </c>
      <c r="I9" s="32" t="s">
        <v>23</v>
      </c>
      <c r="J9" s="32" t="s">
        <v>31</v>
      </c>
      <c r="K9" s="32" t="s">
        <v>184</v>
      </c>
      <c r="L9" s="32" t="s">
        <v>11</v>
      </c>
      <c r="M9" s="32" t="s">
        <v>22</v>
      </c>
      <c r="N9" s="84" t="s">
        <v>307</v>
      </c>
      <c r="O9" s="10"/>
      <c r="P9" s="10"/>
      <c r="Q9" s="10"/>
      <c r="R9" s="10"/>
      <c r="S9" s="10"/>
      <c r="T9" s="10"/>
      <c r="U9" s="10"/>
    </row>
    <row r="10" spans="1:21" ht="12.75" customHeight="1">
      <c r="B10" s="96">
        <v>42339</v>
      </c>
      <c r="C10" s="92">
        <v>8</v>
      </c>
      <c r="D10" s="92" t="s">
        <v>81</v>
      </c>
      <c r="E10" s="83" t="str">
        <f>VLOOKUP(D10,tblProjekt[#Data],2,FALSE)</f>
        <v>Stada reports</v>
      </c>
      <c r="F10" s="31" t="s">
        <v>357</v>
      </c>
      <c r="G10" s="83"/>
      <c r="H10" s="31" t="s">
        <v>359</v>
      </c>
      <c r="I10" s="92" t="s">
        <v>358</v>
      </c>
      <c r="J10" s="83" t="str">
        <f>VLOOKUP(D10,tblProjekt[#Data],3,FALSE)</f>
        <v>4300074434</v>
      </c>
      <c r="K10" s="83" t="str">
        <f>VLOOKUP(D10,tblProjekt[#Data],4,FALSE)</f>
        <v>Taunus</v>
      </c>
      <c r="L10" s="92" t="str">
        <f>VLOOKUP(D10,tblProjekt[],5,FALSE)</f>
        <v>Julia Propp</v>
      </c>
      <c r="M10" s="83" t="str">
        <f>VLOOKUP(D10,tblProjekt[#Data],6,FALSE)</f>
        <v>Roland Borchard</v>
      </c>
      <c r="N10" s="83">
        <f t="shared" ref="N10:N11" si="0" xml:space="preserve"> YEAR(B10)</f>
        <v>2015</v>
      </c>
    </row>
    <row r="11" spans="1:21" ht="12.75" customHeight="1">
      <c r="B11" s="96">
        <v>42340</v>
      </c>
      <c r="C11" s="92">
        <v>2</v>
      </c>
      <c r="D11" s="92" t="s">
        <v>65</v>
      </c>
      <c r="E11" s="83" t="str">
        <f>VLOOKUP(D11,tblProjekt[#Data],2,FALSE)</f>
        <v>DPMPSN Calculator</v>
      </c>
      <c r="F11" s="31" t="s">
        <v>421</v>
      </c>
      <c r="G11" s="83" t="s">
        <v>258</v>
      </c>
      <c r="H11" s="31" t="s">
        <v>8</v>
      </c>
      <c r="I11" s="92" t="s">
        <v>369</v>
      </c>
      <c r="J11" s="83" t="str">
        <f>VLOOKUP(D11,tblProjekt[#Data],3,FALSE)</f>
        <v>4300075042</v>
      </c>
      <c r="K11" s="83" t="str">
        <f>VLOOKUP(D11,tblProjekt[#Data],4,FALSE)</f>
        <v>Cost Calculator National</v>
      </c>
      <c r="L11" s="92" t="str">
        <f>VLOOKUP(D11,tblProjekt[],5,FALSE)</f>
        <v xml:space="preserve">Marlen Pechstein </v>
      </c>
      <c r="M11" s="83" t="str">
        <f>VLOOKUP(D11,tblProjekt[#Data],6,FALSE)</f>
        <v>Marlen Pechstein</v>
      </c>
      <c r="N11" s="83">
        <f t="shared" si="0"/>
        <v>2015</v>
      </c>
    </row>
    <row r="12" spans="1:21" ht="12.75" customHeight="1">
      <c r="B12" s="96">
        <v>42340</v>
      </c>
      <c r="C12" s="92">
        <v>4</v>
      </c>
      <c r="D12" s="92" t="s">
        <v>81</v>
      </c>
      <c r="E12" s="83" t="str">
        <f>VLOOKUP(D12,tblProjekt[#Data],2,FALSE)</f>
        <v>Stada reports</v>
      </c>
      <c r="F12" s="31" t="s">
        <v>357</v>
      </c>
      <c r="G12" s="83"/>
      <c r="H12" s="31" t="s">
        <v>359</v>
      </c>
      <c r="I12" s="92" t="s">
        <v>358</v>
      </c>
      <c r="J12" s="83" t="str">
        <f>VLOOKUP(D12,tblProjekt[#Data],3,FALSE)</f>
        <v>4300074434</v>
      </c>
      <c r="K12" s="83" t="str">
        <f>VLOOKUP(D12,tblProjekt[#Data],4,FALSE)</f>
        <v>Taunus</v>
      </c>
      <c r="L12" s="92" t="str">
        <f>VLOOKUP(D12,tblProjekt[],5,FALSE)</f>
        <v>Julia Propp</v>
      </c>
      <c r="M12" s="83" t="str">
        <f>VLOOKUP(D12,tblProjekt[#Data],6,FALSE)</f>
        <v>Roland Borchard</v>
      </c>
      <c r="N12" s="83">
        <f t="shared" ref="N12" si="1" xml:space="preserve"> YEAR(B12)</f>
        <v>2015</v>
      </c>
    </row>
    <row r="13" spans="1:21" ht="12.75" customHeight="1">
      <c r="B13" s="96">
        <v>42340</v>
      </c>
      <c r="C13" s="92">
        <v>2.5</v>
      </c>
      <c r="D13" s="92" t="s">
        <v>85</v>
      </c>
      <c r="E13" s="83" t="str">
        <f>VLOOKUP(D13,tblProjekt[#Data],2,FALSE)</f>
        <v>Klosterfrau Mass Market</v>
      </c>
      <c r="F13" s="31" t="s">
        <v>360</v>
      </c>
      <c r="G13" s="83"/>
      <c r="H13" s="31" t="s">
        <v>133</v>
      </c>
      <c r="I13" s="92"/>
      <c r="J13" s="83" t="str">
        <f>VLOOKUP(D13,tblProjekt[#Data],3,FALSE)</f>
        <v>4300074434</v>
      </c>
      <c r="K13" s="83" t="str">
        <f>VLOOKUP(D13,tblProjekt[#Data],4,FALSE)</f>
        <v>Taunus</v>
      </c>
      <c r="L13" s="92" t="str">
        <f>VLOOKUP(D13,tblProjekt[],5,FALSE)</f>
        <v>Alexander Crone</v>
      </c>
      <c r="M13" s="83" t="str">
        <f>VLOOKUP(D13,tblProjekt[#Data],6,FALSE)</f>
        <v>Roland Borchard</v>
      </c>
      <c r="N13" s="83">
        <f t="shared" ref="N13:N15" si="2" xml:space="preserve"> YEAR(B13)</f>
        <v>2015</v>
      </c>
    </row>
    <row r="14" spans="1:21" ht="12.75" customHeight="1">
      <c r="B14" s="96">
        <v>42341</v>
      </c>
      <c r="C14" s="92">
        <v>1</v>
      </c>
      <c r="D14" s="92" t="s">
        <v>17</v>
      </c>
      <c r="E14" s="83" t="str">
        <f>VLOOKUP(D14,tblProjekt[#Data],2,FALSE)</f>
        <v>Produktionsportal 2</v>
      </c>
      <c r="F14" s="31" t="s">
        <v>394</v>
      </c>
      <c r="G14" s="83"/>
      <c r="H14" s="31" t="s">
        <v>10</v>
      </c>
      <c r="I14" s="92"/>
      <c r="J14" s="83" t="str">
        <f>VLOOKUP(D14,tblProjekt[#Data],3,FALSE)</f>
        <v>4300074429</v>
      </c>
      <c r="K14" s="83" t="str">
        <f>VLOOKUP(D14,tblProjekt[#Data],4,FALSE)</f>
        <v>PP2</v>
      </c>
      <c r="L14" s="92" t="str">
        <f>VLOOKUP(D14,tblProjekt[],5,FALSE)</f>
        <v>Sandra Despotovic</v>
      </c>
      <c r="M14" s="83" t="str">
        <f>VLOOKUP(D14,tblProjekt[#Data],6,FALSE)</f>
        <v>Roland Borchard</v>
      </c>
      <c r="N14" s="83">
        <f t="shared" ref="N14" si="3" xml:space="preserve"> YEAR(B14)</f>
        <v>2015</v>
      </c>
    </row>
    <row r="15" spans="1:21" ht="12.75" customHeight="1">
      <c r="B15" s="96">
        <v>42342</v>
      </c>
      <c r="C15" s="92">
        <v>1</v>
      </c>
      <c r="D15" s="92" t="s">
        <v>335</v>
      </c>
      <c r="E15" s="83" t="str">
        <f>VLOOKUP(D15,tblProjekt[#Data],2,FALSE)</f>
        <v>Calculator Österreich, allgemein</v>
      </c>
      <c r="F15" s="31" t="s">
        <v>367</v>
      </c>
      <c r="G15" s="83" t="s">
        <v>127</v>
      </c>
      <c r="H15" s="31" t="s">
        <v>8</v>
      </c>
      <c r="I15" s="92"/>
      <c r="J15" s="83" t="str">
        <f>VLOOKUP(D15,tblProjekt[#Data],3,FALSE)</f>
        <v>4300071964</v>
      </c>
      <c r="K15" s="83" t="str">
        <f>VLOOKUP(D15,tblProjekt[#Data],4,FALSE)</f>
        <v>Austria Calculator</v>
      </c>
      <c r="L15" s="92" t="str">
        <f>VLOOKUP(D15,tblProjekt[],5,FALSE)</f>
        <v>Johner/Baumgartner</v>
      </c>
      <c r="M15" s="83" t="str">
        <f>VLOOKUP(D15,tblProjekt[#Data],6,FALSE)</f>
        <v>Rüdiger Johner</v>
      </c>
      <c r="N15" s="83">
        <f t="shared" si="2"/>
        <v>2015</v>
      </c>
    </row>
    <row r="16" spans="1:21" ht="12.75" customHeight="1">
      <c r="B16" s="96">
        <v>42342</v>
      </c>
      <c r="C16" s="92">
        <v>3.5</v>
      </c>
      <c r="D16" s="92" t="s">
        <v>335</v>
      </c>
      <c r="E16" s="83" t="str">
        <f>VLOOKUP(D16,tblProjekt[#Data],2,FALSE)</f>
        <v>Calculator Österreich, allgemein</v>
      </c>
      <c r="F16" s="31" t="s">
        <v>366</v>
      </c>
      <c r="G16" s="83" t="s">
        <v>334</v>
      </c>
      <c r="H16" s="31" t="s">
        <v>340</v>
      </c>
      <c r="I16" s="92"/>
      <c r="J16" s="83" t="str">
        <f>VLOOKUP(D16,tblProjekt[#Data],3,FALSE)</f>
        <v>4300071964</v>
      </c>
      <c r="K16" s="83" t="str">
        <f>VLOOKUP(D16,tblProjekt[#Data],4,FALSE)</f>
        <v>Austria Calculator</v>
      </c>
      <c r="L16" s="92" t="str">
        <f>VLOOKUP(D16,tblProjekt[],5,FALSE)</f>
        <v>Johner/Baumgartner</v>
      </c>
      <c r="M16" s="83" t="str">
        <f>VLOOKUP(D16,tblProjekt[#Data],6,FALSE)</f>
        <v>Rüdiger Johner</v>
      </c>
      <c r="N16" s="83">
        <f t="shared" ref="N16:N24" si="4" xml:space="preserve"> YEAR(B16)</f>
        <v>2015</v>
      </c>
    </row>
    <row r="17" spans="2:14" ht="12.75" customHeight="1">
      <c r="B17" s="96">
        <v>42342</v>
      </c>
      <c r="C17" s="92">
        <v>5.25</v>
      </c>
      <c r="D17" s="92" t="s">
        <v>65</v>
      </c>
      <c r="E17" s="83" t="str">
        <f>VLOOKUP(D17,tblProjekt[#Data],2,FALSE)</f>
        <v>DPMPSN Calculator</v>
      </c>
      <c r="F17" s="31" t="s">
        <v>368</v>
      </c>
      <c r="G17" s="83" t="s">
        <v>230</v>
      </c>
      <c r="H17" s="31" t="s">
        <v>8</v>
      </c>
      <c r="I17" s="92" t="s">
        <v>369</v>
      </c>
      <c r="J17" s="83" t="str">
        <f>VLOOKUP(D17,tblProjekt[#Data],3,FALSE)</f>
        <v>4300075042</v>
      </c>
      <c r="K17" s="83" t="str">
        <f>VLOOKUP(D17,tblProjekt[#Data],4,FALSE)</f>
        <v>Cost Calculator National</v>
      </c>
      <c r="L17" s="92" t="str">
        <f>VLOOKUP(D17,tblProjekt[],5,FALSE)</f>
        <v xml:space="preserve">Marlen Pechstein </v>
      </c>
      <c r="M17" s="83" t="str">
        <f>VLOOKUP(D17,tblProjekt[#Data],6,FALSE)</f>
        <v>Marlen Pechstein</v>
      </c>
      <c r="N17" s="83">
        <f t="shared" si="4"/>
        <v>2015</v>
      </c>
    </row>
    <row r="18" spans="2:14" ht="12.75" customHeight="1">
      <c r="B18" s="96">
        <v>42342</v>
      </c>
      <c r="C18" s="92">
        <v>2</v>
      </c>
      <c r="D18" s="92" t="s">
        <v>65</v>
      </c>
      <c r="E18" s="83" t="str">
        <f>VLOOKUP(D18,tblProjekt[#Data],2,FALSE)</f>
        <v>DPMPSN Calculator</v>
      </c>
      <c r="F18" s="31" t="s">
        <v>397</v>
      </c>
      <c r="G18" s="83" t="s">
        <v>127</v>
      </c>
      <c r="H18" s="31" t="s">
        <v>8</v>
      </c>
      <c r="I18" s="92" t="s">
        <v>369</v>
      </c>
      <c r="J18" s="83" t="str">
        <f>VLOOKUP(D18,tblProjekt[#Data],3,FALSE)</f>
        <v>4300075042</v>
      </c>
      <c r="K18" s="83" t="str">
        <f>VLOOKUP(D18,tblProjekt[#Data],4,FALSE)</f>
        <v>Cost Calculator National</v>
      </c>
      <c r="L18" s="92" t="str">
        <f>VLOOKUP(D18,tblProjekt[],5,FALSE)</f>
        <v xml:space="preserve">Marlen Pechstein </v>
      </c>
      <c r="M18" s="83" t="str">
        <f>VLOOKUP(D18,tblProjekt[#Data],6,FALSE)</f>
        <v>Marlen Pechstein</v>
      </c>
      <c r="N18" s="83">
        <f t="shared" ref="N18:N19" si="5" xml:space="preserve"> YEAR(B18)</f>
        <v>2015</v>
      </c>
    </row>
    <row r="19" spans="2:14" ht="12.75" customHeight="1">
      <c r="B19" s="96">
        <v>42342</v>
      </c>
      <c r="C19" s="92">
        <v>0.5</v>
      </c>
      <c r="D19" s="92" t="s">
        <v>17</v>
      </c>
      <c r="E19" s="83" t="str">
        <f>VLOOKUP(D19,tblProjekt[#Data],2,FALSE)</f>
        <v>Produktionsportal 2</v>
      </c>
      <c r="F19" s="31" t="s">
        <v>398</v>
      </c>
      <c r="G19" s="83"/>
      <c r="H19" s="31" t="s">
        <v>125</v>
      </c>
      <c r="I19" s="92"/>
      <c r="J19" s="83" t="str">
        <f>VLOOKUP(D19,tblProjekt[#Data],3,FALSE)</f>
        <v>4300074429</v>
      </c>
      <c r="K19" s="83" t="str">
        <f>VLOOKUP(D19,tblProjekt[#Data],4,FALSE)</f>
        <v>PP2</v>
      </c>
      <c r="L19" s="92" t="str">
        <f>VLOOKUP(D19,tblProjekt[],5,FALSE)</f>
        <v>Sandra Despotovic</v>
      </c>
      <c r="M19" s="83" t="str">
        <f>VLOOKUP(D19,tblProjekt[#Data],6,FALSE)</f>
        <v>Roland Borchard</v>
      </c>
      <c r="N19" s="83">
        <f t="shared" si="5"/>
        <v>2015</v>
      </c>
    </row>
    <row r="20" spans="2:14" ht="12.75" customHeight="1">
      <c r="B20" s="96">
        <v>42342</v>
      </c>
      <c r="C20" s="92">
        <v>2</v>
      </c>
      <c r="D20" s="92" t="s">
        <v>65</v>
      </c>
      <c r="E20" s="83" t="str">
        <f>VLOOKUP(D20,tblProjekt[#Data],2,FALSE)</f>
        <v>DPMPSN Calculator</v>
      </c>
      <c r="F20" s="31" t="s">
        <v>399</v>
      </c>
      <c r="G20" s="83" t="s">
        <v>230</v>
      </c>
      <c r="H20" s="31" t="s">
        <v>8</v>
      </c>
      <c r="I20" s="92" t="s">
        <v>369</v>
      </c>
      <c r="J20" s="83" t="str">
        <f>VLOOKUP(D20,tblProjekt[#Data],3,FALSE)</f>
        <v>4300075042</v>
      </c>
      <c r="K20" s="83" t="str">
        <f>VLOOKUP(D20,tblProjekt[#Data],4,FALSE)</f>
        <v>Cost Calculator National</v>
      </c>
      <c r="L20" s="92" t="str">
        <f>VLOOKUP(D20,tblProjekt[],5,FALSE)</f>
        <v xml:space="preserve">Marlen Pechstein </v>
      </c>
      <c r="M20" s="83" t="str">
        <f>VLOOKUP(D20,tblProjekt[#Data],6,FALSE)</f>
        <v>Marlen Pechstein</v>
      </c>
      <c r="N20" s="83">
        <f t="shared" ref="N20" si="6" xml:space="preserve"> YEAR(B20)</f>
        <v>2015</v>
      </c>
    </row>
    <row r="21" spans="2:14" ht="12.75" customHeight="1">
      <c r="B21" s="96">
        <v>42342</v>
      </c>
      <c r="C21" s="92">
        <v>1</v>
      </c>
      <c r="D21" s="92" t="s">
        <v>77</v>
      </c>
      <c r="E21" s="83" t="str">
        <f>VLOOKUP(D21,tblProjekt[#Data],2,FALSE)</f>
        <v>Biomedica report</v>
      </c>
      <c r="F21" s="31" t="s">
        <v>396</v>
      </c>
      <c r="G21" s="83"/>
      <c r="H21" s="31" t="s">
        <v>190</v>
      </c>
      <c r="I21" s="92" t="s">
        <v>369</v>
      </c>
      <c r="J21" s="83" t="str">
        <f>VLOOKUP(D21,tblProjekt[#Data],3,FALSE)</f>
        <v>4300074434</v>
      </c>
      <c r="K21" s="83" t="str">
        <f>VLOOKUP(D21,tblProjekt[#Data],4,FALSE)</f>
        <v>Taunus</v>
      </c>
      <c r="L21" s="92" t="str">
        <f>VLOOKUP(D21,tblProjekt[],5,FALSE)</f>
        <v>?</v>
      </c>
      <c r="M21" s="83" t="str">
        <f>VLOOKUP(D21,tblProjekt[#Data],6,FALSE)</f>
        <v>Roland Borchard</v>
      </c>
      <c r="N21" s="83">
        <f t="shared" ref="N21:N22" si="7" xml:space="preserve"> YEAR(B21)</f>
        <v>2015</v>
      </c>
    </row>
    <row r="22" spans="2:14" ht="12.75" customHeight="1">
      <c r="B22" s="96">
        <v>42342</v>
      </c>
      <c r="C22" s="92">
        <v>2</v>
      </c>
      <c r="D22" s="92" t="s">
        <v>335</v>
      </c>
      <c r="E22" s="83" t="str">
        <f>VLOOKUP(D22,tblProjekt[#Data],2,FALSE)</f>
        <v>Calculator Österreich, allgemein</v>
      </c>
      <c r="F22" s="31" t="s">
        <v>424</v>
      </c>
      <c r="G22" s="83" t="s">
        <v>259</v>
      </c>
      <c r="H22" s="31" t="s">
        <v>340</v>
      </c>
      <c r="I22" s="92"/>
      <c r="J22" s="83" t="str">
        <f>VLOOKUP(D22,tblProjekt[#Data],3,FALSE)</f>
        <v>4300071964</v>
      </c>
      <c r="K22" s="83" t="str">
        <f>VLOOKUP(D22,tblProjekt[#Data],4,FALSE)</f>
        <v>Austria Calculator</v>
      </c>
      <c r="L22" s="92" t="str">
        <f>VLOOKUP(D22,tblProjekt[],5,FALSE)</f>
        <v>Johner/Baumgartner</v>
      </c>
      <c r="M22" s="83" t="str">
        <f>VLOOKUP(D22,tblProjekt[#Data],6,FALSE)</f>
        <v>Rüdiger Johner</v>
      </c>
      <c r="N22" s="83">
        <f t="shared" si="7"/>
        <v>2015</v>
      </c>
    </row>
    <row r="23" spans="2:14" ht="12.75" customHeight="1">
      <c r="B23" s="96">
        <v>42342</v>
      </c>
      <c r="C23" s="92">
        <v>1</v>
      </c>
      <c r="D23" s="92" t="s">
        <v>85</v>
      </c>
      <c r="E23" s="83" t="str">
        <f>VLOOKUP(D23,tblProjekt[#Data],2,FALSE)</f>
        <v>Klosterfrau Mass Market</v>
      </c>
      <c r="F23" s="31" t="s">
        <v>395</v>
      </c>
      <c r="G23" s="83"/>
      <c r="H23" s="31" t="s">
        <v>133</v>
      </c>
      <c r="I23" s="92"/>
      <c r="J23" s="83" t="str">
        <f>VLOOKUP(D23,tblProjekt[#Data],3,FALSE)</f>
        <v>4300074434</v>
      </c>
      <c r="K23" s="83" t="str">
        <f>VLOOKUP(D23,tblProjekt[#Data],4,FALSE)</f>
        <v>Taunus</v>
      </c>
      <c r="L23" s="92" t="str">
        <f>VLOOKUP(D23,tblProjekt[],5,FALSE)</f>
        <v>Alexander Crone</v>
      </c>
      <c r="M23" s="83" t="str">
        <f>VLOOKUP(D23,tblProjekt[#Data],6,FALSE)</f>
        <v>Roland Borchard</v>
      </c>
      <c r="N23" s="83">
        <f t="shared" si="4"/>
        <v>2015</v>
      </c>
    </row>
    <row r="24" spans="2:14" ht="12.75" customHeight="1">
      <c r="B24" s="96">
        <v>42343</v>
      </c>
      <c r="C24" s="92">
        <v>2</v>
      </c>
      <c r="D24" s="92" t="s">
        <v>17</v>
      </c>
      <c r="E24" s="83" t="str">
        <f>VLOOKUP(D24,tblProjekt[#Data],2,FALSE)</f>
        <v>Produktionsportal 2</v>
      </c>
      <c r="F24" s="31" t="s">
        <v>400</v>
      </c>
      <c r="G24" s="83"/>
      <c r="H24" s="31" t="s">
        <v>10</v>
      </c>
      <c r="I24" s="92"/>
      <c r="J24" s="83" t="str">
        <f>VLOOKUP(D24,tblProjekt[#Data],3,FALSE)</f>
        <v>4300074429</v>
      </c>
      <c r="K24" s="83" t="str">
        <f>VLOOKUP(D24,tblProjekt[#Data],4,FALSE)</f>
        <v>PP2</v>
      </c>
      <c r="L24" s="92" t="str">
        <f>VLOOKUP(D24,tblProjekt[],5,FALSE)</f>
        <v>Sandra Despotovic</v>
      </c>
      <c r="M24" s="83" t="str">
        <f>VLOOKUP(D24,tblProjekt[#Data],6,FALSE)</f>
        <v>Roland Borchard</v>
      </c>
      <c r="N24" s="83">
        <f t="shared" si="4"/>
        <v>2015</v>
      </c>
    </row>
    <row r="25" spans="2:14" ht="12.75" customHeight="1">
      <c r="B25" s="96">
        <v>42343</v>
      </c>
      <c r="C25" s="92">
        <v>1</v>
      </c>
      <c r="D25" s="92" t="s">
        <v>338</v>
      </c>
      <c r="E25" s="83" t="str">
        <f>VLOOKUP(D25,tblProjekt[#Data],2,FALSE)</f>
        <v>Produktionsportal 3</v>
      </c>
      <c r="F25" s="31" t="s">
        <v>372</v>
      </c>
      <c r="G25" s="83"/>
      <c r="H25" s="31" t="s">
        <v>10</v>
      </c>
      <c r="I25" s="92"/>
      <c r="J25" s="83" t="str">
        <f>VLOOKUP(D25,tblProjekt[#Data],3,FALSE)</f>
        <v>4300074429</v>
      </c>
      <c r="K25" s="83" t="str">
        <f>VLOOKUP(D25,tblProjekt[#Data],4,FALSE)</f>
        <v>PP3</v>
      </c>
      <c r="L25" s="92" t="str">
        <f>VLOOKUP(D25,tblProjekt[],5,FALSE)</f>
        <v>Sandra Despotovic</v>
      </c>
      <c r="M25" s="83" t="str">
        <f>VLOOKUP(D25,tblProjekt[#Data],6,FALSE)</f>
        <v>Roland Borchard</v>
      </c>
      <c r="N25" s="83">
        <f t="shared" ref="N25" si="8" xml:space="preserve"> YEAR(B25)</f>
        <v>2015</v>
      </c>
    </row>
    <row r="26" spans="2:14" ht="12.75" customHeight="1">
      <c r="B26" s="96">
        <v>42345</v>
      </c>
      <c r="C26" s="92">
        <v>3</v>
      </c>
      <c r="D26" s="92" t="s">
        <v>65</v>
      </c>
      <c r="E26" s="83" t="str">
        <f>VLOOKUP(D26,tblProjekt[#Data],2,FALSE)</f>
        <v>DPMPSN Calculator</v>
      </c>
      <c r="F26" s="31" t="s">
        <v>365</v>
      </c>
      <c r="G26" s="83" t="s">
        <v>231</v>
      </c>
      <c r="H26" s="31" t="s">
        <v>8</v>
      </c>
      <c r="I26" s="92"/>
      <c r="J26" s="83" t="str">
        <f>VLOOKUP(D26,tblProjekt[#Data],3,FALSE)</f>
        <v>4300075042</v>
      </c>
      <c r="K26" s="83" t="str">
        <f>VLOOKUP(D26,tblProjekt[#Data],4,FALSE)</f>
        <v>Cost Calculator National</v>
      </c>
      <c r="L26" s="92" t="str">
        <f>VLOOKUP(D26,tblProjekt[],5,FALSE)</f>
        <v xml:space="preserve">Marlen Pechstein </v>
      </c>
      <c r="M26" s="83" t="str">
        <f>VLOOKUP(D26,tblProjekt[#Data],6,FALSE)</f>
        <v>Marlen Pechstein</v>
      </c>
      <c r="N26" s="83">
        <f t="shared" ref="N26:N30" si="9" xml:space="preserve"> YEAR(B26)</f>
        <v>2015</v>
      </c>
    </row>
    <row r="27" spans="2:14" ht="12.75" customHeight="1">
      <c r="B27" s="96">
        <v>42345</v>
      </c>
      <c r="C27" s="92">
        <v>4</v>
      </c>
      <c r="D27" s="92" t="s">
        <v>356</v>
      </c>
      <c r="E27" s="83" t="str">
        <f>VLOOKUP(D27,tblProjekt[#Data],2,FALSE)</f>
        <v>Novartis Nordisk Cockpit</v>
      </c>
      <c r="F27" s="31" t="s">
        <v>374</v>
      </c>
      <c r="G27" s="83"/>
      <c r="H27" s="31" t="s">
        <v>126</v>
      </c>
      <c r="I27" s="92" t="s">
        <v>375</v>
      </c>
      <c r="J27" s="83" t="str">
        <f>VLOOKUP(D27,tblProjekt[#Data],3,FALSE)</f>
        <v>4300074409</v>
      </c>
      <c r="K27" s="83" t="str">
        <f>VLOOKUP(D27,tblProjekt[#Data],4,FALSE)</f>
        <v>Novo Nordisk Dashboard Cockpit</v>
      </c>
      <c r="L27" s="92" t="str">
        <f>VLOOKUP(D27,tblProjekt[],5,FALSE)</f>
        <v>Andreas Horst</v>
      </c>
      <c r="M27" s="76" t="s">
        <v>348</v>
      </c>
      <c r="N27" s="83">
        <f t="shared" si="9"/>
        <v>2015</v>
      </c>
    </row>
    <row r="28" spans="2:14" ht="12.75" customHeight="1">
      <c r="B28" s="96">
        <v>42346</v>
      </c>
      <c r="C28" s="92">
        <v>4</v>
      </c>
      <c r="D28" s="92" t="s">
        <v>338</v>
      </c>
      <c r="E28" s="83" t="str">
        <f>VLOOKUP(D28,tblProjekt[#Data],2,FALSE)</f>
        <v>Produktionsportal 3</v>
      </c>
      <c r="F28" s="31" t="s">
        <v>372</v>
      </c>
      <c r="G28" s="83"/>
      <c r="H28" s="31" t="s">
        <v>10</v>
      </c>
      <c r="I28" s="92"/>
      <c r="J28" s="83" t="str">
        <f>VLOOKUP(D28,tblProjekt[#Data],3,FALSE)</f>
        <v>4300074429</v>
      </c>
      <c r="K28" s="83" t="str">
        <f>VLOOKUP(D28,tblProjekt[#Data],4,FALSE)</f>
        <v>PP3</v>
      </c>
      <c r="L28" s="92" t="str">
        <f>VLOOKUP(D28,tblProjekt[],5,FALSE)</f>
        <v>Sandra Despotovic</v>
      </c>
      <c r="M28" s="83" t="str">
        <f>VLOOKUP(D28,tblProjekt[#Data],6,FALSE)</f>
        <v>Roland Borchard</v>
      </c>
      <c r="N28" s="83">
        <f t="shared" si="9"/>
        <v>2015</v>
      </c>
    </row>
    <row r="29" spans="2:14" ht="12.75" customHeight="1">
      <c r="B29" s="96">
        <v>42347</v>
      </c>
      <c r="C29" s="92">
        <v>4</v>
      </c>
      <c r="D29" s="92" t="s">
        <v>335</v>
      </c>
      <c r="E29" s="83" t="str">
        <f>VLOOKUP(D29,tblProjekt[#Data],2,FALSE)</f>
        <v>Calculator Österreich, allgemein</v>
      </c>
      <c r="F29" s="31" t="s">
        <v>424</v>
      </c>
      <c r="G29" s="83" t="s">
        <v>259</v>
      </c>
      <c r="H29" s="31" t="s">
        <v>340</v>
      </c>
      <c r="I29" s="92"/>
      <c r="J29" s="83" t="str">
        <f>VLOOKUP(D29,tblProjekt[#Data],3,FALSE)</f>
        <v>4300071964</v>
      </c>
      <c r="K29" s="83" t="str">
        <f>VLOOKUP(D29,tblProjekt[#Data],4,FALSE)</f>
        <v>Austria Calculator</v>
      </c>
      <c r="L29" s="92" t="str">
        <f>VLOOKUP(D29,tblProjekt[],5,FALSE)</f>
        <v>Johner/Baumgartner</v>
      </c>
      <c r="M29" s="83" t="str">
        <f>VLOOKUP(D29,tblProjekt[#Data],6,FALSE)</f>
        <v>Rüdiger Johner</v>
      </c>
      <c r="N29" s="83">
        <f t="shared" si="9"/>
        <v>2015</v>
      </c>
    </row>
    <row r="30" spans="2:14" ht="12.75" customHeight="1">
      <c r="B30" s="96">
        <v>42347</v>
      </c>
      <c r="C30" s="92">
        <v>0.5</v>
      </c>
      <c r="D30" s="92" t="s">
        <v>77</v>
      </c>
      <c r="E30" s="83" t="str">
        <f>VLOOKUP(D30,tblProjekt[#Data],2,FALSE)</f>
        <v>Biomedica report</v>
      </c>
      <c r="F30" s="31" t="s">
        <v>402</v>
      </c>
      <c r="G30" s="83"/>
      <c r="H30" s="31" t="s">
        <v>401</v>
      </c>
      <c r="I30" s="92"/>
      <c r="J30" s="83" t="str">
        <f>VLOOKUP(D30,tblProjekt[#Data],3,FALSE)</f>
        <v>4300074434</v>
      </c>
      <c r="K30" s="83" t="str">
        <f>VLOOKUP(D30,tblProjekt[#Data],4,FALSE)</f>
        <v>Taunus</v>
      </c>
      <c r="L30" s="92" t="str">
        <f>VLOOKUP(D30,tblProjekt[],5,FALSE)</f>
        <v>?</v>
      </c>
      <c r="M30" s="83" t="str">
        <f>VLOOKUP(D30,tblProjekt[#Data],6,FALSE)</f>
        <v>Roland Borchard</v>
      </c>
      <c r="N30" s="83">
        <f t="shared" si="9"/>
        <v>2015</v>
      </c>
    </row>
    <row r="31" spans="2:14" ht="12.75" customHeight="1">
      <c r="B31" s="96">
        <v>42347</v>
      </c>
      <c r="C31" s="92">
        <v>1</v>
      </c>
      <c r="D31" s="92" t="s">
        <v>338</v>
      </c>
      <c r="E31" s="83" t="str">
        <f>VLOOKUP(D31,tblProjekt[#Data],2,FALSE)</f>
        <v>Produktionsportal 3</v>
      </c>
      <c r="F31" s="31" t="s">
        <v>370</v>
      </c>
      <c r="G31" s="83"/>
      <c r="H31" s="31" t="s">
        <v>130</v>
      </c>
      <c r="I31" s="92"/>
      <c r="J31" s="83" t="str">
        <f>VLOOKUP(D31,tblProjekt[#Data],3,FALSE)</f>
        <v>4300074429</v>
      </c>
      <c r="K31" s="83" t="str">
        <f>VLOOKUP(D31,tblProjekt[#Data],4,FALSE)</f>
        <v>PP3</v>
      </c>
      <c r="L31" s="92" t="str">
        <f>VLOOKUP(D31,tblProjekt[],5,FALSE)</f>
        <v>Sandra Despotovic</v>
      </c>
      <c r="M31" s="83" t="str">
        <f>VLOOKUP(D31,tblProjekt[#Data],6,FALSE)</f>
        <v>Roland Borchard</v>
      </c>
      <c r="N31" s="83">
        <f t="shared" ref="N31:N33" si="10" xml:space="preserve"> YEAR(B31)</f>
        <v>2015</v>
      </c>
    </row>
    <row r="32" spans="2:14" ht="12.75" customHeight="1">
      <c r="B32" s="96">
        <v>42347</v>
      </c>
      <c r="C32" s="92">
        <v>4</v>
      </c>
      <c r="D32" s="92" t="s">
        <v>356</v>
      </c>
      <c r="E32" s="83" t="str">
        <f>VLOOKUP(D32,tblProjekt[#Data],2,FALSE)</f>
        <v>Novartis Nordisk Cockpit</v>
      </c>
      <c r="F32" s="31" t="s">
        <v>373</v>
      </c>
      <c r="G32" s="83"/>
      <c r="H32" s="31" t="s">
        <v>126</v>
      </c>
      <c r="I32" s="92" t="s">
        <v>375</v>
      </c>
      <c r="J32" s="83" t="str">
        <f>VLOOKUP(D32,tblProjekt[#Data],3,FALSE)</f>
        <v>4300074409</v>
      </c>
      <c r="K32" s="83" t="str">
        <f>VLOOKUP(D32,tblProjekt[#Data],4,FALSE)</f>
        <v>Novo Nordisk Dashboard Cockpit</v>
      </c>
      <c r="L32" s="92" t="str">
        <f>VLOOKUP(D32,tblProjekt[],5,FALSE)</f>
        <v>Andreas Horst</v>
      </c>
      <c r="M32" s="76" t="s">
        <v>348</v>
      </c>
      <c r="N32" s="83">
        <f t="shared" si="10"/>
        <v>2015</v>
      </c>
    </row>
    <row r="33" spans="2:14" ht="12.75" customHeight="1">
      <c r="B33" s="96">
        <v>42347</v>
      </c>
      <c r="C33" s="92">
        <v>0.5</v>
      </c>
      <c r="D33" s="92" t="s">
        <v>335</v>
      </c>
      <c r="E33" s="83" t="str">
        <f>VLOOKUP(D33,tblProjekt[#Data],2,FALSE)</f>
        <v>Calculator Österreich, allgemein</v>
      </c>
      <c r="F33" s="31" t="s">
        <v>403</v>
      </c>
      <c r="G33" s="83" t="s">
        <v>362</v>
      </c>
      <c r="H33" s="31" t="s">
        <v>340</v>
      </c>
      <c r="I33" s="92"/>
      <c r="J33" s="83" t="str">
        <f>VLOOKUP(D33,tblProjekt[#Data],3,FALSE)</f>
        <v>4300071964</v>
      </c>
      <c r="K33" s="83" t="str">
        <f>VLOOKUP(D33,tblProjekt[#Data],4,FALSE)</f>
        <v>Austria Calculator</v>
      </c>
      <c r="L33" s="92" t="str">
        <f>VLOOKUP(D33,tblProjekt[],5,FALSE)</f>
        <v>Johner/Baumgartner</v>
      </c>
      <c r="M33" s="83" t="str">
        <f>VLOOKUP(D33,tblProjekt[#Data],6,FALSE)</f>
        <v>Rüdiger Johner</v>
      </c>
      <c r="N33" s="83">
        <f t="shared" si="10"/>
        <v>2015</v>
      </c>
    </row>
    <row r="34" spans="2:14" ht="12.75" customHeight="1">
      <c r="B34" s="96">
        <v>42347</v>
      </c>
      <c r="C34" s="92">
        <v>6</v>
      </c>
      <c r="D34" s="92" t="s">
        <v>356</v>
      </c>
      <c r="E34" s="83" t="str">
        <f>VLOOKUP(D34,tblProjekt[#Data],2,FALSE)</f>
        <v>Novartis Nordisk Cockpit</v>
      </c>
      <c r="F34" s="31" t="s">
        <v>376</v>
      </c>
      <c r="G34" s="83"/>
      <c r="H34" s="31" t="s">
        <v>126</v>
      </c>
      <c r="I34" s="92" t="s">
        <v>377</v>
      </c>
      <c r="J34" s="83" t="str">
        <f>VLOOKUP(D34,tblProjekt[#Data],3,FALSE)</f>
        <v>4300074409</v>
      </c>
      <c r="K34" s="83" t="str">
        <f>VLOOKUP(D34,tblProjekt[#Data],4,FALSE)</f>
        <v>Novo Nordisk Dashboard Cockpit</v>
      </c>
      <c r="L34" s="92" t="str">
        <f>VLOOKUP(D34,tblProjekt[],5,FALSE)</f>
        <v>Andreas Horst</v>
      </c>
      <c r="M34" s="76" t="s">
        <v>348</v>
      </c>
      <c r="N34" s="83">
        <f t="shared" ref="N34:N35" si="11" xml:space="preserve"> YEAR(B34)</f>
        <v>2015</v>
      </c>
    </row>
    <row r="35" spans="2:14" ht="12.75" customHeight="1">
      <c r="B35" s="96">
        <v>42347</v>
      </c>
      <c r="C35" s="92">
        <v>2.5</v>
      </c>
      <c r="D35" s="92" t="s">
        <v>17</v>
      </c>
      <c r="E35" s="83" t="str">
        <f>VLOOKUP(D35,tblProjekt[#Data],2,FALSE)</f>
        <v>Produktionsportal 2</v>
      </c>
      <c r="F35" s="31" t="s">
        <v>404</v>
      </c>
      <c r="G35" s="83"/>
      <c r="H35" s="31" t="s">
        <v>10</v>
      </c>
      <c r="I35" s="92"/>
      <c r="J35" s="83" t="str">
        <f>VLOOKUP(D35,tblProjekt[#Data],3,FALSE)</f>
        <v>4300074429</v>
      </c>
      <c r="K35" s="83" t="str">
        <f>VLOOKUP(D35,tblProjekt[#Data],4,FALSE)</f>
        <v>PP2</v>
      </c>
      <c r="L35" s="92" t="str">
        <f>VLOOKUP(D35,tblProjekt[],5,FALSE)</f>
        <v>Sandra Despotovic</v>
      </c>
      <c r="M35" s="83" t="str">
        <f>VLOOKUP(D35,tblProjekt[#Data],6,FALSE)</f>
        <v>Roland Borchard</v>
      </c>
      <c r="N35" s="83">
        <f t="shared" si="11"/>
        <v>2015</v>
      </c>
    </row>
    <row r="36" spans="2:14" ht="12.75" customHeight="1">
      <c r="B36" s="96">
        <v>42347</v>
      </c>
      <c r="C36" s="92">
        <v>2.5</v>
      </c>
      <c r="D36" s="92" t="s">
        <v>17</v>
      </c>
      <c r="E36" s="83" t="str">
        <f>VLOOKUP(D36,tblProjekt[#Data],2,FALSE)</f>
        <v>Produktionsportal 2</v>
      </c>
      <c r="F36" s="31" t="s">
        <v>405</v>
      </c>
      <c r="G36" s="83"/>
      <c r="H36" s="31" t="s">
        <v>10</v>
      </c>
      <c r="I36" s="92" t="s">
        <v>406</v>
      </c>
      <c r="J36" s="83" t="str">
        <f>VLOOKUP(D36,tblProjekt[#Data],3,FALSE)</f>
        <v>4300074429</v>
      </c>
      <c r="K36" s="83" t="str">
        <f>VLOOKUP(D36,tblProjekt[#Data],4,FALSE)</f>
        <v>PP2</v>
      </c>
      <c r="L36" s="92" t="str">
        <f>VLOOKUP(D36,tblProjekt[],5,FALSE)</f>
        <v>Sandra Despotovic</v>
      </c>
      <c r="M36" s="83" t="str">
        <f>VLOOKUP(D36,tblProjekt[#Data],6,FALSE)</f>
        <v>Roland Borchard</v>
      </c>
      <c r="N36" s="83">
        <f t="shared" ref="N36:N37" si="12" xml:space="preserve"> YEAR(B36)</f>
        <v>2015</v>
      </c>
    </row>
    <row r="37" spans="2:14" ht="12.75" customHeight="1">
      <c r="B37" s="96">
        <v>42348</v>
      </c>
      <c r="C37" s="92">
        <v>2</v>
      </c>
      <c r="D37" s="92" t="s">
        <v>335</v>
      </c>
      <c r="E37" s="83" t="str">
        <f>VLOOKUP(D37,tblProjekt[#Data],2,FALSE)</f>
        <v>Calculator Österreich, allgemein</v>
      </c>
      <c r="F37" s="31" t="s">
        <v>422</v>
      </c>
      <c r="G37" s="83" t="s">
        <v>324</v>
      </c>
      <c r="H37" s="31" t="s">
        <v>340</v>
      </c>
      <c r="I37" s="92"/>
      <c r="J37" s="83" t="str">
        <f>VLOOKUP(D37,tblProjekt[#Data],3,FALSE)</f>
        <v>4300071964</v>
      </c>
      <c r="K37" s="83" t="str">
        <f>VLOOKUP(D37,tblProjekt[#Data],4,FALSE)</f>
        <v>Austria Calculator</v>
      </c>
      <c r="L37" s="92" t="str">
        <f>VLOOKUP(D37,tblProjekt[],5,FALSE)</f>
        <v>Johner/Baumgartner</v>
      </c>
      <c r="M37" s="83" t="str">
        <f>VLOOKUP(D37,tblProjekt[#Data],6,FALSE)</f>
        <v>Rüdiger Johner</v>
      </c>
      <c r="N37" s="83">
        <f t="shared" si="12"/>
        <v>2015</v>
      </c>
    </row>
    <row r="38" spans="2:14" ht="12.75" customHeight="1">
      <c r="B38" s="96">
        <v>42348</v>
      </c>
      <c r="C38" s="92">
        <v>1</v>
      </c>
      <c r="D38" s="92" t="s">
        <v>17</v>
      </c>
      <c r="E38" s="83" t="str">
        <f>VLOOKUP(D38,tblProjekt[#Data],2,FALSE)</f>
        <v>Produktionsportal 2</v>
      </c>
      <c r="F38" s="31" t="s">
        <v>371</v>
      </c>
      <c r="G38" s="83"/>
      <c r="H38" s="31" t="s">
        <v>10</v>
      </c>
      <c r="I38" s="92"/>
      <c r="J38" s="83" t="str">
        <f>VLOOKUP(D38,tblProjekt[#Data],3,FALSE)</f>
        <v>4300074429</v>
      </c>
      <c r="K38" s="83" t="str">
        <f>VLOOKUP(D38,tblProjekt[#Data],4,FALSE)</f>
        <v>PP2</v>
      </c>
      <c r="L38" s="92" t="str">
        <f>VLOOKUP(D38,tblProjekt[],5,FALSE)</f>
        <v>Sandra Despotovic</v>
      </c>
      <c r="M38" s="83" t="str">
        <f>VLOOKUP(D38,tblProjekt[#Data],6,FALSE)</f>
        <v>Roland Borchard</v>
      </c>
      <c r="N38" s="83">
        <f t="shared" ref="N38" si="13" xml:space="preserve"> YEAR(B38)</f>
        <v>2015</v>
      </c>
    </row>
    <row r="39" spans="2:14" ht="12.75" customHeight="1">
      <c r="B39" s="96">
        <v>42348</v>
      </c>
      <c r="C39" s="92">
        <v>1.5</v>
      </c>
      <c r="D39" s="92" t="s">
        <v>17</v>
      </c>
      <c r="E39" s="83" t="str">
        <f>VLOOKUP(D39,tblProjekt[#Data],2,FALSE)</f>
        <v>Produktionsportal 2</v>
      </c>
      <c r="F39" s="31" t="s">
        <v>407</v>
      </c>
      <c r="G39" s="83"/>
      <c r="H39" s="31" t="s">
        <v>10</v>
      </c>
      <c r="I39" s="92"/>
      <c r="J39" s="83" t="str">
        <f>VLOOKUP(D39,tblProjekt[#Data],3,FALSE)</f>
        <v>4300074429</v>
      </c>
      <c r="K39" s="83" t="str">
        <f>VLOOKUP(D39,tblProjekt[#Data],4,FALSE)</f>
        <v>PP2</v>
      </c>
      <c r="L39" s="92" t="str">
        <f>VLOOKUP(D39,tblProjekt[],5,FALSE)</f>
        <v>Sandra Despotovic</v>
      </c>
      <c r="M39" s="83" t="str">
        <f>VLOOKUP(D39,tblProjekt[#Data],6,FALSE)</f>
        <v>Roland Borchard</v>
      </c>
      <c r="N39" s="83">
        <f t="shared" ref="N39" si="14" xml:space="preserve"> YEAR(B39)</f>
        <v>2015</v>
      </c>
    </row>
    <row r="40" spans="2:14" ht="12.75" customHeight="1">
      <c r="B40" s="96">
        <v>42348</v>
      </c>
      <c r="C40" s="92">
        <v>1.5</v>
      </c>
      <c r="D40" s="92" t="s">
        <v>17</v>
      </c>
      <c r="E40" s="83" t="str">
        <f>VLOOKUP(D40,tblProjekt[#Data],2,FALSE)</f>
        <v>Produktionsportal 2</v>
      </c>
      <c r="F40" s="31" t="s">
        <v>408</v>
      </c>
      <c r="G40" s="83"/>
      <c r="H40" s="31" t="s">
        <v>10</v>
      </c>
      <c r="I40" s="92"/>
      <c r="J40" s="83" t="str">
        <f>VLOOKUP(D40,tblProjekt[#Data],3,FALSE)</f>
        <v>4300074429</v>
      </c>
      <c r="K40" s="83" t="str">
        <f>VLOOKUP(D40,tblProjekt[#Data],4,FALSE)</f>
        <v>PP2</v>
      </c>
      <c r="L40" s="92" t="str">
        <f>VLOOKUP(D40,tblProjekt[],5,FALSE)</f>
        <v>Sandra Despotovic</v>
      </c>
      <c r="M40" s="83" t="str">
        <f>VLOOKUP(D40,tblProjekt[#Data],6,FALSE)</f>
        <v>Roland Borchard</v>
      </c>
      <c r="N40" s="83">
        <f t="shared" ref="N40" si="15" xml:space="preserve"> YEAR(B40)</f>
        <v>2015</v>
      </c>
    </row>
    <row r="41" spans="2:14" ht="12.75" customHeight="1">
      <c r="B41" s="96">
        <v>42348</v>
      </c>
      <c r="C41" s="92">
        <v>1.5</v>
      </c>
      <c r="D41" s="92" t="s">
        <v>17</v>
      </c>
      <c r="E41" s="83" t="str">
        <f>VLOOKUP(D41,tblProjekt[#Data],2,FALSE)</f>
        <v>Produktionsportal 2</v>
      </c>
      <c r="F41" s="31" t="s">
        <v>372</v>
      </c>
      <c r="G41" s="83"/>
      <c r="H41" s="31" t="s">
        <v>10</v>
      </c>
      <c r="I41" s="92"/>
      <c r="J41" s="83" t="str">
        <f>VLOOKUP(D41,tblProjekt[#Data],3,FALSE)</f>
        <v>4300074429</v>
      </c>
      <c r="K41" s="83" t="str">
        <f>VLOOKUP(D41,tblProjekt[#Data],4,FALSE)</f>
        <v>PP2</v>
      </c>
      <c r="L41" s="92" t="str">
        <f>VLOOKUP(D41,tblProjekt[],5,FALSE)</f>
        <v>Sandra Despotovic</v>
      </c>
      <c r="M41" s="83" t="str">
        <f>VLOOKUP(D41,tblProjekt[#Data],6,FALSE)</f>
        <v>Roland Borchard</v>
      </c>
      <c r="N41" s="83">
        <f t="shared" ref="N41" si="16" xml:space="preserve"> YEAR(B41)</f>
        <v>2015</v>
      </c>
    </row>
    <row r="42" spans="2:14" ht="12.75" customHeight="1">
      <c r="B42" s="96">
        <v>42348</v>
      </c>
      <c r="C42" s="92">
        <v>4</v>
      </c>
      <c r="D42" s="92" t="s">
        <v>17</v>
      </c>
      <c r="E42" s="83" t="str">
        <f>VLOOKUP(D42,tblProjekt[#Data],2,FALSE)</f>
        <v>Produktionsportal 2</v>
      </c>
      <c r="F42" s="31" t="s">
        <v>409</v>
      </c>
      <c r="G42" s="83"/>
      <c r="H42" s="31" t="s">
        <v>10</v>
      </c>
      <c r="I42" s="92"/>
      <c r="J42" s="83" t="str">
        <f>VLOOKUP(D42,tblProjekt[#Data],3,FALSE)</f>
        <v>4300074429</v>
      </c>
      <c r="K42" s="83" t="str">
        <f>VLOOKUP(D42,tblProjekt[#Data],4,FALSE)</f>
        <v>PP2</v>
      </c>
      <c r="L42" s="92" t="str">
        <f>VLOOKUP(D42,tblProjekt[],5,FALSE)</f>
        <v>Sandra Despotovic</v>
      </c>
      <c r="M42" s="83" t="str">
        <f>VLOOKUP(D42,tblProjekt[#Data],6,FALSE)</f>
        <v>Roland Borchard</v>
      </c>
      <c r="N42" s="83">
        <f t="shared" ref="N42" si="17" xml:space="preserve"> YEAR(B42)</f>
        <v>2015</v>
      </c>
    </row>
    <row r="43" spans="2:14" ht="12.75" customHeight="1">
      <c r="B43" s="96">
        <v>42348</v>
      </c>
      <c r="C43" s="92">
        <v>7</v>
      </c>
      <c r="D43" s="92" t="s">
        <v>356</v>
      </c>
      <c r="E43" s="83" t="str">
        <f>VLOOKUP(D43,tblProjekt[#Data],2,FALSE)</f>
        <v>Novartis Nordisk Cockpit</v>
      </c>
      <c r="F43" s="31" t="s">
        <v>374</v>
      </c>
      <c r="G43" s="83"/>
      <c r="H43" s="31" t="s">
        <v>126</v>
      </c>
      <c r="I43" s="92" t="s">
        <v>378</v>
      </c>
      <c r="J43" s="83" t="str">
        <f>VLOOKUP(D43,tblProjekt[#Data],3,FALSE)</f>
        <v>4300074409</v>
      </c>
      <c r="K43" s="83" t="str">
        <f>VLOOKUP(D43,tblProjekt[#Data],4,FALSE)</f>
        <v>Novo Nordisk Dashboard Cockpit</v>
      </c>
      <c r="L43" s="92" t="str">
        <f>VLOOKUP(D43,tblProjekt[],5,FALSE)</f>
        <v>Andreas Horst</v>
      </c>
      <c r="M43" s="76" t="s">
        <v>348</v>
      </c>
      <c r="N43" s="83">
        <f t="shared" ref="N43:N44" si="18" xml:space="preserve"> YEAR(B43)</f>
        <v>2015</v>
      </c>
    </row>
    <row r="44" spans="2:14" ht="12.75" customHeight="1">
      <c r="B44" s="96">
        <v>42348</v>
      </c>
      <c r="C44" s="92">
        <v>6</v>
      </c>
      <c r="D44" s="92" t="s">
        <v>335</v>
      </c>
      <c r="E44" s="83" t="str">
        <f>VLOOKUP(D44,tblProjekt[#Data],2,FALSE)</f>
        <v>Calculator Österreich, allgemein</v>
      </c>
      <c r="F44" s="31" t="s">
        <v>422</v>
      </c>
      <c r="G44" s="83" t="s">
        <v>324</v>
      </c>
      <c r="H44" s="31" t="s">
        <v>340</v>
      </c>
      <c r="I44" s="92"/>
      <c r="J44" s="83" t="str">
        <f>VLOOKUP(D44,tblProjekt[#Data],3,FALSE)</f>
        <v>4300071964</v>
      </c>
      <c r="K44" s="83" t="str">
        <f>VLOOKUP(D44,tblProjekt[#Data],4,FALSE)</f>
        <v>Austria Calculator</v>
      </c>
      <c r="L44" s="92" t="str">
        <f>VLOOKUP(D44,tblProjekt[],5,FALSE)</f>
        <v>Johner/Baumgartner</v>
      </c>
      <c r="M44" s="83" t="str">
        <f>VLOOKUP(D44,tblProjekt[#Data],6,FALSE)</f>
        <v>Rüdiger Johner</v>
      </c>
      <c r="N44" s="83">
        <f t="shared" si="18"/>
        <v>2015</v>
      </c>
    </row>
    <row r="45" spans="2:14" ht="12.75" customHeight="1">
      <c r="B45" s="96">
        <v>42349</v>
      </c>
      <c r="C45" s="92">
        <v>7</v>
      </c>
      <c r="D45" s="92" t="s">
        <v>356</v>
      </c>
      <c r="E45" s="83" t="str">
        <f>VLOOKUP(D45,tblProjekt[#Data],2,FALSE)</f>
        <v>Novartis Nordisk Cockpit</v>
      </c>
      <c r="F45" s="31" t="s">
        <v>373</v>
      </c>
      <c r="G45" s="83"/>
      <c r="H45" s="31" t="s">
        <v>126</v>
      </c>
      <c r="I45" s="92" t="s">
        <v>378</v>
      </c>
      <c r="J45" s="83" t="str">
        <f>VLOOKUP(D45,tblProjekt[#Data],3,FALSE)</f>
        <v>4300074409</v>
      </c>
      <c r="K45" s="83" t="str">
        <f>VLOOKUP(D45,tblProjekt[#Data],4,FALSE)</f>
        <v>Novo Nordisk Dashboard Cockpit</v>
      </c>
      <c r="L45" s="92" t="str">
        <f>VLOOKUP(D45,tblProjekt[],5,FALSE)</f>
        <v>Andreas Horst</v>
      </c>
      <c r="M45" s="76" t="s">
        <v>348</v>
      </c>
      <c r="N45" s="83">
        <f t="shared" ref="N45:N49" si="19" xml:space="preserve"> YEAR(B45)</f>
        <v>2015</v>
      </c>
    </row>
    <row r="46" spans="2:14" ht="12.75" customHeight="1">
      <c r="B46" s="96">
        <v>42352</v>
      </c>
      <c r="C46" s="92">
        <v>4</v>
      </c>
      <c r="D46" s="92" t="s">
        <v>335</v>
      </c>
      <c r="E46" s="83" t="str">
        <f>VLOOKUP(D46,tblProjekt[#Data],2,FALSE)</f>
        <v>Calculator Österreich, allgemein</v>
      </c>
      <c r="F46" s="31" t="s">
        <v>424</v>
      </c>
      <c r="G46" s="83" t="s">
        <v>259</v>
      </c>
      <c r="H46" s="31" t="s">
        <v>340</v>
      </c>
      <c r="I46" s="92"/>
      <c r="J46" s="83" t="str">
        <f>VLOOKUP(D46,tblProjekt[#Data],3,FALSE)</f>
        <v>4300071964</v>
      </c>
      <c r="K46" s="83" t="str">
        <f>VLOOKUP(D46,tblProjekt[#Data],4,FALSE)</f>
        <v>Austria Calculator</v>
      </c>
      <c r="L46" s="92" t="str">
        <f>VLOOKUP(D46,tblProjekt[],5,FALSE)</f>
        <v>Johner/Baumgartner</v>
      </c>
      <c r="M46" s="83" t="str">
        <f>VLOOKUP(D46,tblProjekt[#Data],6,FALSE)</f>
        <v>Rüdiger Johner</v>
      </c>
      <c r="N46" s="83">
        <f t="shared" si="19"/>
        <v>2015</v>
      </c>
    </row>
    <row r="47" spans="2:14" ht="12.75" customHeight="1">
      <c r="B47" s="96">
        <v>42352</v>
      </c>
      <c r="C47" s="92">
        <v>4</v>
      </c>
      <c r="D47" s="92" t="s">
        <v>17</v>
      </c>
      <c r="E47" s="83" t="str">
        <f>VLOOKUP(D47,tblProjekt[#Data],2,FALSE)</f>
        <v>Produktionsportal 2</v>
      </c>
      <c r="F47" s="31" t="s">
        <v>410</v>
      </c>
      <c r="G47" s="83"/>
      <c r="H47" s="31" t="s">
        <v>10</v>
      </c>
      <c r="I47" s="92"/>
      <c r="J47" s="83" t="str">
        <f>VLOOKUP(D47,tblProjekt[#Data],3,FALSE)</f>
        <v>4300074429</v>
      </c>
      <c r="K47" s="83" t="str">
        <f>VLOOKUP(D47,tblProjekt[#Data],4,FALSE)</f>
        <v>PP2</v>
      </c>
      <c r="L47" s="92" t="str">
        <f>VLOOKUP(D47,tblProjekt[],5,FALSE)</f>
        <v>Sandra Despotovic</v>
      </c>
      <c r="M47" s="83" t="str">
        <f>VLOOKUP(D47,tblProjekt[#Data],6,FALSE)</f>
        <v>Roland Borchard</v>
      </c>
      <c r="N47" s="83">
        <f t="shared" si="19"/>
        <v>2015</v>
      </c>
    </row>
    <row r="48" spans="2:14" ht="12.75" customHeight="1">
      <c r="B48" s="96">
        <v>42352</v>
      </c>
      <c r="C48" s="92">
        <v>3</v>
      </c>
      <c r="D48" s="92" t="s">
        <v>335</v>
      </c>
      <c r="E48" s="83" t="str">
        <f>VLOOKUP(D48,tblProjekt[#Data],2,FALSE)</f>
        <v>Calculator Österreich, allgemein</v>
      </c>
      <c r="F48" s="31" t="s">
        <v>379</v>
      </c>
      <c r="G48" s="83" t="s">
        <v>135</v>
      </c>
      <c r="H48" s="31" t="s">
        <v>340</v>
      </c>
      <c r="I48" s="92"/>
      <c r="J48" s="83" t="str">
        <f>VLOOKUP(D48,tblProjekt[#Data],3,FALSE)</f>
        <v>4300071964</v>
      </c>
      <c r="K48" s="83" t="str">
        <f>VLOOKUP(D48,tblProjekt[#Data],4,FALSE)</f>
        <v>Austria Calculator</v>
      </c>
      <c r="L48" s="92" t="str">
        <f>VLOOKUP(D48,tblProjekt[],5,FALSE)</f>
        <v>Johner/Baumgartner</v>
      </c>
      <c r="M48" s="83" t="str">
        <f>VLOOKUP(D48,tblProjekt[#Data],6,FALSE)</f>
        <v>Rüdiger Johner</v>
      </c>
      <c r="N48" s="83">
        <f t="shared" si="19"/>
        <v>2015</v>
      </c>
    </row>
    <row r="49" spans="2:14" ht="12.75" customHeight="1">
      <c r="B49" s="96">
        <v>42348</v>
      </c>
      <c r="C49" s="92">
        <v>3</v>
      </c>
      <c r="D49" s="92" t="s">
        <v>335</v>
      </c>
      <c r="E49" s="83" t="str">
        <f>VLOOKUP(D49,tblProjekt[#Data],2,FALSE)</f>
        <v>Calculator Österreich, allgemein</v>
      </c>
      <c r="F49" s="31" t="s">
        <v>422</v>
      </c>
      <c r="G49" s="83" t="s">
        <v>324</v>
      </c>
      <c r="H49" s="31" t="s">
        <v>340</v>
      </c>
      <c r="I49" s="92"/>
      <c r="J49" s="83" t="str">
        <f>VLOOKUP(D49,tblProjekt[#Data],3,FALSE)</f>
        <v>4300071964</v>
      </c>
      <c r="K49" s="83" t="str">
        <f>VLOOKUP(D49,tblProjekt[#Data],4,FALSE)</f>
        <v>Austria Calculator</v>
      </c>
      <c r="L49" s="92" t="str">
        <f>VLOOKUP(D49,tblProjekt[],5,FALSE)</f>
        <v>Johner/Baumgartner</v>
      </c>
      <c r="M49" s="83" t="str">
        <f>VLOOKUP(D49,tblProjekt[#Data],6,FALSE)</f>
        <v>Rüdiger Johner</v>
      </c>
      <c r="N49" s="83">
        <f t="shared" si="19"/>
        <v>2015</v>
      </c>
    </row>
    <row r="50" spans="2:14" ht="12.75" customHeight="1">
      <c r="B50" s="96">
        <v>42352</v>
      </c>
      <c r="C50" s="92">
        <v>2</v>
      </c>
      <c r="D50" s="92" t="s">
        <v>335</v>
      </c>
      <c r="E50" s="83" t="str">
        <f>VLOOKUP(D50,tblProjekt[#Data],2,FALSE)</f>
        <v>Calculator Österreich, allgemein</v>
      </c>
      <c r="F50" s="31" t="s">
        <v>230</v>
      </c>
      <c r="G50" s="83" t="s">
        <v>230</v>
      </c>
      <c r="H50" s="31" t="s">
        <v>340</v>
      </c>
      <c r="I50" s="92"/>
      <c r="J50" s="83" t="str">
        <f>VLOOKUP(D50,tblProjekt[#Data],3,FALSE)</f>
        <v>4300071964</v>
      </c>
      <c r="K50" s="83" t="str">
        <f>VLOOKUP(D50,tblProjekt[#Data],4,FALSE)</f>
        <v>Austria Calculator</v>
      </c>
      <c r="L50" s="92" t="str">
        <f>VLOOKUP(D50,tblProjekt[],5,FALSE)</f>
        <v>Johner/Baumgartner</v>
      </c>
      <c r="M50" s="83" t="str">
        <f>VLOOKUP(D50,tblProjekt[#Data],6,FALSE)</f>
        <v>Rüdiger Johner</v>
      </c>
      <c r="N50" s="83">
        <f t="shared" ref="N50" si="20" xml:space="preserve"> YEAR(B50)</f>
        <v>2015</v>
      </c>
    </row>
    <row r="51" spans="2:14" ht="12.75" customHeight="1">
      <c r="B51" s="96">
        <v>42352</v>
      </c>
      <c r="C51" s="92">
        <v>4</v>
      </c>
      <c r="D51" s="92" t="s">
        <v>335</v>
      </c>
      <c r="E51" s="83" t="str">
        <f>VLOOKUP(D51,tblProjekt[#Data],2,FALSE)</f>
        <v>Calculator Österreich, allgemein</v>
      </c>
      <c r="F51" s="31" t="s">
        <v>132</v>
      </c>
      <c r="G51" s="83" t="s">
        <v>232</v>
      </c>
      <c r="H51" s="31" t="s">
        <v>340</v>
      </c>
      <c r="I51" s="92"/>
      <c r="J51" s="83" t="str">
        <f>VLOOKUP(D51,tblProjekt[#Data],3,FALSE)</f>
        <v>4300071964</v>
      </c>
      <c r="K51" s="83" t="str">
        <f>VLOOKUP(D51,tblProjekt[#Data],4,FALSE)</f>
        <v>Austria Calculator</v>
      </c>
      <c r="L51" s="92" t="str">
        <f>VLOOKUP(D51,tblProjekt[],5,FALSE)</f>
        <v>Johner/Baumgartner</v>
      </c>
      <c r="M51" s="83" t="str">
        <f>VLOOKUP(D51,tblProjekt[#Data],6,FALSE)</f>
        <v>Rüdiger Johner</v>
      </c>
      <c r="N51" s="83">
        <f t="shared" ref="N51" si="21" xml:space="preserve"> YEAR(B51)</f>
        <v>2015</v>
      </c>
    </row>
    <row r="52" spans="2:14" ht="12.75" customHeight="1">
      <c r="B52" s="96">
        <v>42352</v>
      </c>
      <c r="C52" s="92">
        <v>3</v>
      </c>
      <c r="D52" s="92" t="s">
        <v>335</v>
      </c>
      <c r="E52" s="83" t="str">
        <f>VLOOKUP(D52,tblProjekt[#Data],2,FALSE)</f>
        <v>Calculator Österreich, allgemein</v>
      </c>
      <c r="F52" s="31" t="s">
        <v>425</v>
      </c>
      <c r="G52" s="83" t="s">
        <v>135</v>
      </c>
      <c r="H52" s="31" t="s">
        <v>340</v>
      </c>
      <c r="I52" s="92"/>
      <c r="J52" s="83" t="str">
        <f>VLOOKUP(D52,tblProjekt[#Data],3,FALSE)</f>
        <v>4300071964</v>
      </c>
      <c r="K52" s="83" t="str">
        <f>VLOOKUP(D52,tblProjekt[#Data],4,FALSE)</f>
        <v>Austria Calculator</v>
      </c>
      <c r="L52" s="92" t="str">
        <f>VLOOKUP(D52,tblProjekt[],5,FALSE)</f>
        <v>Johner/Baumgartner</v>
      </c>
      <c r="M52" s="83" t="str">
        <f>VLOOKUP(D52,tblProjekt[#Data],6,FALSE)</f>
        <v>Rüdiger Johner</v>
      </c>
      <c r="N52" s="83">
        <f t="shared" ref="N52" si="22" xml:space="preserve"> YEAR(B52)</f>
        <v>2015</v>
      </c>
    </row>
    <row r="53" spans="2:14" ht="12.75" customHeight="1">
      <c r="B53" s="96">
        <v>42353</v>
      </c>
      <c r="C53" s="92">
        <v>3</v>
      </c>
      <c r="D53" s="92" t="s">
        <v>17</v>
      </c>
      <c r="E53" s="83" t="str">
        <f>VLOOKUP(D53,tblProjekt[#Data],2,FALSE)</f>
        <v>Produktionsportal 2</v>
      </c>
      <c r="F53" s="31" t="s">
        <v>411</v>
      </c>
      <c r="G53" s="83"/>
      <c r="H53" s="31" t="s">
        <v>10</v>
      </c>
      <c r="I53" s="92"/>
      <c r="J53" s="83" t="str">
        <f>VLOOKUP(D53,tblProjekt[#Data],3,FALSE)</f>
        <v>4300074429</v>
      </c>
      <c r="K53" s="83" t="str">
        <f>VLOOKUP(D53,tblProjekt[#Data],4,FALSE)</f>
        <v>PP2</v>
      </c>
      <c r="L53" s="92" t="str">
        <f>VLOOKUP(D53,tblProjekt[],5,FALSE)</f>
        <v>Sandra Despotovic</v>
      </c>
      <c r="M53" s="83" t="str">
        <f>VLOOKUP(D53,tblProjekt[#Data],6,FALSE)</f>
        <v>Roland Borchard</v>
      </c>
      <c r="N53" s="83">
        <f t="shared" ref="N53:N54" si="23" xml:space="preserve"> YEAR(B53)</f>
        <v>2015</v>
      </c>
    </row>
    <row r="54" spans="2:14" ht="12.75" customHeight="1">
      <c r="B54" s="96">
        <v>42352</v>
      </c>
      <c r="C54" s="92">
        <v>4</v>
      </c>
      <c r="D54" s="92" t="s">
        <v>335</v>
      </c>
      <c r="E54" s="83" t="str">
        <f>VLOOKUP(D54,tblProjekt[#Data],2,FALSE)</f>
        <v>Calculator Österreich, allgemein</v>
      </c>
      <c r="F54" s="31" t="s">
        <v>423</v>
      </c>
      <c r="G54" s="83" t="s">
        <v>324</v>
      </c>
      <c r="H54" s="31" t="s">
        <v>340</v>
      </c>
      <c r="I54" s="92"/>
      <c r="J54" s="83" t="str">
        <f>VLOOKUP(D54,tblProjekt[#Data],3,FALSE)</f>
        <v>4300071964</v>
      </c>
      <c r="K54" s="83" t="str">
        <f>VLOOKUP(D54,tblProjekt[#Data],4,FALSE)</f>
        <v>Austria Calculator</v>
      </c>
      <c r="L54" s="92" t="str">
        <f>VLOOKUP(D54,tblProjekt[],5,FALSE)</f>
        <v>Johner/Baumgartner</v>
      </c>
      <c r="M54" s="83" t="str">
        <f>VLOOKUP(D54,tblProjekt[#Data],6,FALSE)</f>
        <v>Rüdiger Johner</v>
      </c>
      <c r="N54" s="83">
        <f t="shared" si="23"/>
        <v>2015</v>
      </c>
    </row>
    <row r="55" spans="2:14" ht="12.75" customHeight="1">
      <c r="B55" s="96">
        <v>42353</v>
      </c>
      <c r="C55" s="92">
        <v>3</v>
      </c>
      <c r="D55" s="92" t="s">
        <v>335</v>
      </c>
      <c r="E55" s="83" t="str">
        <f>VLOOKUP(D55,tblProjekt[#Data],2,FALSE)</f>
        <v>Calculator Österreich, allgemein</v>
      </c>
      <c r="F55" s="31" t="s">
        <v>380</v>
      </c>
      <c r="G55" s="83" t="s">
        <v>279</v>
      </c>
      <c r="H55" s="31" t="s">
        <v>340</v>
      </c>
      <c r="I55" s="92"/>
      <c r="J55" s="83" t="str">
        <f>VLOOKUP(D55,tblProjekt[#Data],3,FALSE)</f>
        <v>4300071964</v>
      </c>
      <c r="K55" s="83" t="str">
        <f>VLOOKUP(D55,tblProjekt[#Data],4,FALSE)</f>
        <v>Austria Calculator</v>
      </c>
      <c r="L55" s="92" t="str">
        <f>VLOOKUP(D55,tblProjekt[],5,FALSE)</f>
        <v>Johner/Baumgartner</v>
      </c>
      <c r="M55" s="83" t="str">
        <f>VLOOKUP(D55,tblProjekt[#Data],6,FALSE)</f>
        <v>Rüdiger Johner</v>
      </c>
      <c r="N55" s="83">
        <f t="shared" ref="N55" si="24" xml:space="preserve"> YEAR(B55)</f>
        <v>2015</v>
      </c>
    </row>
    <row r="56" spans="2:14" ht="12.75" customHeight="1">
      <c r="B56" s="96">
        <v>42354</v>
      </c>
      <c r="C56" s="92">
        <v>4</v>
      </c>
      <c r="D56" s="92" t="s">
        <v>338</v>
      </c>
      <c r="E56" s="83" t="str">
        <f>VLOOKUP(D56,tblProjekt[#Data],2,FALSE)</f>
        <v>Produktionsportal 3</v>
      </c>
      <c r="F56" s="31" t="s">
        <v>382</v>
      </c>
      <c r="G56" s="83"/>
      <c r="H56" s="31" t="s">
        <v>10</v>
      </c>
      <c r="I56" s="92" t="s">
        <v>381</v>
      </c>
      <c r="J56" s="83" t="str">
        <f>VLOOKUP(D56,tblProjekt[#Data],3,FALSE)</f>
        <v>4300074429</v>
      </c>
      <c r="K56" s="83" t="str">
        <f>VLOOKUP(D56,tblProjekt[#Data],4,FALSE)</f>
        <v>PP3</v>
      </c>
      <c r="L56" s="92" t="str">
        <f>VLOOKUP(D56,tblProjekt[],5,FALSE)</f>
        <v>Sandra Despotovic</v>
      </c>
      <c r="M56" s="83" t="str">
        <f>VLOOKUP(D56,tblProjekt[#Data],6,FALSE)</f>
        <v>Roland Borchard</v>
      </c>
      <c r="N56" s="83">
        <f t="shared" ref="N56:N58" si="25" xml:space="preserve"> YEAR(B56)</f>
        <v>2015</v>
      </c>
    </row>
    <row r="57" spans="2:14" ht="12.75" customHeight="1">
      <c r="B57" s="96">
        <v>42354</v>
      </c>
      <c r="C57" s="92">
        <v>3</v>
      </c>
      <c r="D57" s="92" t="s">
        <v>335</v>
      </c>
      <c r="E57" s="83" t="str">
        <f>VLOOKUP(D57,tblProjekt[#Data],2,FALSE)</f>
        <v>Calculator Österreich, allgemein</v>
      </c>
      <c r="F57" s="31" t="s">
        <v>257</v>
      </c>
      <c r="G57" s="83" t="s">
        <v>232</v>
      </c>
      <c r="H57" s="31" t="s">
        <v>340</v>
      </c>
      <c r="I57" s="92"/>
      <c r="J57" s="83" t="str">
        <f>VLOOKUP(D57,tblProjekt[#Data],3,FALSE)</f>
        <v>4300071964</v>
      </c>
      <c r="K57" s="83" t="str">
        <f>VLOOKUP(D57,tblProjekt[#Data],4,FALSE)</f>
        <v>Austria Calculator</v>
      </c>
      <c r="L57" s="92" t="str">
        <f>VLOOKUP(D57,tblProjekt[],5,FALSE)</f>
        <v>Johner/Baumgartner</v>
      </c>
      <c r="M57" s="83" t="str">
        <f>VLOOKUP(D57,tblProjekt[#Data],6,FALSE)</f>
        <v>Rüdiger Johner</v>
      </c>
      <c r="N57" s="83">
        <f t="shared" si="25"/>
        <v>2015</v>
      </c>
    </row>
    <row r="58" spans="2:14" ht="12.75" customHeight="1">
      <c r="B58" s="96">
        <v>42355</v>
      </c>
      <c r="C58" s="92">
        <v>5</v>
      </c>
      <c r="D58" s="92" t="s">
        <v>335</v>
      </c>
      <c r="E58" s="83" t="str">
        <f>VLOOKUP(D58,tblProjekt[#Data],2,FALSE)</f>
        <v>Calculator Österreich, allgemein</v>
      </c>
      <c r="F58" s="31" t="s">
        <v>414</v>
      </c>
      <c r="G58" s="83" t="s">
        <v>279</v>
      </c>
      <c r="H58" s="31" t="s">
        <v>340</v>
      </c>
      <c r="I58" s="92"/>
      <c r="J58" s="83" t="str">
        <f>VLOOKUP(D58,tblProjekt[#Data],3,FALSE)</f>
        <v>4300071964</v>
      </c>
      <c r="K58" s="83" t="str">
        <f>VLOOKUP(D58,tblProjekt[#Data],4,FALSE)</f>
        <v>Austria Calculator</v>
      </c>
      <c r="L58" s="92" t="str">
        <f>VLOOKUP(D58,tblProjekt[],5,FALSE)</f>
        <v>Johner/Baumgartner</v>
      </c>
      <c r="M58" s="83" t="str">
        <f>VLOOKUP(D58,tblProjekt[#Data],6,FALSE)</f>
        <v>Rüdiger Johner</v>
      </c>
      <c r="N58" s="83">
        <f t="shared" si="25"/>
        <v>2015</v>
      </c>
    </row>
    <row r="59" spans="2:14" ht="12.75" customHeight="1">
      <c r="B59" s="96">
        <v>42355</v>
      </c>
      <c r="C59" s="92">
        <v>0</v>
      </c>
      <c r="D59" s="92" t="s">
        <v>140</v>
      </c>
      <c r="E59" s="83" t="str">
        <f>VLOOKUP(D59,tblProjekt[#Data],2,FALSE)</f>
        <v>Klosterfrau Regio</v>
      </c>
      <c r="F59" s="31" t="s">
        <v>413</v>
      </c>
      <c r="G59" s="83" t="s">
        <v>279</v>
      </c>
      <c r="H59" s="31" t="s">
        <v>133</v>
      </c>
      <c r="I59" s="92"/>
      <c r="J59" s="83" t="str">
        <f>VLOOKUP(D59,tblProjekt[#Data],3,FALSE)</f>
        <v>4300074434</v>
      </c>
      <c r="K59" s="83" t="str">
        <f>VLOOKUP(D59,tblProjekt[#Data],4,FALSE)</f>
        <v>Taunus</v>
      </c>
      <c r="L59" s="92" t="str">
        <f>VLOOKUP(D59,tblProjekt[],5,FALSE)</f>
        <v>Birgit Schilly</v>
      </c>
      <c r="M59" s="83" t="str">
        <f>VLOOKUP(D59,tblProjekt[#Data],6,FALSE)</f>
        <v>Roland Borchard</v>
      </c>
      <c r="N59" s="83">
        <f t="shared" ref="N59" si="26" xml:space="preserve"> YEAR(B59)</f>
        <v>2015</v>
      </c>
    </row>
    <row r="60" spans="2:14" ht="12.75" customHeight="1">
      <c r="B60" s="96">
        <v>42355</v>
      </c>
      <c r="C60" s="92">
        <v>0.5</v>
      </c>
      <c r="D60" s="92" t="s">
        <v>338</v>
      </c>
      <c r="E60" s="83" t="str">
        <f>VLOOKUP(D60,tblProjekt[#Data],2,FALSE)</f>
        <v>Produktionsportal 3</v>
      </c>
      <c r="F60" s="31" t="s">
        <v>385</v>
      </c>
      <c r="G60" s="83"/>
      <c r="H60" s="31" t="s">
        <v>10</v>
      </c>
      <c r="I60" s="92" t="s">
        <v>381</v>
      </c>
      <c r="J60" s="83" t="str">
        <f>VLOOKUP(D60,tblProjekt[#Data],3,FALSE)</f>
        <v>4300074429</v>
      </c>
      <c r="K60" s="83" t="str">
        <f>VLOOKUP(D60,tblProjekt[#Data],4,FALSE)</f>
        <v>PP3</v>
      </c>
      <c r="L60" s="92" t="str">
        <f>VLOOKUP(D60,tblProjekt[],5,FALSE)</f>
        <v>Sandra Despotovic</v>
      </c>
      <c r="M60" s="83" t="str">
        <f>VLOOKUP(D60,tblProjekt[#Data],6,FALSE)</f>
        <v>Roland Borchard</v>
      </c>
      <c r="N60" s="83">
        <f t="shared" ref="N60" si="27" xml:space="preserve"> YEAR(B60)</f>
        <v>2015</v>
      </c>
    </row>
    <row r="61" spans="2:14" ht="12.75" customHeight="1">
      <c r="B61" s="96">
        <v>42355</v>
      </c>
      <c r="C61" s="92">
        <v>0.5</v>
      </c>
      <c r="D61" s="92" t="s">
        <v>322</v>
      </c>
      <c r="E61" s="83" t="str">
        <f>VLOOKUP(D61,tblProjekt[#Data],2,FALSE)</f>
        <v>Powercharts CHA Layout Anpassungen</v>
      </c>
      <c r="F61" s="31" t="s">
        <v>386</v>
      </c>
      <c r="G61" s="83"/>
      <c r="H61" s="31" t="s">
        <v>133</v>
      </c>
      <c r="I61" s="92"/>
      <c r="J61" s="83" t="str">
        <f>VLOOKUP(D61,tblProjekt[#Data],3,FALSE)</f>
        <v>4300074431</v>
      </c>
      <c r="K61" s="83" t="str">
        <f>VLOOKUP(D61,tblProjekt[#Data],4,FALSE)</f>
        <v>Powercharts Layout Anpassungen</v>
      </c>
      <c r="L61" s="92" t="str">
        <f>VLOOKUP(D61,tblProjekt[],5,FALSE)</f>
        <v>Birgit Schilly</v>
      </c>
      <c r="M61" s="83" t="str">
        <f>VLOOKUP(D61,tblProjekt[#Data],6,FALSE)</f>
        <v>Roland Borchard</v>
      </c>
      <c r="N61" s="83">
        <f t="shared" ref="N61:N62" si="28" xml:space="preserve"> YEAR(B61)</f>
        <v>2015</v>
      </c>
    </row>
    <row r="62" spans="2:14" ht="12.75" customHeight="1">
      <c r="B62" s="96">
        <v>42356</v>
      </c>
      <c r="C62" s="92">
        <v>4</v>
      </c>
      <c r="D62" s="92" t="s">
        <v>335</v>
      </c>
      <c r="E62" s="83" t="str">
        <f>VLOOKUP(D62,tblProjekt[#Data],2,FALSE)</f>
        <v>Calculator Österreich, allgemein</v>
      </c>
      <c r="F62" s="31" t="s">
        <v>414</v>
      </c>
      <c r="G62" s="83" t="s">
        <v>279</v>
      </c>
      <c r="H62" s="31" t="s">
        <v>340</v>
      </c>
      <c r="I62" s="92"/>
      <c r="J62" s="83" t="str">
        <f>VLOOKUP(D62,tblProjekt[#Data],3,FALSE)</f>
        <v>4300071964</v>
      </c>
      <c r="K62" s="83" t="str">
        <f>VLOOKUP(D62,tblProjekt[#Data],4,FALSE)</f>
        <v>Austria Calculator</v>
      </c>
      <c r="L62" s="92" t="str">
        <f>VLOOKUP(D62,tblProjekt[],5,FALSE)</f>
        <v>Johner/Baumgartner</v>
      </c>
      <c r="M62" s="83" t="str">
        <f>VLOOKUP(D62,tblProjekt[#Data],6,FALSE)</f>
        <v>Rüdiger Johner</v>
      </c>
      <c r="N62" s="83">
        <f t="shared" si="28"/>
        <v>2015</v>
      </c>
    </row>
    <row r="63" spans="2:14" ht="12.75" customHeight="1">
      <c r="B63" s="96">
        <v>42356</v>
      </c>
      <c r="C63" s="92">
        <v>6</v>
      </c>
      <c r="D63" s="92" t="s">
        <v>338</v>
      </c>
      <c r="E63" s="83" t="str">
        <f>VLOOKUP(D63,tblProjekt[#Data],2,FALSE)</f>
        <v>Produktionsportal 3</v>
      </c>
      <c r="F63" s="31" t="s">
        <v>382</v>
      </c>
      <c r="G63" s="83"/>
      <c r="H63" s="31" t="s">
        <v>10</v>
      </c>
      <c r="I63" s="92" t="s">
        <v>381</v>
      </c>
      <c r="J63" s="83" t="str">
        <f>VLOOKUP(D63,tblProjekt[#Data],3,FALSE)</f>
        <v>4300074429</v>
      </c>
      <c r="K63" s="83" t="str">
        <f>VLOOKUP(D63,tblProjekt[#Data],4,FALSE)</f>
        <v>PP3</v>
      </c>
      <c r="L63" s="92" t="str">
        <f>VLOOKUP(D63,tblProjekt[],5,FALSE)</f>
        <v>Sandra Despotovic</v>
      </c>
      <c r="M63" s="83" t="str">
        <f>VLOOKUP(D63,tblProjekt[#Data],6,FALSE)</f>
        <v>Roland Borchard</v>
      </c>
      <c r="N63" s="83">
        <f t="shared" ref="N63" si="29" xml:space="preserve"> YEAR(B63)</f>
        <v>2015</v>
      </c>
    </row>
    <row r="64" spans="2:14" ht="12.75" customHeight="1">
      <c r="B64" s="96">
        <v>42356</v>
      </c>
      <c r="C64" s="92">
        <v>2</v>
      </c>
      <c r="D64" s="92" t="s">
        <v>17</v>
      </c>
      <c r="E64" s="83" t="str">
        <f>VLOOKUP(D64,tblProjekt[#Data],2,FALSE)</f>
        <v>Produktionsportal 2</v>
      </c>
      <c r="F64" s="31" t="s">
        <v>411</v>
      </c>
      <c r="G64" s="83"/>
      <c r="H64" s="31" t="s">
        <v>10</v>
      </c>
      <c r="I64" s="92"/>
      <c r="J64" s="83" t="str">
        <f>VLOOKUP(D64,tblProjekt[#Data],3,FALSE)</f>
        <v>4300074429</v>
      </c>
      <c r="K64" s="83" t="str">
        <f>VLOOKUP(D64,tblProjekt[#Data],4,FALSE)</f>
        <v>PP2</v>
      </c>
      <c r="L64" s="92" t="str">
        <f>VLOOKUP(D64,tblProjekt[],5,FALSE)</f>
        <v>Sandra Despotovic</v>
      </c>
      <c r="M64" s="83" t="str">
        <f>VLOOKUP(D64,tblProjekt[#Data],6,FALSE)</f>
        <v>Roland Borchard</v>
      </c>
      <c r="N64" s="83">
        <f t="shared" ref="N64:N65" si="30" xml:space="preserve"> YEAR(B64)</f>
        <v>2015</v>
      </c>
    </row>
    <row r="65" spans="2:14" ht="12.75" customHeight="1">
      <c r="B65" s="96">
        <v>42356</v>
      </c>
      <c r="C65" s="92">
        <v>1.5</v>
      </c>
      <c r="D65" s="92" t="s">
        <v>335</v>
      </c>
      <c r="E65" s="83" t="str">
        <f>VLOOKUP(D65,tblProjekt[#Data],2,FALSE)</f>
        <v>Calculator Österreich, allgemein</v>
      </c>
      <c r="F65" s="31" t="s">
        <v>412</v>
      </c>
      <c r="G65" s="83" t="s">
        <v>279</v>
      </c>
      <c r="H65" s="31" t="s">
        <v>340</v>
      </c>
      <c r="I65" s="92"/>
      <c r="J65" s="83" t="str">
        <f>VLOOKUP(D65,tblProjekt[#Data],3,FALSE)</f>
        <v>4300071964</v>
      </c>
      <c r="K65" s="83" t="str">
        <f>VLOOKUP(D65,tblProjekt[#Data],4,FALSE)</f>
        <v>Austria Calculator</v>
      </c>
      <c r="L65" s="92" t="str">
        <f>VLOOKUP(D65,tblProjekt[],5,FALSE)</f>
        <v>Johner/Baumgartner</v>
      </c>
      <c r="M65" s="83" t="str">
        <f>VLOOKUP(D65,tblProjekt[#Data],6,FALSE)</f>
        <v>Rüdiger Johner</v>
      </c>
      <c r="N65" s="83">
        <f t="shared" si="30"/>
        <v>2015</v>
      </c>
    </row>
    <row r="66" spans="2:14" ht="12.75" customHeight="1">
      <c r="B66" s="96">
        <v>42358</v>
      </c>
      <c r="C66" s="92">
        <v>4</v>
      </c>
      <c r="D66" s="92" t="s">
        <v>335</v>
      </c>
      <c r="E66" s="83" t="str">
        <f>VLOOKUP(D66,tblProjekt[#Data],2,FALSE)</f>
        <v>Calculator Österreich, allgemein</v>
      </c>
      <c r="F66" s="31" t="s">
        <v>383</v>
      </c>
      <c r="G66" s="83" t="s">
        <v>279</v>
      </c>
      <c r="H66" s="31" t="s">
        <v>340</v>
      </c>
      <c r="I66" s="92"/>
      <c r="J66" s="83" t="str">
        <f>VLOOKUP(D66,tblProjekt[#Data],3,FALSE)</f>
        <v>4300071964</v>
      </c>
      <c r="K66" s="83" t="str">
        <f>VLOOKUP(D66,tblProjekt[#Data],4,FALSE)</f>
        <v>Austria Calculator</v>
      </c>
      <c r="L66" s="92" t="str">
        <f>VLOOKUP(D66,tblProjekt[],5,FALSE)</f>
        <v>Johner/Baumgartner</v>
      </c>
      <c r="M66" s="83" t="str">
        <f>VLOOKUP(D66,tblProjekt[#Data],6,FALSE)</f>
        <v>Rüdiger Johner</v>
      </c>
      <c r="N66" s="83">
        <f t="shared" ref="N66" si="31" xml:space="preserve"> YEAR(B66)</f>
        <v>2015</v>
      </c>
    </row>
    <row r="67" spans="2:14" ht="12.75" customHeight="1">
      <c r="B67" s="96">
        <v>42359</v>
      </c>
      <c r="C67" s="92">
        <v>4</v>
      </c>
      <c r="D67" s="92" t="s">
        <v>335</v>
      </c>
      <c r="E67" s="83" t="str">
        <f>VLOOKUP(D67,tblProjekt[#Data],2,FALSE)</f>
        <v>Calculator Österreich, allgemein</v>
      </c>
      <c r="F67" s="31" t="s">
        <v>383</v>
      </c>
      <c r="G67" s="83" t="s">
        <v>279</v>
      </c>
      <c r="H67" s="31" t="s">
        <v>340</v>
      </c>
      <c r="I67" s="92"/>
      <c r="J67" s="83" t="str">
        <f>VLOOKUP(D67,tblProjekt[#Data],3,FALSE)</f>
        <v>4300071964</v>
      </c>
      <c r="K67" s="83" t="str">
        <f>VLOOKUP(D67,tblProjekt[#Data],4,FALSE)</f>
        <v>Austria Calculator</v>
      </c>
      <c r="L67" s="92" t="str">
        <f>VLOOKUP(D67,tblProjekt[],5,FALSE)</f>
        <v>Johner/Baumgartner</v>
      </c>
      <c r="M67" s="83" t="str">
        <f>VLOOKUP(D67,tblProjekt[#Data],6,FALSE)</f>
        <v>Rüdiger Johner</v>
      </c>
      <c r="N67" s="83">
        <f t="shared" ref="N67" si="32" xml:space="preserve"> YEAR(B67)</f>
        <v>2015</v>
      </c>
    </row>
    <row r="68" spans="2:14" ht="12.75" customHeight="1">
      <c r="B68" s="96">
        <v>42359</v>
      </c>
      <c r="C68" s="92">
        <v>4</v>
      </c>
      <c r="D68" s="92" t="s">
        <v>335</v>
      </c>
      <c r="E68" s="83" t="str">
        <f>VLOOKUP(D68,tblProjekt[#Data],2,FALSE)</f>
        <v>Calculator Österreich, allgemein</v>
      </c>
      <c r="F68" s="31" t="s">
        <v>384</v>
      </c>
      <c r="G68" s="83" t="s">
        <v>279</v>
      </c>
      <c r="H68" s="31" t="s">
        <v>340</v>
      </c>
      <c r="I68" s="92"/>
      <c r="J68" s="83" t="str">
        <f>VLOOKUP(D68,tblProjekt[#Data],3,FALSE)</f>
        <v>4300071964</v>
      </c>
      <c r="K68" s="83" t="str">
        <f>VLOOKUP(D68,tblProjekt[#Data],4,FALSE)</f>
        <v>Austria Calculator</v>
      </c>
      <c r="L68" s="92" t="str">
        <f>VLOOKUP(D68,tblProjekt[],5,FALSE)</f>
        <v>Johner/Baumgartner</v>
      </c>
      <c r="M68" s="83" t="str">
        <f>VLOOKUP(D68,tblProjekt[#Data],6,FALSE)</f>
        <v>Rüdiger Johner</v>
      </c>
      <c r="N68" s="83">
        <f xml:space="preserve"> YEAR(B68)</f>
        <v>2015</v>
      </c>
    </row>
    <row r="69" spans="2:14" ht="12.75" customHeight="1">
      <c r="B69" s="96">
        <v>42359</v>
      </c>
      <c r="C69" s="92">
        <v>3</v>
      </c>
      <c r="D69" s="92" t="s">
        <v>17</v>
      </c>
      <c r="E69" s="83" t="str">
        <f>VLOOKUP(D69,tblProjekt[#Data],2,FALSE)</f>
        <v>Produktionsportal 2</v>
      </c>
      <c r="F69" s="31" t="s">
        <v>411</v>
      </c>
      <c r="G69" s="83"/>
      <c r="H69" s="31" t="s">
        <v>10</v>
      </c>
      <c r="I69" s="92"/>
      <c r="J69" s="83" t="str">
        <f>VLOOKUP(D69,tblProjekt[#Data],3,FALSE)</f>
        <v>4300074429</v>
      </c>
      <c r="K69" s="83" t="str">
        <f>VLOOKUP(D69,tblProjekt[#Data],4,FALSE)</f>
        <v>PP2</v>
      </c>
      <c r="L69" s="92" t="str">
        <f>VLOOKUP(D69,tblProjekt[],5,FALSE)</f>
        <v>Sandra Despotovic</v>
      </c>
      <c r="M69" s="83" t="str">
        <f>VLOOKUP(D69,tblProjekt[#Data],6,FALSE)</f>
        <v>Roland Borchard</v>
      </c>
      <c r="N69" s="83">
        <f t="shared" ref="N69" si="33" xml:space="preserve"> YEAR(B69)</f>
        <v>2015</v>
      </c>
    </row>
    <row r="70" spans="2:14" ht="12.75" customHeight="1">
      <c r="B70" s="96">
        <v>42360</v>
      </c>
      <c r="C70" s="92">
        <v>4</v>
      </c>
      <c r="D70" s="92" t="s">
        <v>17</v>
      </c>
      <c r="E70" s="83" t="str">
        <f>VLOOKUP(D70,tblProjekt[#Data],2,FALSE)</f>
        <v>Produktionsportal 2</v>
      </c>
      <c r="F70" s="31" t="s">
        <v>388</v>
      </c>
      <c r="G70" s="83"/>
      <c r="H70" s="31" t="s">
        <v>10</v>
      </c>
      <c r="I70" s="92"/>
      <c r="J70" s="83" t="str">
        <f>VLOOKUP(D70,tblProjekt[#Data],3,FALSE)</f>
        <v>4300074429</v>
      </c>
      <c r="K70" s="83" t="str">
        <f>VLOOKUP(D70,tblProjekt[#Data],4,FALSE)</f>
        <v>PP2</v>
      </c>
      <c r="L70" s="92" t="str">
        <f>VLOOKUP(D70,tblProjekt[],5,FALSE)</f>
        <v>Sandra Despotovic</v>
      </c>
      <c r="M70" s="83" t="str">
        <f>VLOOKUP(D70,tblProjekt[#Data],6,FALSE)</f>
        <v>Roland Borchard</v>
      </c>
      <c r="N70" s="83">
        <f t="shared" ref="N70" si="34" xml:space="preserve"> YEAR(B70)</f>
        <v>2015</v>
      </c>
    </row>
    <row r="71" spans="2:14" ht="12.75" customHeight="1">
      <c r="B71" s="96">
        <v>42360</v>
      </c>
      <c r="C71" s="92">
        <v>8.5</v>
      </c>
      <c r="D71" s="92" t="s">
        <v>17</v>
      </c>
      <c r="E71" s="83" t="str">
        <f>VLOOKUP(D71,tblProjekt[#Data],2,FALSE)</f>
        <v>Produktionsportal 2</v>
      </c>
      <c r="F71" s="31" t="s">
        <v>415</v>
      </c>
      <c r="G71" s="83"/>
      <c r="H71" s="31" t="s">
        <v>10</v>
      </c>
      <c r="I71" s="92"/>
      <c r="J71" s="83" t="str">
        <f>VLOOKUP(D71,tblProjekt[#Data],3,FALSE)</f>
        <v>4300074429</v>
      </c>
      <c r="K71" s="83" t="str">
        <f>VLOOKUP(D71,tblProjekt[#Data],4,FALSE)</f>
        <v>PP2</v>
      </c>
      <c r="L71" s="92" t="str">
        <f>VLOOKUP(D71,tblProjekt[],5,FALSE)</f>
        <v>Sandra Despotovic</v>
      </c>
      <c r="M71" s="83" t="str">
        <f>VLOOKUP(D71,tblProjekt[#Data],6,FALSE)</f>
        <v>Roland Borchard</v>
      </c>
      <c r="N71" s="83">
        <f t="shared" ref="N71" si="35" xml:space="preserve"> YEAR(B71)</f>
        <v>2015</v>
      </c>
    </row>
    <row r="72" spans="2:14" ht="12.75" customHeight="1">
      <c r="B72" s="96">
        <v>42360</v>
      </c>
      <c r="C72" s="92">
        <v>3</v>
      </c>
      <c r="D72" s="92" t="s">
        <v>85</v>
      </c>
      <c r="E72" s="83" t="str">
        <f>VLOOKUP(D72,tblProjekt[#Data],2,FALSE)</f>
        <v>Klosterfrau Mass Market</v>
      </c>
      <c r="F72" s="31" t="s">
        <v>389</v>
      </c>
      <c r="G72" s="83"/>
      <c r="H72" s="31" t="s">
        <v>133</v>
      </c>
      <c r="I72" s="92" t="s">
        <v>387</v>
      </c>
      <c r="J72" s="83" t="str">
        <f>VLOOKUP(D72,tblProjekt[#Data],3,FALSE)</f>
        <v>4300074434</v>
      </c>
      <c r="K72" s="83" t="str">
        <f>VLOOKUP(D72,tblProjekt[#Data],4,FALSE)</f>
        <v>Taunus</v>
      </c>
      <c r="L72" s="92" t="str">
        <f>VLOOKUP(D72,tblProjekt[],5,FALSE)</f>
        <v>Alexander Crone</v>
      </c>
      <c r="M72" s="83" t="str">
        <f>VLOOKUP(D72,tblProjekt[#Data],6,FALSE)</f>
        <v>Roland Borchard</v>
      </c>
      <c r="N72" s="83">
        <f t="shared" ref="N72:N76" si="36" xml:space="preserve"> YEAR(B72)</f>
        <v>2015</v>
      </c>
    </row>
    <row r="73" spans="2:14" ht="12.75" customHeight="1">
      <c r="B73" s="96">
        <v>42360</v>
      </c>
      <c r="C73" s="92">
        <v>1.5</v>
      </c>
      <c r="D73" s="92" t="s">
        <v>85</v>
      </c>
      <c r="E73" s="83" t="str">
        <f>VLOOKUP(D73,tblProjekt[#Data],2,FALSE)</f>
        <v>Klosterfrau Mass Market</v>
      </c>
      <c r="F73" s="31" t="s">
        <v>416</v>
      </c>
      <c r="G73" s="83"/>
      <c r="H73" s="31" t="s">
        <v>133</v>
      </c>
      <c r="I73" s="92"/>
      <c r="J73" s="83" t="str">
        <f>VLOOKUP(D73,tblProjekt[#Data],3,FALSE)</f>
        <v>4300074434</v>
      </c>
      <c r="K73" s="83" t="str">
        <f>VLOOKUP(D73,tblProjekt[#Data],4,FALSE)</f>
        <v>Taunus</v>
      </c>
      <c r="L73" s="92" t="str">
        <f>VLOOKUP(D73,tblProjekt[],5,FALSE)</f>
        <v>Alexander Crone</v>
      </c>
      <c r="M73" s="83" t="str">
        <f>VLOOKUP(D73,tblProjekt[#Data],6,FALSE)</f>
        <v>Roland Borchard</v>
      </c>
      <c r="N73" s="83">
        <f t="shared" ref="N73:N74" si="37" xml:space="preserve"> YEAR(B73)</f>
        <v>2015</v>
      </c>
    </row>
    <row r="74" spans="2:14" ht="12.75" customHeight="1">
      <c r="B74" s="96">
        <v>42361</v>
      </c>
      <c r="C74" s="92">
        <v>2.5</v>
      </c>
      <c r="D74" s="92" t="s">
        <v>17</v>
      </c>
      <c r="E74" s="83" t="str">
        <f>VLOOKUP(D74,tblProjekt[#Data],2,FALSE)</f>
        <v>Produktionsportal 2</v>
      </c>
      <c r="F74" s="31" t="s">
        <v>417</v>
      </c>
      <c r="G74" s="83"/>
      <c r="H74" s="31" t="s">
        <v>10</v>
      </c>
      <c r="I74" s="92"/>
      <c r="J74" s="83" t="str">
        <f>VLOOKUP(D74,tblProjekt[#Data],3,FALSE)</f>
        <v>4300074429</v>
      </c>
      <c r="K74" s="83" t="str">
        <f>VLOOKUP(D74,tblProjekt[#Data],4,FALSE)</f>
        <v>PP2</v>
      </c>
      <c r="L74" s="92" t="str">
        <f>VLOOKUP(D74,tblProjekt[],5,FALSE)</f>
        <v>Sandra Despotovic</v>
      </c>
      <c r="M74" s="83" t="str">
        <f>VLOOKUP(D74,tblProjekt[#Data],6,FALSE)</f>
        <v>Roland Borchard</v>
      </c>
      <c r="N74" s="83">
        <f t="shared" si="37"/>
        <v>2015</v>
      </c>
    </row>
    <row r="75" spans="2:14" ht="12.75" customHeight="1">
      <c r="B75" s="96">
        <v>42361</v>
      </c>
      <c r="C75" s="92">
        <v>2.5</v>
      </c>
      <c r="D75" s="92" t="s">
        <v>17</v>
      </c>
      <c r="E75" s="83" t="str">
        <f>VLOOKUP(D75,tblProjekt[#Data],2,FALSE)</f>
        <v>Produktionsportal 2</v>
      </c>
      <c r="F75" s="31" t="s">
        <v>418</v>
      </c>
      <c r="G75" s="83"/>
      <c r="H75" s="31" t="s">
        <v>10</v>
      </c>
      <c r="I75" s="92"/>
      <c r="J75" s="83" t="str">
        <f>VLOOKUP(D75,tblProjekt[#Data],3,FALSE)</f>
        <v>4300074429</v>
      </c>
      <c r="K75" s="83" t="str">
        <f>VLOOKUP(D75,tblProjekt[#Data],4,FALSE)</f>
        <v>PP2</v>
      </c>
      <c r="L75" s="92" t="str">
        <f>VLOOKUP(D75,tblProjekt[],5,FALSE)</f>
        <v>Sandra Despotovic</v>
      </c>
      <c r="M75" s="83" t="str">
        <f>VLOOKUP(D75,tblProjekt[#Data],6,FALSE)</f>
        <v>Roland Borchard</v>
      </c>
      <c r="N75" s="83">
        <f t="shared" ref="N75" si="38" xml:space="preserve"> YEAR(B75)</f>
        <v>2015</v>
      </c>
    </row>
    <row r="76" spans="2:14" ht="12.75" customHeight="1">
      <c r="B76" s="96">
        <v>42366</v>
      </c>
      <c r="C76" s="92">
        <v>3</v>
      </c>
      <c r="D76" s="92" t="s">
        <v>17</v>
      </c>
      <c r="E76" s="83" t="str">
        <f>VLOOKUP(D76,tblProjekt[#Data],2,FALSE)</f>
        <v>Produktionsportal 2</v>
      </c>
      <c r="F76" s="31" t="s">
        <v>392</v>
      </c>
      <c r="G76" s="83"/>
      <c r="H76" s="31" t="s">
        <v>10</v>
      </c>
      <c r="I76" s="92" t="s">
        <v>393</v>
      </c>
      <c r="J76" s="83" t="str">
        <f>VLOOKUP(D76,tblProjekt[#Data],3,FALSE)</f>
        <v>4300074429</v>
      </c>
      <c r="K76" s="83" t="str">
        <f>VLOOKUP(D76,tblProjekt[#Data],4,FALSE)</f>
        <v>PP2</v>
      </c>
      <c r="L76" s="92" t="str">
        <f>VLOOKUP(D76,tblProjekt[],5,FALSE)</f>
        <v>Sandra Despotovic</v>
      </c>
      <c r="M76" s="83" t="str">
        <f>VLOOKUP(D76,tblProjekt[#Data],6,FALSE)</f>
        <v>Roland Borchard</v>
      </c>
      <c r="N76" s="83">
        <f t="shared" si="36"/>
        <v>2015</v>
      </c>
    </row>
    <row r="77" spans="2:14" ht="12.75" customHeight="1">
      <c r="B77" s="96">
        <v>42366</v>
      </c>
      <c r="C77" s="92">
        <v>4.5</v>
      </c>
      <c r="D77" s="92" t="s">
        <v>17</v>
      </c>
      <c r="E77" s="83" t="str">
        <f>VLOOKUP(D77,tblProjekt[#Data],2,FALSE)</f>
        <v>Produktionsportal 2</v>
      </c>
      <c r="F77" s="31" t="s">
        <v>419</v>
      </c>
      <c r="G77" s="83"/>
      <c r="H77" s="31" t="s">
        <v>10</v>
      </c>
      <c r="I77" s="92" t="s">
        <v>393</v>
      </c>
      <c r="J77" s="83" t="str">
        <f>VLOOKUP(D77,tblProjekt[#Data],3,FALSE)</f>
        <v>4300074429</v>
      </c>
      <c r="K77" s="83" t="str">
        <f>VLOOKUP(D77,tblProjekt[#Data],4,FALSE)</f>
        <v>PP2</v>
      </c>
      <c r="L77" s="92" t="str">
        <f>VLOOKUP(D77,tblProjekt[],5,FALSE)</f>
        <v>Sandra Despotovic</v>
      </c>
      <c r="M77" s="83" t="str">
        <f>VLOOKUP(D77,tblProjekt[#Data],6,FALSE)</f>
        <v>Roland Borchard</v>
      </c>
      <c r="N77" s="83">
        <f t="shared" ref="N77" si="39" xml:space="preserve"> YEAR(B77)</f>
        <v>2015</v>
      </c>
    </row>
    <row r="78" spans="2:14" ht="12.75" customHeight="1">
      <c r="B78" s="96">
        <v>42367</v>
      </c>
      <c r="C78" s="92">
        <v>5</v>
      </c>
      <c r="D78" s="92" t="s">
        <v>17</v>
      </c>
      <c r="E78" s="83" t="str">
        <f>VLOOKUP(D78,tblProjekt[#Data],2,FALSE)</f>
        <v>Produktionsportal 2</v>
      </c>
      <c r="F78" s="31" t="s">
        <v>391</v>
      </c>
      <c r="G78" s="83"/>
      <c r="H78" s="31" t="s">
        <v>10</v>
      </c>
      <c r="I78" s="92"/>
      <c r="J78" s="83" t="str">
        <f>VLOOKUP(D78,tblProjekt[#Data],3,FALSE)</f>
        <v>4300074429</v>
      </c>
      <c r="K78" s="83" t="str">
        <f>VLOOKUP(D78,tblProjekt[#Data],4,FALSE)</f>
        <v>PP2</v>
      </c>
      <c r="L78" s="92" t="str">
        <f>VLOOKUP(D78,tblProjekt[],5,FALSE)</f>
        <v>Sandra Despotovic</v>
      </c>
      <c r="M78" s="83" t="str">
        <f>VLOOKUP(D78,tblProjekt[#Data],6,FALSE)</f>
        <v>Roland Borchard</v>
      </c>
      <c r="N78" s="83">
        <f t="shared" ref="N78:N79" si="40" xml:space="preserve"> YEAR(B78)</f>
        <v>2015</v>
      </c>
    </row>
    <row r="79" spans="2:14" ht="12.75" customHeight="1">
      <c r="B79" s="96">
        <v>42368</v>
      </c>
      <c r="C79" s="92">
        <v>2.5</v>
      </c>
      <c r="D79" s="92" t="s">
        <v>17</v>
      </c>
      <c r="E79" s="83" t="str">
        <f>VLOOKUP(D79,tblProjekt[#Data],2,FALSE)</f>
        <v>Produktionsportal 2</v>
      </c>
      <c r="F79" s="31" t="s">
        <v>420</v>
      </c>
      <c r="G79" s="83"/>
      <c r="H79" s="31" t="s">
        <v>10</v>
      </c>
      <c r="I79" s="92"/>
      <c r="J79" s="83" t="str">
        <f>VLOOKUP(D79,tblProjekt[#Data],3,FALSE)</f>
        <v>4300074429</v>
      </c>
      <c r="K79" s="83" t="str">
        <f>VLOOKUP(D79,tblProjekt[#Data],4,FALSE)</f>
        <v>PP2</v>
      </c>
      <c r="L79" s="92" t="str">
        <f>VLOOKUP(D79,tblProjekt[],5,FALSE)</f>
        <v>Sandra Despotovic</v>
      </c>
      <c r="M79" s="83" t="str">
        <f>VLOOKUP(D79,tblProjekt[#Data],6,FALSE)</f>
        <v>Roland Borchard</v>
      </c>
      <c r="N79" s="83">
        <f t="shared" si="40"/>
        <v>2015</v>
      </c>
    </row>
    <row r="80" spans="2:14" ht="12.75" customHeight="1">
      <c r="B80" s="96">
        <v>42368</v>
      </c>
      <c r="C80" s="92">
        <v>2.5</v>
      </c>
      <c r="D80" s="92" t="s">
        <v>17</v>
      </c>
      <c r="E80" s="83" t="str">
        <f>VLOOKUP(D80,tblProjekt[#Data],2,FALSE)</f>
        <v>Produktionsportal 2</v>
      </c>
      <c r="F80" s="31" t="s">
        <v>390</v>
      </c>
      <c r="G80" s="83"/>
      <c r="H80" s="31" t="s">
        <v>10</v>
      </c>
      <c r="I80" s="92"/>
      <c r="J80" s="83" t="str">
        <f>VLOOKUP(D80,tblProjekt[#Data],3,FALSE)</f>
        <v>4300074429</v>
      </c>
      <c r="K80" s="83" t="str">
        <f>VLOOKUP(D80,tblProjekt[#Data],4,FALSE)</f>
        <v>PP2</v>
      </c>
      <c r="L80" s="92" t="str">
        <f>VLOOKUP(D80,tblProjekt[],5,FALSE)</f>
        <v>Sandra Despotovic</v>
      </c>
      <c r="M80" s="83" t="str">
        <f>VLOOKUP(D80,tblProjekt[#Data],6,FALSE)</f>
        <v>Roland Borchard</v>
      </c>
      <c r="N80" s="83">
        <f t="shared" ref="N80:N81" si="41" xml:space="preserve"> YEAR(B80)</f>
        <v>2015</v>
      </c>
    </row>
    <row r="81" spans="2:14" ht="12.75" customHeight="1">
      <c r="B81" s="97">
        <v>42373</v>
      </c>
      <c r="C81" s="92">
        <v>4.5</v>
      </c>
      <c r="D81" s="92" t="s">
        <v>338</v>
      </c>
      <c r="E81" s="83" t="str">
        <f>VLOOKUP(D81,tblProjekt[#Data],2,FALSE)</f>
        <v>Produktionsportal 3</v>
      </c>
      <c r="F81" s="31" t="s">
        <v>452</v>
      </c>
      <c r="G81" s="83"/>
      <c r="H81" s="31" t="s">
        <v>10</v>
      </c>
      <c r="I81" s="92"/>
      <c r="J81" s="83" t="str">
        <f>VLOOKUP(D81,tblProjekt[#Data],3,FALSE)</f>
        <v>4300074429</v>
      </c>
      <c r="K81" s="83" t="str">
        <f>VLOOKUP(D81,tblProjekt[#Data],4,FALSE)</f>
        <v>PP3</v>
      </c>
      <c r="L81" s="92" t="str">
        <f>VLOOKUP(D81,tblProjekt[],5,FALSE)</f>
        <v>Sandra Despotovic</v>
      </c>
      <c r="M81" s="83" t="str">
        <f>VLOOKUP(D81,tblProjekt[#Data],6,FALSE)</f>
        <v>Roland Borchard</v>
      </c>
      <c r="N81" s="83">
        <f t="shared" si="41"/>
        <v>2016</v>
      </c>
    </row>
    <row r="82" spans="2:14" ht="12.75" customHeight="1">
      <c r="B82" s="97">
        <v>42373</v>
      </c>
      <c r="C82" s="92">
        <v>1</v>
      </c>
      <c r="D82" s="92" t="s">
        <v>335</v>
      </c>
      <c r="E82" s="83" t="str">
        <f>VLOOKUP(D82,tblProjekt[#Data],2,FALSE)</f>
        <v>Calculator Österreich, allgemein</v>
      </c>
      <c r="F82" s="31" t="s">
        <v>451</v>
      </c>
      <c r="G82" s="83" t="s">
        <v>334</v>
      </c>
      <c r="H82" s="31" t="s">
        <v>340</v>
      </c>
      <c r="I82" s="92"/>
      <c r="J82" s="83" t="str">
        <f>VLOOKUP(D82,tblProjekt[#Data],3,FALSE)</f>
        <v>4300071964</v>
      </c>
      <c r="K82" s="83" t="str">
        <f>VLOOKUP(D82,tblProjekt[#Data],4,FALSE)</f>
        <v>Austria Calculator</v>
      </c>
      <c r="L82" s="92" t="str">
        <f>VLOOKUP(D82,tblProjekt[],5,FALSE)</f>
        <v>Johner/Baumgartner</v>
      </c>
      <c r="M82" s="83" t="str">
        <f>VLOOKUP(D82,tblProjekt[#Data],6,FALSE)</f>
        <v>Rüdiger Johner</v>
      </c>
      <c r="N82" s="83">
        <f t="shared" ref="N82" si="42" xml:space="preserve"> YEAR(B82)</f>
        <v>2016</v>
      </c>
    </row>
    <row r="83" spans="2:14" ht="12.75" customHeight="1">
      <c r="B83" s="97">
        <v>42374</v>
      </c>
      <c r="C83" s="92">
        <v>8</v>
      </c>
      <c r="D83" s="92" t="s">
        <v>338</v>
      </c>
      <c r="E83" s="83" t="str">
        <f>VLOOKUP(D83,tblProjekt[#Data],2,FALSE)</f>
        <v>Produktionsportal 3</v>
      </c>
      <c r="F83" s="31" t="s">
        <v>453</v>
      </c>
      <c r="G83" s="83"/>
      <c r="H83" s="31" t="s">
        <v>10</v>
      </c>
      <c r="I83" s="92"/>
      <c r="J83" s="83" t="str">
        <f>VLOOKUP(D83,tblProjekt[#Data],3,FALSE)</f>
        <v>4300074429</v>
      </c>
      <c r="K83" s="83" t="str">
        <f>VLOOKUP(D83,tblProjekt[#Data],4,FALSE)</f>
        <v>PP3</v>
      </c>
      <c r="L83" s="92" t="str">
        <f>VLOOKUP(D83,tblProjekt[],5,FALSE)</f>
        <v>Sandra Despotovic</v>
      </c>
      <c r="M83" s="83" t="str">
        <f>VLOOKUP(D83,tblProjekt[#Data],6,FALSE)</f>
        <v>Roland Borchard</v>
      </c>
      <c r="N83" s="83">
        <f t="shared" ref="N83:N84" si="43" xml:space="preserve"> YEAR(B83)</f>
        <v>2016</v>
      </c>
    </row>
    <row r="84" spans="2:14" ht="12.75" customHeight="1">
      <c r="B84" s="97">
        <v>42376</v>
      </c>
      <c r="C84" s="92">
        <v>0.5</v>
      </c>
      <c r="D84" s="92" t="s">
        <v>335</v>
      </c>
      <c r="E84" s="83" t="str">
        <f>VLOOKUP(D84,tblProjekt[#Data],2,FALSE)</f>
        <v>Calculator Österreich, allgemein</v>
      </c>
      <c r="F84" s="31" t="s">
        <v>456</v>
      </c>
      <c r="G84" s="83" t="s">
        <v>334</v>
      </c>
      <c r="H84" s="31" t="s">
        <v>340</v>
      </c>
      <c r="I84" s="92"/>
      <c r="J84" s="83" t="str">
        <f>VLOOKUP(D84,tblProjekt[#Data],3,FALSE)</f>
        <v>4300071964</v>
      </c>
      <c r="K84" s="83" t="str">
        <f>VLOOKUP(D84,tblProjekt[#Data],4,FALSE)</f>
        <v>Austria Calculator</v>
      </c>
      <c r="L84" s="92" t="str">
        <f>VLOOKUP(D84,tblProjekt[],5,FALSE)</f>
        <v>Johner/Baumgartner</v>
      </c>
      <c r="M84" s="83" t="str">
        <f>VLOOKUP(D84,tblProjekt[#Data],6,FALSE)</f>
        <v>Rüdiger Johner</v>
      </c>
      <c r="N84" s="83">
        <f t="shared" si="43"/>
        <v>2016</v>
      </c>
    </row>
    <row r="85" spans="2:14" ht="12.75" customHeight="1">
      <c r="B85" s="97">
        <v>42376</v>
      </c>
      <c r="C85" s="92">
        <v>3.5</v>
      </c>
      <c r="D85" s="92" t="s">
        <v>338</v>
      </c>
      <c r="E85" s="83" t="str">
        <f>VLOOKUP(D85,tblProjekt[#Data],2,FALSE)</f>
        <v>Produktionsportal 3</v>
      </c>
      <c r="F85" s="31" t="s">
        <v>453</v>
      </c>
      <c r="G85" s="83"/>
      <c r="H85" s="31" t="s">
        <v>10</v>
      </c>
      <c r="I85" s="92"/>
      <c r="J85" s="83" t="str">
        <f>VLOOKUP(D85,tblProjekt[#Data],3,FALSE)</f>
        <v>4300074429</v>
      </c>
      <c r="K85" s="83" t="str">
        <f>VLOOKUP(D85,tblProjekt[#Data],4,FALSE)</f>
        <v>PP3</v>
      </c>
      <c r="L85" s="92" t="str">
        <f>VLOOKUP(D85,tblProjekt[],5,FALSE)</f>
        <v>Sandra Despotovic</v>
      </c>
      <c r="M85" s="83" t="str">
        <f>VLOOKUP(D85,tblProjekt[#Data],6,FALSE)</f>
        <v>Roland Borchard</v>
      </c>
      <c r="N85" s="83">
        <f t="shared" ref="N85" si="44" xml:space="preserve"> YEAR(B85)</f>
        <v>2016</v>
      </c>
    </row>
    <row r="86" spans="2:14" ht="12.75" customHeight="1">
      <c r="B86" s="97">
        <v>42377</v>
      </c>
      <c r="C86" s="92">
        <v>5</v>
      </c>
      <c r="D86" s="92" t="s">
        <v>338</v>
      </c>
      <c r="E86" s="83" t="str">
        <f>VLOOKUP(D86,tblProjekt[#Data],2,FALSE)</f>
        <v>Produktionsportal 3</v>
      </c>
      <c r="F86" s="31" t="s">
        <v>453</v>
      </c>
      <c r="G86" s="83"/>
      <c r="H86" s="31" t="s">
        <v>10</v>
      </c>
      <c r="I86" s="92"/>
      <c r="J86" s="83" t="str">
        <f>VLOOKUP(D86,tblProjekt[#Data],3,FALSE)</f>
        <v>4300074429</v>
      </c>
      <c r="K86" s="83" t="str">
        <f>VLOOKUP(D86,tblProjekt[#Data],4,FALSE)</f>
        <v>PP3</v>
      </c>
      <c r="L86" s="92" t="str">
        <f>VLOOKUP(D86,tblProjekt[],5,FALSE)</f>
        <v>Sandra Despotovic</v>
      </c>
      <c r="M86" s="83" t="str">
        <f>VLOOKUP(D86,tblProjekt[#Data],6,FALSE)</f>
        <v>Roland Borchard</v>
      </c>
      <c r="N86" s="83">
        <f t="shared" ref="N86" si="45" xml:space="preserve"> YEAR(B86)</f>
        <v>2016</v>
      </c>
    </row>
    <row r="87" spans="2:14" ht="12.75" customHeight="1">
      <c r="B87" s="97">
        <v>42380</v>
      </c>
      <c r="C87" s="92">
        <v>7</v>
      </c>
      <c r="D87" s="92" t="s">
        <v>338</v>
      </c>
      <c r="E87" s="83" t="str">
        <f>VLOOKUP(D87,tblProjekt[#Data],2,FALSE)</f>
        <v>Produktionsportal 3</v>
      </c>
      <c r="F87" s="31" t="s">
        <v>453</v>
      </c>
      <c r="G87" s="83"/>
      <c r="H87" s="31" t="s">
        <v>10</v>
      </c>
      <c r="I87" s="92"/>
      <c r="J87" s="83" t="str">
        <f>VLOOKUP(D87,tblProjekt[#Data],3,FALSE)</f>
        <v>4300074429</v>
      </c>
      <c r="K87" s="83" t="str">
        <f>VLOOKUP(D87,tblProjekt[#Data],4,FALSE)</f>
        <v>PP3</v>
      </c>
      <c r="L87" s="92" t="str">
        <f>VLOOKUP(D87,tblProjekt[],5,FALSE)</f>
        <v>Sandra Despotovic</v>
      </c>
      <c r="M87" s="83" t="str">
        <f>VLOOKUP(D87,tblProjekt[#Data],6,FALSE)</f>
        <v>Roland Borchard</v>
      </c>
      <c r="N87" s="83">
        <f t="shared" ref="N87" si="46" xml:space="preserve"> YEAR(B87)</f>
        <v>2016</v>
      </c>
    </row>
    <row r="88" spans="2:14" ht="12.75" customHeight="1">
      <c r="B88" s="97">
        <v>42381</v>
      </c>
      <c r="C88" s="92">
        <v>7</v>
      </c>
      <c r="D88" s="92" t="s">
        <v>338</v>
      </c>
      <c r="E88" s="83" t="str">
        <f>VLOOKUP(D88,tblProjekt[#Data],2,FALSE)</f>
        <v>Produktionsportal 3</v>
      </c>
      <c r="F88" s="31" t="s">
        <v>453</v>
      </c>
      <c r="G88" s="83"/>
      <c r="H88" s="31" t="s">
        <v>10</v>
      </c>
      <c r="I88" s="92"/>
      <c r="J88" s="83" t="str">
        <f>VLOOKUP(D88,tblProjekt[#Data],3,FALSE)</f>
        <v>4300074429</v>
      </c>
      <c r="K88" s="83" t="str">
        <f>VLOOKUP(D88,tblProjekt[#Data],4,FALSE)</f>
        <v>PP3</v>
      </c>
      <c r="L88" s="92" t="str">
        <f>VLOOKUP(D88,tblProjekt[],5,FALSE)</f>
        <v>Sandra Despotovic</v>
      </c>
      <c r="M88" s="83" t="str">
        <f>VLOOKUP(D88,tblProjekt[#Data],6,FALSE)</f>
        <v>Roland Borchard</v>
      </c>
      <c r="N88" s="83">
        <f t="shared" ref="N88" si="47" xml:space="preserve"> YEAR(B88)</f>
        <v>2016</v>
      </c>
    </row>
    <row r="89" spans="2:14" ht="12.75" customHeight="1">
      <c r="B89" s="97">
        <v>42381</v>
      </c>
      <c r="C89" s="92">
        <v>0.5</v>
      </c>
      <c r="D89" s="92" t="s">
        <v>65</v>
      </c>
      <c r="E89" s="83" t="str">
        <f>VLOOKUP(D89,tblProjekt[#Data],2,FALSE)</f>
        <v>DPMPSN Calculator</v>
      </c>
      <c r="F89" s="31" t="s">
        <v>454</v>
      </c>
      <c r="G89" s="83"/>
      <c r="H89" s="31" t="s">
        <v>8</v>
      </c>
      <c r="I89" s="92"/>
      <c r="J89" s="83" t="str">
        <f>VLOOKUP(D89,tblProjekt[#Data],3,FALSE)</f>
        <v>4300075042</v>
      </c>
      <c r="K89" s="83" t="str">
        <f>VLOOKUP(D89,tblProjekt[#Data],4,FALSE)</f>
        <v>Cost Calculator National</v>
      </c>
      <c r="L89" s="92" t="str">
        <f>VLOOKUP(D89,tblProjekt[],5,FALSE)</f>
        <v xml:space="preserve">Marlen Pechstein </v>
      </c>
      <c r="M89" s="83" t="str">
        <f>VLOOKUP(D89,tblProjekt[#Data],6,FALSE)</f>
        <v>Marlen Pechstein</v>
      </c>
      <c r="N89" s="83">
        <f t="shared" ref="N89:N91" si="48" xml:space="preserve"> YEAR(B89)</f>
        <v>2016</v>
      </c>
    </row>
    <row r="90" spans="2:14" ht="12.75" customHeight="1">
      <c r="B90" s="97">
        <v>42382</v>
      </c>
      <c r="C90" s="92">
        <v>8.5</v>
      </c>
      <c r="D90" s="92" t="s">
        <v>338</v>
      </c>
      <c r="E90" s="83" t="str">
        <f>VLOOKUP(D90,tblProjekt[#Data],2,FALSE)</f>
        <v>Produktionsportal 3</v>
      </c>
      <c r="F90" s="31" t="s">
        <v>453</v>
      </c>
      <c r="G90" s="83"/>
      <c r="H90" s="31" t="s">
        <v>10</v>
      </c>
      <c r="I90" s="92"/>
      <c r="J90" s="83" t="str">
        <f>VLOOKUP(D90,tblProjekt[#Data],3,FALSE)</f>
        <v>4300074429</v>
      </c>
      <c r="K90" s="83" t="str">
        <f>VLOOKUP(D90,tblProjekt[#Data],4,FALSE)</f>
        <v>PP3</v>
      </c>
      <c r="L90" s="92" t="str">
        <f>VLOOKUP(D90,tblProjekt[],5,FALSE)</f>
        <v>Sandra Despotovic</v>
      </c>
      <c r="M90" s="83" t="str">
        <f>VLOOKUP(D90,tblProjekt[#Data],6,FALSE)</f>
        <v>Roland Borchard</v>
      </c>
      <c r="N90" s="83">
        <f t="shared" si="48"/>
        <v>2016</v>
      </c>
    </row>
    <row r="91" spans="2:14" ht="12.75" customHeight="1">
      <c r="B91" s="97">
        <v>42382</v>
      </c>
      <c r="C91" s="92">
        <v>0.5</v>
      </c>
      <c r="D91" s="92" t="s">
        <v>335</v>
      </c>
      <c r="E91" s="83" t="str">
        <f>VLOOKUP(D91,tblProjekt[#Data],2,FALSE)</f>
        <v>Calculator Österreich, allgemein</v>
      </c>
      <c r="F91" s="31" t="s">
        <v>455</v>
      </c>
      <c r="G91" s="83" t="s">
        <v>334</v>
      </c>
      <c r="H91" s="31" t="s">
        <v>340</v>
      </c>
      <c r="I91" s="92"/>
      <c r="J91" s="83" t="str">
        <f>VLOOKUP(D91,tblProjekt[#Data],3,FALSE)</f>
        <v>4300071964</v>
      </c>
      <c r="K91" s="83" t="str">
        <f>VLOOKUP(D91,tblProjekt[#Data],4,FALSE)</f>
        <v>Austria Calculator</v>
      </c>
      <c r="L91" s="92" t="str">
        <f>VLOOKUP(D91,tblProjekt[],5,FALSE)</f>
        <v>Johner/Baumgartner</v>
      </c>
      <c r="M91" s="83" t="str">
        <f>VLOOKUP(D91,tblProjekt[#Data],6,FALSE)</f>
        <v>Rüdiger Johner</v>
      </c>
      <c r="N91" s="83">
        <f t="shared" si="48"/>
        <v>2016</v>
      </c>
    </row>
    <row r="92" spans="2:14" ht="12.75" customHeight="1">
      <c r="B92" s="97">
        <v>42383</v>
      </c>
      <c r="C92" s="92">
        <v>3.5</v>
      </c>
      <c r="D92" s="92" t="s">
        <v>338</v>
      </c>
      <c r="E92" s="83" t="str">
        <f>VLOOKUP(D92,tblProjekt[#Data],2,FALSE)</f>
        <v>Produktionsportal 3</v>
      </c>
      <c r="F92" s="31" t="s">
        <v>457</v>
      </c>
      <c r="G92" s="83"/>
      <c r="H92" s="31" t="s">
        <v>10</v>
      </c>
      <c r="I92" s="92"/>
      <c r="J92" s="83" t="str">
        <f>VLOOKUP(D92,tblProjekt[#Data],3,FALSE)</f>
        <v>4300074429</v>
      </c>
      <c r="K92" s="83" t="str">
        <f>VLOOKUP(D92,tblProjekt[#Data],4,FALSE)</f>
        <v>PP3</v>
      </c>
      <c r="L92" s="92" t="str">
        <f>VLOOKUP(D92,tblProjekt[],5,FALSE)</f>
        <v>Sandra Despotovic</v>
      </c>
      <c r="M92" s="83" t="str">
        <f>VLOOKUP(D92,tblProjekt[#Data],6,FALSE)</f>
        <v>Roland Borchard</v>
      </c>
      <c r="N92" s="83">
        <f t="shared" ref="N92" si="49" xml:space="preserve"> YEAR(B92)</f>
        <v>2016</v>
      </c>
    </row>
    <row r="93" spans="2:14" ht="12.75" customHeight="1">
      <c r="B93" s="97">
        <v>42383</v>
      </c>
      <c r="C93" s="92">
        <v>1</v>
      </c>
      <c r="D93" s="92" t="s">
        <v>338</v>
      </c>
      <c r="E93" s="83" t="str">
        <f>VLOOKUP(D93,tblProjekt[#Data],2,FALSE)</f>
        <v>Produktionsportal 3</v>
      </c>
      <c r="F93" s="31" t="s">
        <v>458</v>
      </c>
      <c r="G93" s="83"/>
      <c r="H93" s="31" t="s">
        <v>10</v>
      </c>
      <c r="I93" s="92"/>
      <c r="J93" s="83" t="str">
        <f>VLOOKUP(D93,tblProjekt[#Data],3,FALSE)</f>
        <v>4300074429</v>
      </c>
      <c r="K93" s="83" t="str">
        <f>VLOOKUP(D93,tblProjekt[#Data],4,FALSE)</f>
        <v>PP3</v>
      </c>
      <c r="L93" s="92" t="str">
        <f>VLOOKUP(D93,tblProjekt[],5,FALSE)</f>
        <v>Sandra Despotovic</v>
      </c>
      <c r="M93" s="83" t="str">
        <f>VLOOKUP(D93,tblProjekt[#Data],6,FALSE)</f>
        <v>Roland Borchard</v>
      </c>
      <c r="N93" s="83">
        <f t="shared" ref="N93" si="50" xml:space="preserve"> YEAR(B93)</f>
        <v>2016</v>
      </c>
    </row>
    <row r="94" spans="2:14" ht="12.75" customHeight="1">
      <c r="B94" s="97">
        <v>42383</v>
      </c>
      <c r="C94" s="92">
        <v>1</v>
      </c>
      <c r="D94" s="92" t="s">
        <v>338</v>
      </c>
      <c r="E94" s="83" t="str">
        <f>VLOOKUP(D94,tblProjekt[#Data],2,FALSE)</f>
        <v>Produktionsportal 3</v>
      </c>
      <c r="F94" s="31" t="s">
        <v>459</v>
      </c>
      <c r="G94" s="83"/>
      <c r="H94" s="31" t="s">
        <v>10</v>
      </c>
      <c r="I94" s="92"/>
      <c r="J94" s="83" t="str">
        <f>VLOOKUP(D94,tblProjekt[#Data],3,FALSE)</f>
        <v>4300074429</v>
      </c>
      <c r="K94" s="83" t="str">
        <f>VLOOKUP(D94,tblProjekt[#Data],4,FALSE)</f>
        <v>PP3</v>
      </c>
      <c r="L94" s="92" t="str">
        <f>VLOOKUP(D94,tblProjekt[],5,FALSE)</f>
        <v>Sandra Despotovic</v>
      </c>
      <c r="M94" s="83" t="str">
        <f>VLOOKUP(D94,tblProjekt[#Data],6,FALSE)</f>
        <v>Roland Borchard</v>
      </c>
      <c r="N94" s="83">
        <f t="shared" ref="N94" si="51" xml:space="preserve"> YEAR(B94)</f>
        <v>2016</v>
      </c>
    </row>
    <row r="95" spans="2:14" ht="12.75" customHeight="1">
      <c r="B95" s="97">
        <v>42383</v>
      </c>
      <c r="C95" s="92">
        <v>3</v>
      </c>
      <c r="D95" s="92" t="s">
        <v>338</v>
      </c>
      <c r="E95" s="83" t="str">
        <f>VLOOKUP(D95,tblProjekt[#Data],2,FALSE)</f>
        <v>Produktionsportal 3</v>
      </c>
      <c r="F95" s="31" t="s">
        <v>460</v>
      </c>
      <c r="G95" s="83"/>
      <c r="H95" s="31" t="s">
        <v>10</v>
      </c>
      <c r="I95" s="92"/>
      <c r="J95" s="83" t="str">
        <f>VLOOKUP(D95,tblProjekt[#Data],3,FALSE)</f>
        <v>4300074429</v>
      </c>
      <c r="K95" s="83" t="str">
        <f>VLOOKUP(D95,tblProjekt[#Data],4,FALSE)</f>
        <v>PP3</v>
      </c>
      <c r="L95" s="92" t="str">
        <f>VLOOKUP(D95,tblProjekt[],5,FALSE)</f>
        <v>Sandra Despotovic</v>
      </c>
      <c r="M95" s="83" t="str">
        <f>VLOOKUP(D95,tblProjekt[#Data],6,FALSE)</f>
        <v>Roland Borchard</v>
      </c>
      <c r="N95" s="83">
        <f t="shared" ref="N95:N96" si="52" xml:space="preserve"> YEAR(B95)</f>
        <v>2016</v>
      </c>
    </row>
    <row r="96" spans="2:14" ht="12.75" customHeight="1">
      <c r="B96" s="97">
        <v>42384</v>
      </c>
      <c r="C96" s="92">
        <v>4.5</v>
      </c>
      <c r="D96" s="92" t="s">
        <v>335</v>
      </c>
      <c r="E96" s="83" t="str">
        <f>VLOOKUP(D96,tblProjekt[#Data],2,FALSE)</f>
        <v>Calculator Österreich, allgemein</v>
      </c>
      <c r="F96" s="31" t="s">
        <v>461</v>
      </c>
      <c r="G96" s="83" t="s">
        <v>334</v>
      </c>
      <c r="H96" s="31" t="s">
        <v>340</v>
      </c>
      <c r="I96" s="92"/>
      <c r="J96" s="83" t="str">
        <f>VLOOKUP(D96,tblProjekt[#Data],3,FALSE)</f>
        <v>4300071964</v>
      </c>
      <c r="K96" s="83" t="str">
        <f>VLOOKUP(D96,tblProjekt[#Data],4,FALSE)</f>
        <v>Austria Calculator</v>
      </c>
      <c r="L96" s="92" t="str">
        <f>VLOOKUP(D96,tblProjekt[],5,FALSE)</f>
        <v>Johner/Baumgartner</v>
      </c>
      <c r="M96" s="83" t="str">
        <f>VLOOKUP(D96,tblProjekt[#Data],6,FALSE)</f>
        <v>Rüdiger Johner</v>
      </c>
      <c r="N96" s="83">
        <f t="shared" si="52"/>
        <v>2016</v>
      </c>
    </row>
    <row r="97" spans="2:14" ht="12.75" customHeight="1">
      <c r="B97" s="97">
        <v>42384</v>
      </c>
      <c r="C97" s="92">
        <v>2.5</v>
      </c>
      <c r="D97" s="92" t="s">
        <v>338</v>
      </c>
      <c r="E97" s="83" t="str">
        <f>VLOOKUP(D97,tblProjekt[#Data],2,FALSE)</f>
        <v>Produktionsportal 3</v>
      </c>
      <c r="F97" s="31" t="s">
        <v>462</v>
      </c>
      <c r="G97" s="83"/>
      <c r="H97" s="31" t="s">
        <v>10</v>
      </c>
      <c r="I97" s="92"/>
      <c r="J97" s="83" t="str">
        <f>VLOOKUP(D97,tblProjekt[#Data],3,FALSE)</f>
        <v>4300074429</v>
      </c>
      <c r="K97" s="83" t="str">
        <f>VLOOKUP(D97,tblProjekt[#Data],4,FALSE)</f>
        <v>PP3</v>
      </c>
      <c r="L97" s="92" t="str">
        <f>VLOOKUP(D97,tblProjekt[],5,FALSE)</f>
        <v>Sandra Despotovic</v>
      </c>
      <c r="M97" s="83" t="str">
        <f>VLOOKUP(D97,tblProjekt[#Data],6,FALSE)</f>
        <v>Roland Borchard</v>
      </c>
      <c r="N97" s="83">
        <f t="shared" ref="N97" si="53" xml:space="preserve"> YEAR(B97)</f>
        <v>2016</v>
      </c>
    </row>
    <row r="98" spans="2:14" ht="12.75" customHeight="1">
      <c r="B98" s="97">
        <v>42384</v>
      </c>
      <c r="C98" s="92">
        <v>2</v>
      </c>
      <c r="D98" s="92" t="s">
        <v>17</v>
      </c>
      <c r="E98" s="83" t="str">
        <f>VLOOKUP(D98,tblProjekt[#Data],2,FALSE)</f>
        <v>Produktionsportal 2</v>
      </c>
      <c r="F98" s="31" t="s">
        <v>463</v>
      </c>
      <c r="G98" s="83"/>
      <c r="H98" s="31" t="s">
        <v>10</v>
      </c>
      <c r="I98" s="92"/>
      <c r="J98" s="83" t="str">
        <f>VLOOKUP(D98,tblProjekt[#Data],3,FALSE)</f>
        <v>4300074429</v>
      </c>
      <c r="K98" s="83" t="str">
        <f>VLOOKUP(D98,tblProjekt[#Data],4,FALSE)</f>
        <v>PP2</v>
      </c>
      <c r="L98" s="92" t="str">
        <f>VLOOKUP(D98,tblProjekt[],5,FALSE)</f>
        <v>Sandra Despotovic</v>
      </c>
      <c r="M98" s="83" t="str">
        <f>VLOOKUP(D98,tblProjekt[#Data],6,FALSE)</f>
        <v>Roland Borchard</v>
      </c>
      <c r="N98" s="83">
        <f t="shared" ref="N98" si="54" xml:space="preserve"> YEAR(B98)</f>
        <v>2016</v>
      </c>
    </row>
    <row r="99" spans="2:14" ht="12.75" customHeight="1">
      <c r="B99" s="97">
        <v>42387</v>
      </c>
      <c r="C99" s="92">
        <v>1</v>
      </c>
      <c r="D99" s="92" t="s">
        <v>338</v>
      </c>
      <c r="E99" s="83" t="str">
        <f>VLOOKUP(D99,tblProjekt[#Data],2,FALSE)</f>
        <v>Produktionsportal 3</v>
      </c>
      <c r="F99" s="31" t="s">
        <v>464</v>
      </c>
      <c r="G99" s="83"/>
      <c r="H99" s="31" t="s">
        <v>10</v>
      </c>
      <c r="I99" s="92"/>
      <c r="J99" s="83" t="str">
        <f>VLOOKUP(D99,tblProjekt[#Data],3,FALSE)</f>
        <v>4300074429</v>
      </c>
      <c r="K99" s="83" t="str">
        <f>VLOOKUP(D99,tblProjekt[#Data],4,FALSE)</f>
        <v>PP3</v>
      </c>
      <c r="L99" s="92" t="str">
        <f>VLOOKUP(D99,tblProjekt[],5,FALSE)</f>
        <v>Sandra Despotovic</v>
      </c>
      <c r="M99" s="83" t="str">
        <f>VLOOKUP(D99,tblProjekt[#Data],6,FALSE)</f>
        <v>Roland Borchard</v>
      </c>
      <c r="N99" s="83">
        <f t="shared" ref="N99" si="55" xml:space="preserve"> YEAR(B99)</f>
        <v>2016</v>
      </c>
    </row>
    <row r="100" spans="2:14" ht="12.75" customHeight="1">
      <c r="B100" s="97">
        <v>42387</v>
      </c>
      <c r="C100" s="92">
        <v>2.5</v>
      </c>
      <c r="D100" s="92" t="s">
        <v>447</v>
      </c>
      <c r="E100" s="83" t="str">
        <f>VLOOKUP(D100,tblProjekt[#Data],2,FALSE)</f>
        <v>DPMPSN Calculator Change Request</v>
      </c>
      <c r="F100" s="31" t="s">
        <v>426</v>
      </c>
      <c r="G100" s="83"/>
      <c r="H100" s="31" t="s">
        <v>8</v>
      </c>
      <c r="I100" s="92"/>
      <c r="J100" s="83" t="str">
        <f>VLOOKUP(D100,tblProjekt[#Data],3,FALSE)</f>
        <v>4300075042</v>
      </c>
      <c r="K100" s="83" t="str">
        <f>VLOOKUP(D100,tblProjekt[#Data],4,FALSE)</f>
        <v>Calculator DPMPSN Maintenace</v>
      </c>
      <c r="L100" s="92" t="str">
        <f>VLOOKUP(D100,tblProjekt[],5,FALSE)</f>
        <v xml:space="preserve">Marlen Pechstein </v>
      </c>
      <c r="M100" s="83" t="str">
        <f>VLOOKUP(D100,tblProjekt[#Data],6,FALSE)</f>
        <v xml:space="preserve">Marlen Pechstein </v>
      </c>
      <c r="N100" s="83">
        <f t="shared" ref="N100:N101" si="56" xml:space="preserve"> YEAR(B100)</f>
        <v>2016</v>
      </c>
    </row>
    <row r="101" spans="2:14" ht="12.75" customHeight="1">
      <c r="B101" s="97">
        <v>42387</v>
      </c>
      <c r="C101" s="92">
        <v>1</v>
      </c>
      <c r="D101" s="92" t="s">
        <v>17</v>
      </c>
      <c r="E101" s="83" t="str">
        <f>VLOOKUP(D101,tblProjekt[#Data],2,FALSE)</f>
        <v>Produktionsportal 2</v>
      </c>
      <c r="F101" s="31" t="s">
        <v>465</v>
      </c>
      <c r="G101" s="83"/>
      <c r="H101" s="31" t="s">
        <v>125</v>
      </c>
      <c r="I101" s="92"/>
      <c r="J101" s="83" t="str">
        <f>VLOOKUP(D101,tblProjekt[#Data],3,FALSE)</f>
        <v>4300074429</v>
      </c>
      <c r="K101" s="83" t="str">
        <f>VLOOKUP(D101,tblProjekt[#Data],4,FALSE)</f>
        <v>PP2</v>
      </c>
      <c r="L101" s="92" t="str">
        <f>VLOOKUP(D101,tblProjekt[],5,FALSE)</f>
        <v>Sandra Despotovic</v>
      </c>
      <c r="M101" s="83" t="str">
        <f>VLOOKUP(D101,tblProjekt[#Data],6,FALSE)</f>
        <v>Roland Borchard</v>
      </c>
      <c r="N101" s="83">
        <f t="shared" si="56"/>
        <v>2016</v>
      </c>
    </row>
    <row r="102" spans="2:14" ht="12.75" customHeight="1">
      <c r="B102" s="97">
        <v>42388</v>
      </c>
      <c r="C102" s="92">
        <v>2</v>
      </c>
      <c r="D102" s="92" t="s">
        <v>335</v>
      </c>
      <c r="E102" s="83" t="str">
        <f>VLOOKUP(D102,tblProjekt[#Data],2,FALSE)</f>
        <v>Calculator Österreich, allgemein</v>
      </c>
      <c r="F102" s="92" t="s">
        <v>466</v>
      </c>
      <c r="G102" s="83" t="s">
        <v>334</v>
      </c>
      <c r="H102" s="92" t="s">
        <v>340</v>
      </c>
      <c r="I102" s="92"/>
      <c r="J102" s="83" t="str">
        <f>VLOOKUP(D102,tblProjekt[#Data],3,FALSE)</f>
        <v>4300071964</v>
      </c>
      <c r="K102" s="83" t="str">
        <f>VLOOKUP(D102,tblProjekt[#Data],4,FALSE)</f>
        <v>Austria Calculator</v>
      </c>
      <c r="L102" s="92" t="str">
        <f>VLOOKUP(D102,tblProjekt[],5,FALSE)</f>
        <v>Johner/Baumgartner</v>
      </c>
      <c r="M102" s="83" t="str">
        <f>VLOOKUP(D102,tblProjekt[#Data],6,FALSE)</f>
        <v>Rüdiger Johner</v>
      </c>
      <c r="N102" s="83">
        <f xml:space="preserve"> YEAR(B102)</f>
        <v>2016</v>
      </c>
    </row>
    <row r="103" spans="2:14" ht="12.75" customHeight="1">
      <c r="B103" s="98">
        <v>42388</v>
      </c>
      <c r="C103" s="92">
        <v>0.5</v>
      </c>
      <c r="D103" s="92" t="s">
        <v>228</v>
      </c>
      <c r="E103" s="83" t="str">
        <f>VLOOKUP(D103,tblProjekt[#Data],2,FALSE)</f>
        <v>Powercharts Anpassung SQL 2012</v>
      </c>
      <c r="F103" s="92" t="s">
        <v>432</v>
      </c>
      <c r="G103" s="83"/>
      <c r="H103" s="92" t="s">
        <v>431</v>
      </c>
      <c r="I103" s="92"/>
      <c r="J103" s="83" t="str">
        <f>VLOOKUP(D103,tblProjekt[#Data],3,FALSE)</f>
        <v>4300074431</v>
      </c>
      <c r="K103" s="83" t="str">
        <f>VLOOKUP(D103,tblProjekt[#Data],4,FALSE)</f>
        <v>Powercharts Anpassung SQL 2012</v>
      </c>
      <c r="L103" s="92" t="str">
        <f>VLOOKUP(D103,tblProjekt[],5,FALSE)</f>
        <v>Roland Borchard</v>
      </c>
      <c r="M103" s="83" t="str">
        <f>VLOOKUP(D103,tblProjekt[#Data],6,FALSE)</f>
        <v>Roland Borchard</v>
      </c>
      <c r="N103" s="83">
        <f xml:space="preserve"> YEAR(B103)</f>
        <v>2016</v>
      </c>
    </row>
    <row r="104" spans="2:14" ht="12.75" customHeight="1">
      <c r="B104" s="97">
        <v>42388</v>
      </c>
      <c r="C104" s="92">
        <v>3</v>
      </c>
      <c r="D104" s="92" t="s">
        <v>447</v>
      </c>
      <c r="E104" s="83" t="str">
        <f>VLOOKUP(D104,tblProjekt[#Data],2,FALSE)</f>
        <v>DPMPSN Calculator Change Request</v>
      </c>
      <c r="F104" s="31" t="s">
        <v>467</v>
      </c>
      <c r="G104" s="83" t="s">
        <v>127</v>
      </c>
      <c r="H104" s="31" t="s">
        <v>8</v>
      </c>
      <c r="I104" s="92"/>
      <c r="J104" s="83" t="str">
        <f>VLOOKUP(D104,tblProjekt[#Data],3,FALSE)</f>
        <v>4300075042</v>
      </c>
      <c r="K104" s="83" t="str">
        <f>VLOOKUP(D104,tblProjekt[#Data],4,FALSE)</f>
        <v>Calculator DPMPSN Maintenace</v>
      </c>
      <c r="L104" s="92" t="str">
        <f>VLOOKUP(D104,tblProjekt[],5,FALSE)</f>
        <v xml:space="preserve">Marlen Pechstein </v>
      </c>
      <c r="M104" s="83" t="str">
        <f>VLOOKUP(D104,tblProjekt[#Data],6,FALSE)</f>
        <v xml:space="preserve">Marlen Pechstein </v>
      </c>
      <c r="N104" s="83">
        <f t="shared" ref="N104" si="57" xml:space="preserve"> YEAR(B104)</f>
        <v>2016</v>
      </c>
    </row>
    <row r="105" spans="2:14" ht="12.75" customHeight="1">
      <c r="B105" s="97">
        <v>42388</v>
      </c>
      <c r="C105" s="92">
        <v>2</v>
      </c>
      <c r="D105" s="92" t="s">
        <v>447</v>
      </c>
      <c r="E105" s="83" t="str">
        <f>VLOOKUP(D105,tblProjekt[#Data],2,FALSE)</f>
        <v>DPMPSN Calculator Change Request</v>
      </c>
      <c r="F105" s="31" t="s">
        <v>427</v>
      </c>
      <c r="G105" s="83" t="s">
        <v>231</v>
      </c>
      <c r="H105" s="31" t="s">
        <v>8</v>
      </c>
      <c r="I105" s="92"/>
      <c r="J105" s="83" t="str">
        <f>VLOOKUP(D105,tblProjekt[#Data],3,FALSE)</f>
        <v>4300075042</v>
      </c>
      <c r="K105" s="83" t="str">
        <f>VLOOKUP(D105,tblProjekt[#Data],4,FALSE)</f>
        <v>Calculator DPMPSN Maintenace</v>
      </c>
      <c r="L105" s="92" t="str">
        <f>VLOOKUP(D105,tblProjekt[],5,FALSE)</f>
        <v xml:space="preserve">Marlen Pechstein </v>
      </c>
      <c r="M105" s="83" t="str">
        <f>VLOOKUP(D105,tblProjekt[#Data],6,FALSE)</f>
        <v xml:space="preserve">Marlen Pechstein </v>
      </c>
      <c r="N105" s="83">
        <f t="shared" ref="N105" si="58" xml:space="preserve"> YEAR(B105)</f>
        <v>2016</v>
      </c>
    </row>
    <row r="106" spans="2:14" ht="12.75" customHeight="1">
      <c r="B106" s="97">
        <v>42388</v>
      </c>
      <c r="C106" s="92">
        <v>1</v>
      </c>
      <c r="D106" s="92" t="s">
        <v>338</v>
      </c>
      <c r="E106" s="83" t="str">
        <f>VLOOKUP(D106,tblProjekt[#Data],2,FALSE)</f>
        <v>Produktionsportal 3</v>
      </c>
      <c r="F106" s="31" t="s">
        <v>468</v>
      </c>
      <c r="G106" s="83"/>
      <c r="H106" s="31" t="s">
        <v>10</v>
      </c>
      <c r="I106" s="92"/>
      <c r="J106" s="83" t="str">
        <f>VLOOKUP(D106,tblProjekt[#Data],3,FALSE)</f>
        <v>4300074429</v>
      </c>
      <c r="K106" s="83" t="str">
        <f>VLOOKUP(D106,tblProjekt[#Data],4,FALSE)</f>
        <v>PP3</v>
      </c>
      <c r="L106" s="92" t="str">
        <f>VLOOKUP(D106,tblProjekt[],5,FALSE)</f>
        <v>Sandra Despotovic</v>
      </c>
      <c r="M106" s="83" t="str">
        <f>VLOOKUP(D106,tblProjekt[#Data],6,FALSE)</f>
        <v>Roland Borchard</v>
      </c>
      <c r="N106" s="83">
        <f t="shared" ref="N106" si="59" xml:space="preserve"> YEAR(B106)</f>
        <v>2016</v>
      </c>
    </row>
    <row r="107" spans="2:14" ht="12.75" customHeight="1">
      <c r="B107" s="97">
        <v>42388</v>
      </c>
      <c r="C107" s="92">
        <v>2</v>
      </c>
      <c r="D107" s="92" t="s">
        <v>447</v>
      </c>
      <c r="E107" s="83" t="str">
        <f>VLOOKUP(D107,tblProjekt[#Data],2,FALSE)</f>
        <v>DPMPSN Calculator Change Request</v>
      </c>
      <c r="F107" s="31" t="s">
        <v>469</v>
      </c>
      <c r="G107" s="83" t="s">
        <v>233</v>
      </c>
      <c r="H107" s="31" t="s">
        <v>8</v>
      </c>
      <c r="I107" s="92"/>
      <c r="J107" s="83" t="str">
        <f>VLOOKUP(D107,tblProjekt[#Data],3,FALSE)</f>
        <v>4300075042</v>
      </c>
      <c r="K107" s="83" t="str">
        <f>VLOOKUP(D107,tblProjekt[#Data],4,FALSE)</f>
        <v>Calculator DPMPSN Maintenace</v>
      </c>
      <c r="L107" s="92" t="str">
        <f>VLOOKUP(D107,tblProjekt[],5,FALSE)</f>
        <v xml:space="preserve">Marlen Pechstein </v>
      </c>
      <c r="M107" s="83" t="str">
        <f>VLOOKUP(D107,tblProjekt[#Data],6,FALSE)</f>
        <v xml:space="preserve">Marlen Pechstein </v>
      </c>
      <c r="N107" s="83">
        <f t="shared" ref="N107" si="60" xml:space="preserve"> YEAR(B107)</f>
        <v>2016</v>
      </c>
    </row>
    <row r="108" spans="2:14" ht="12.75" customHeight="1">
      <c r="B108" s="97">
        <v>42389</v>
      </c>
      <c r="C108" s="92">
        <v>2.5</v>
      </c>
      <c r="D108" s="92" t="s">
        <v>447</v>
      </c>
      <c r="E108" s="83" t="str">
        <f>VLOOKUP(D108,tblProjekt[#Data],2,FALSE)</f>
        <v>DPMPSN Calculator Change Request</v>
      </c>
      <c r="F108" s="31" t="s">
        <v>470</v>
      </c>
      <c r="G108" s="83" t="s">
        <v>233</v>
      </c>
      <c r="H108" s="31" t="s">
        <v>8</v>
      </c>
      <c r="I108" s="92"/>
      <c r="J108" s="83" t="str">
        <f>VLOOKUP(D108,tblProjekt[#Data],3,FALSE)</f>
        <v>4300075042</v>
      </c>
      <c r="K108" s="83" t="str">
        <f>VLOOKUP(D108,tblProjekt[#Data],4,FALSE)</f>
        <v>Calculator DPMPSN Maintenace</v>
      </c>
      <c r="L108" s="92" t="str">
        <f>VLOOKUP(D108,tblProjekt[],5,FALSE)</f>
        <v xml:space="preserve">Marlen Pechstein </v>
      </c>
      <c r="M108" s="83" t="str">
        <f>VLOOKUP(D108,tblProjekt[#Data],6,FALSE)</f>
        <v xml:space="preserve">Marlen Pechstein </v>
      </c>
      <c r="N108" s="83">
        <f t="shared" ref="N108:N111" si="61" xml:space="preserve"> YEAR(B108)</f>
        <v>2016</v>
      </c>
    </row>
    <row r="109" spans="2:14" ht="12.75" customHeight="1">
      <c r="B109" s="97">
        <v>42389</v>
      </c>
      <c r="C109" s="92">
        <v>3.5</v>
      </c>
      <c r="D109" s="92" t="s">
        <v>338</v>
      </c>
      <c r="E109" s="83" t="str">
        <f>VLOOKUP(D109,tblProjekt[#Data],2,FALSE)</f>
        <v>Produktionsportal 3</v>
      </c>
      <c r="F109" s="31" t="s">
        <v>468</v>
      </c>
      <c r="G109" s="83"/>
      <c r="H109" s="31" t="s">
        <v>10</v>
      </c>
      <c r="I109" s="92"/>
      <c r="J109" s="83" t="str">
        <f>VLOOKUP(D109,tblProjekt[#Data],3,FALSE)</f>
        <v>4300074429</v>
      </c>
      <c r="K109" s="83" t="str">
        <f>VLOOKUP(D109,tblProjekt[#Data],4,FALSE)</f>
        <v>PP3</v>
      </c>
      <c r="L109" s="92" t="str">
        <f>VLOOKUP(D109,tblProjekt[],5,FALSE)</f>
        <v>Sandra Despotovic</v>
      </c>
      <c r="M109" s="83" t="str">
        <f>VLOOKUP(D109,tblProjekt[#Data],6,FALSE)</f>
        <v>Roland Borchard</v>
      </c>
      <c r="N109" s="83">
        <f t="shared" si="61"/>
        <v>2016</v>
      </c>
    </row>
    <row r="110" spans="2:14" ht="12.75" customHeight="1">
      <c r="B110" s="97">
        <v>42390</v>
      </c>
      <c r="C110" s="92">
        <v>0.5</v>
      </c>
      <c r="D110" s="92" t="s">
        <v>447</v>
      </c>
      <c r="E110" s="83" t="str">
        <f>VLOOKUP(D110,tblProjekt[#Data],2,FALSE)</f>
        <v>DPMPSN Calculator Change Request</v>
      </c>
      <c r="F110" s="31" t="s">
        <v>472</v>
      </c>
      <c r="G110" s="83" t="s">
        <v>231</v>
      </c>
      <c r="H110" s="31" t="s">
        <v>8</v>
      </c>
      <c r="I110" s="92"/>
      <c r="J110" s="83" t="str">
        <f>VLOOKUP(D110,tblProjekt[#Data],3,FALSE)</f>
        <v>4300075042</v>
      </c>
      <c r="K110" s="83" t="str">
        <f>VLOOKUP(D110,tblProjekt[#Data],4,FALSE)</f>
        <v>Calculator DPMPSN Maintenace</v>
      </c>
      <c r="L110" s="92" t="str">
        <f>VLOOKUP(D110,tblProjekt[],5,FALSE)</f>
        <v xml:space="preserve">Marlen Pechstein </v>
      </c>
      <c r="M110" s="83" t="str">
        <f>VLOOKUP(D110,tblProjekt[#Data],6,FALSE)</f>
        <v xml:space="preserve">Marlen Pechstein </v>
      </c>
      <c r="N110" s="83">
        <f t="shared" ref="N110" si="62" xml:space="preserve"> YEAR(B110)</f>
        <v>2016</v>
      </c>
    </row>
    <row r="111" spans="2:14" ht="12.75" customHeight="1">
      <c r="B111" s="97">
        <v>42390</v>
      </c>
      <c r="C111" s="92">
        <v>1.5</v>
      </c>
      <c r="D111" s="92" t="s">
        <v>17</v>
      </c>
      <c r="E111" s="83" t="str">
        <f>VLOOKUP(D111,tblProjekt[#Data],2,FALSE)</f>
        <v>Produktionsportal 2</v>
      </c>
      <c r="F111" s="31" t="s">
        <v>471</v>
      </c>
      <c r="G111" s="83"/>
      <c r="H111" s="31" t="s">
        <v>125</v>
      </c>
      <c r="I111" s="92"/>
      <c r="J111" s="83" t="str">
        <f>VLOOKUP(D111,tblProjekt[#Data],3,FALSE)</f>
        <v>4300074429</v>
      </c>
      <c r="K111" s="83" t="str">
        <f>VLOOKUP(D111,tblProjekt[#Data],4,FALSE)</f>
        <v>PP2</v>
      </c>
      <c r="L111" s="92" t="str">
        <f>VLOOKUP(D111,tblProjekt[],5,FALSE)</f>
        <v>Sandra Despotovic</v>
      </c>
      <c r="M111" s="83" t="str">
        <f>VLOOKUP(D111,tblProjekt[#Data],6,FALSE)</f>
        <v>Roland Borchard</v>
      </c>
      <c r="N111" s="83">
        <f t="shared" si="61"/>
        <v>2016</v>
      </c>
    </row>
    <row r="112" spans="2:14" ht="12.75" customHeight="1">
      <c r="B112" s="97">
        <v>42390</v>
      </c>
      <c r="C112" s="92">
        <v>1.5</v>
      </c>
      <c r="D112" s="92" t="s">
        <v>17</v>
      </c>
      <c r="E112" s="83" t="str">
        <f>VLOOKUP(D112,tblProjekt[#Data],2,FALSE)</f>
        <v>Produktionsportal 2</v>
      </c>
      <c r="F112" s="31" t="s">
        <v>428</v>
      </c>
      <c r="G112" s="83"/>
      <c r="H112" s="31" t="s">
        <v>10</v>
      </c>
      <c r="I112" s="92"/>
      <c r="J112" s="83" t="str">
        <f>VLOOKUP(D112,tblProjekt[#Data],3,FALSE)</f>
        <v>4300074429</v>
      </c>
      <c r="K112" s="83" t="str">
        <f>VLOOKUP(D112,tblProjekt[#Data],4,FALSE)</f>
        <v>PP2</v>
      </c>
      <c r="L112" s="92" t="str">
        <f>VLOOKUP(D112,tblProjekt[],5,FALSE)</f>
        <v>Sandra Despotovic</v>
      </c>
      <c r="M112" s="83" t="str">
        <f>VLOOKUP(D112,tblProjekt[#Data],6,FALSE)</f>
        <v>Roland Borchard</v>
      </c>
      <c r="N112" s="83">
        <f t="shared" ref="N112" si="63" xml:space="preserve"> YEAR(B112)</f>
        <v>2016</v>
      </c>
    </row>
    <row r="113" spans="2:14" ht="12.75" customHeight="1">
      <c r="B113" s="97">
        <v>42390</v>
      </c>
      <c r="C113" s="92">
        <v>1</v>
      </c>
      <c r="D113" s="92" t="s">
        <v>17</v>
      </c>
      <c r="E113" s="83" t="str">
        <f>VLOOKUP(D113,tblProjekt[#Data],2,FALSE)</f>
        <v>Produktionsportal 2</v>
      </c>
      <c r="F113" s="31" t="s">
        <v>429</v>
      </c>
      <c r="G113" s="83"/>
      <c r="H113" s="31" t="s">
        <v>10</v>
      </c>
      <c r="I113" s="92"/>
      <c r="J113" s="83" t="str">
        <f>VLOOKUP(D113,tblProjekt[#Data],3,FALSE)</f>
        <v>4300074429</v>
      </c>
      <c r="K113" s="83" t="str">
        <f>VLOOKUP(D113,tblProjekt[#Data],4,FALSE)</f>
        <v>PP2</v>
      </c>
      <c r="L113" s="92" t="str">
        <f>VLOOKUP(D113,tblProjekt[],5,FALSE)</f>
        <v>Sandra Despotovic</v>
      </c>
      <c r="M113" s="83" t="str">
        <f>VLOOKUP(D113,tblProjekt[#Data],6,FALSE)</f>
        <v>Roland Borchard</v>
      </c>
      <c r="N113" s="83">
        <f t="shared" ref="N113:N115" si="64" xml:space="preserve"> YEAR(B113)</f>
        <v>2016</v>
      </c>
    </row>
    <row r="114" spans="2:14" ht="12.75" customHeight="1">
      <c r="B114" s="97">
        <v>42390</v>
      </c>
      <c r="C114" s="92">
        <v>1</v>
      </c>
      <c r="D114" s="92" t="s">
        <v>447</v>
      </c>
      <c r="E114" s="83" t="str">
        <f>VLOOKUP(D114,tblProjekt[#Data],2,FALSE)</f>
        <v>DPMPSN Calculator Change Request</v>
      </c>
      <c r="F114" s="31" t="s">
        <v>430</v>
      </c>
      <c r="G114" s="83" t="s">
        <v>231</v>
      </c>
      <c r="H114" s="31" t="s">
        <v>8</v>
      </c>
      <c r="I114" s="92"/>
      <c r="J114" s="83" t="str">
        <f>VLOOKUP(D114,tblProjekt[#Data],3,FALSE)</f>
        <v>4300075042</v>
      </c>
      <c r="K114" s="83" t="str">
        <f>VLOOKUP(D114,tblProjekt[#Data],4,FALSE)</f>
        <v>Calculator DPMPSN Maintenace</v>
      </c>
      <c r="L114" s="92" t="str">
        <f>VLOOKUP(D114,tblProjekt[],5,FALSE)</f>
        <v xml:space="preserve">Marlen Pechstein </v>
      </c>
      <c r="M114" s="83" t="str">
        <f>VLOOKUP(D114,tblProjekt[#Data],6,FALSE)</f>
        <v xml:space="preserve">Marlen Pechstein </v>
      </c>
      <c r="N114" s="83">
        <f t="shared" si="64"/>
        <v>2016</v>
      </c>
    </row>
    <row r="115" spans="2:14" ht="12.75" customHeight="1">
      <c r="B115" s="97">
        <v>42390</v>
      </c>
      <c r="C115" s="92">
        <v>1.5</v>
      </c>
      <c r="D115" s="92" t="s">
        <v>335</v>
      </c>
      <c r="E115" s="83" t="str">
        <f>VLOOKUP(D115,tblProjekt[#Data],2,FALSE)</f>
        <v>Calculator Österreich, allgemein</v>
      </c>
      <c r="F115" s="31" t="s">
        <v>494</v>
      </c>
      <c r="G115" s="83" t="s">
        <v>230</v>
      </c>
      <c r="H115" s="31" t="s">
        <v>340</v>
      </c>
      <c r="I115" s="92"/>
      <c r="J115" s="83" t="str">
        <f>VLOOKUP(D115,tblProjekt[#Data],3,FALSE)</f>
        <v>4300071964</v>
      </c>
      <c r="K115" s="83" t="str">
        <f>VLOOKUP(D115,tblProjekt[#Data],4,FALSE)</f>
        <v>Austria Calculator</v>
      </c>
      <c r="L115" s="92" t="str">
        <f>VLOOKUP(D115,tblProjekt[],5,FALSE)</f>
        <v>Johner/Baumgartner</v>
      </c>
      <c r="M115" s="83" t="str">
        <f>VLOOKUP(D115,tblProjekt[#Data],6,FALSE)</f>
        <v>Rüdiger Johner</v>
      </c>
      <c r="N115" s="83">
        <f t="shared" si="64"/>
        <v>2016</v>
      </c>
    </row>
    <row r="116" spans="2:14" ht="12.75" customHeight="1">
      <c r="B116" s="97">
        <v>42390</v>
      </c>
      <c r="C116" s="92">
        <v>1.5</v>
      </c>
      <c r="D116" s="92" t="s">
        <v>447</v>
      </c>
      <c r="E116" s="83" t="str">
        <f>VLOOKUP(D116,tblProjekt[#Data],2,FALSE)</f>
        <v>DPMPSN Calculator Change Request</v>
      </c>
      <c r="F116" s="31" t="s">
        <v>473</v>
      </c>
      <c r="G116" s="83" t="s">
        <v>127</v>
      </c>
      <c r="H116" s="31" t="s">
        <v>8</v>
      </c>
      <c r="I116" s="92"/>
      <c r="J116" s="83" t="str">
        <f>VLOOKUP(D116,tblProjekt[#Data],3,FALSE)</f>
        <v>4300075042</v>
      </c>
      <c r="K116" s="83" t="str">
        <f>VLOOKUP(D116,tblProjekt[#Data],4,FALSE)</f>
        <v>Calculator DPMPSN Maintenace</v>
      </c>
      <c r="L116" s="92" t="str">
        <f>VLOOKUP(D116,tblProjekt[],5,FALSE)</f>
        <v xml:space="preserve">Marlen Pechstein </v>
      </c>
      <c r="M116" s="83" t="str">
        <f>VLOOKUP(D116,tblProjekt[#Data],6,FALSE)</f>
        <v xml:space="preserve">Marlen Pechstein </v>
      </c>
      <c r="N116" s="83">
        <f t="shared" ref="N116:N117" si="65" xml:space="preserve"> YEAR(B116)</f>
        <v>2016</v>
      </c>
    </row>
    <row r="117" spans="2:14" ht="12.75" customHeight="1">
      <c r="B117" s="97">
        <v>42390</v>
      </c>
      <c r="C117" s="92">
        <v>1.5</v>
      </c>
      <c r="D117" s="92" t="s">
        <v>17</v>
      </c>
      <c r="E117" s="83" t="str">
        <f>VLOOKUP(D117,tblProjekt[#Data],2,FALSE)</f>
        <v>Produktionsportal 2</v>
      </c>
      <c r="F117" s="31" t="s">
        <v>474</v>
      </c>
      <c r="G117" s="83"/>
      <c r="H117" s="31" t="s">
        <v>10</v>
      </c>
      <c r="I117" s="92"/>
      <c r="J117" s="83" t="str">
        <f>VLOOKUP(D117,tblProjekt[#Data],3,FALSE)</f>
        <v>4300074429</v>
      </c>
      <c r="K117" s="83" t="str">
        <f>VLOOKUP(D117,tblProjekt[#Data],4,FALSE)</f>
        <v>PP2</v>
      </c>
      <c r="L117" s="92" t="str">
        <f>VLOOKUP(D117,tblProjekt[],5,FALSE)</f>
        <v>Sandra Despotovic</v>
      </c>
      <c r="M117" s="83" t="str">
        <f>VLOOKUP(D117,tblProjekt[#Data],6,FALSE)</f>
        <v>Roland Borchard</v>
      </c>
      <c r="N117" s="83">
        <f t="shared" si="65"/>
        <v>2016</v>
      </c>
    </row>
    <row r="118" spans="2:14" ht="12.75" customHeight="1">
      <c r="B118" s="97">
        <v>42390</v>
      </c>
      <c r="C118" s="92">
        <v>3</v>
      </c>
      <c r="D118" s="92" t="s">
        <v>17</v>
      </c>
      <c r="E118" s="83" t="str">
        <f>VLOOKUP(D118,tblProjekt[#Data],2,FALSE)</f>
        <v>Produktionsportal 2</v>
      </c>
      <c r="F118" s="31" t="s">
        <v>475</v>
      </c>
      <c r="G118" s="83"/>
      <c r="H118" s="31" t="s">
        <v>10</v>
      </c>
      <c r="I118" s="92"/>
      <c r="J118" s="83" t="str">
        <f>VLOOKUP(D118,tblProjekt[#Data],3,FALSE)</f>
        <v>4300074429</v>
      </c>
      <c r="K118" s="83" t="str">
        <f>VLOOKUP(D118,tblProjekt[#Data],4,FALSE)</f>
        <v>PP2</v>
      </c>
      <c r="L118" s="92" t="str">
        <f>VLOOKUP(D118,tblProjekt[],5,FALSE)</f>
        <v>Sandra Despotovic</v>
      </c>
      <c r="M118" s="83" t="str">
        <f>VLOOKUP(D118,tblProjekt[#Data],6,FALSE)</f>
        <v>Roland Borchard</v>
      </c>
      <c r="N118" s="83">
        <f t="shared" ref="N118:N119" si="66" xml:space="preserve"> YEAR(B118)</f>
        <v>2016</v>
      </c>
    </row>
    <row r="119" spans="2:14" ht="12.75" customHeight="1">
      <c r="B119" s="97">
        <v>42391</v>
      </c>
      <c r="C119" s="92">
        <v>1.5</v>
      </c>
      <c r="D119" s="92" t="s">
        <v>447</v>
      </c>
      <c r="E119" s="83" t="str">
        <f>VLOOKUP(D119,tblProjekt[#Data],2,FALSE)</f>
        <v>DPMPSN Calculator Change Request</v>
      </c>
      <c r="F119" s="31" t="s">
        <v>476</v>
      </c>
      <c r="G119" s="83" t="s">
        <v>233</v>
      </c>
      <c r="H119" s="31" t="s">
        <v>8</v>
      </c>
      <c r="I119" s="92"/>
      <c r="J119" s="83" t="str">
        <f>VLOOKUP(D119,tblProjekt[#Data],3,FALSE)</f>
        <v>4300075042</v>
      </c>
      <c r="K119" s="83" t="str">
        <f>VLOOKUP(D119,tblProjekt[#Data],4,FALSE)</f>
        <v>Calculator DPMPSN Maintenace</v>
      </c>
      <c r="L119" s="92" t="str">
        <f>VLOOKUP(D119,tblProjekt[],5,FALSE)</f>
        <v xml:space="preserve">Marlen Pechstein </v>
      </c>
      <c r="M119" s="83" t="str">
        <f>VLOOKUP(D119,tblProjekt[#Data],6,FALSE)</f>
        <v xml:space="preserve">Marlen Pechstein </v>
      </c>
      <c r="N119" s="83">
        <f t="shared" si="66"/>
        <v>2016</v>
      </c>
    </row>
    <row r="120" spans="2:14" ht="12.75" customHeight="1">
      <c r="B120" s="97">
        <v>42391</v>
      </c>
      <c r="C120" s="92">
        <v>1.5</v>
      </c>
      <c r="D120" s="92" t="s">
        <v>85</v>
      </c>
      <c r="E120" s="83" t="str">
        <f>VLOOKUP(D120,tblProjekt[#Data],2,FALSE)</f>
        <v>Klosterfrau Mass Market</v>
      </c>
      <c r="F120" s="31" t="s">
        <v>360</v>
      </c>
      <c r="G120" s="83"/>
      <c r="H120" s="31" t="s">
        <v>133</v>
      </c>
      <c r="I120" s="92"/>
      <c r="J120" s="83" t="str">
        <f>VLOOKUP(D120,tblProjekt[#Data],3,FALSE)</f>
        <v>4300074434</v>
      </c>
      <c r="K120" s="83" t="str">
        <f>VLOOKUP(D120,tblProjekt[#Data],4,FALSE)</f>
        <v>Taunus</v>
      </c>
      <c r="L120" s="92" t="str">
        <f>VLOOKUP(D120,tblProjekt[],5,FALSE)</f>
        <v>Alexander Crone</v>
      </c>
      <c r="M120" s="83" t="str">
        <f>VLOOKUP(D120,tblProjekt[#Data],6,FALSE)</f>
        <v>Roland Borchard</v>
      </c>
      <c r="N120" s="83">
        <f t="shared" ref="N120" si="67" xml:space="preserve"> YEAR(B120)</f>
        <v>2016</v>
      </c>
    </row>
    <row r="121" spans="2:14" ht="12.75" customHeight="1">
      <c r="B121" s="97">
        <v>42391</v>
      </c>
      <c r="C121" s="92">
        <v>1.5</v>
      </c>
      <c r="D121" s="92" t="s">
        <v>85</v>
      </c>
      <c r="E121" s="83" t="str">
        <f>VLOOKUP(D121,tblProjekt[#Data],2,FALSE)</f>
        <v>Klosterfrau Mass Market</v>
      </c>
      <c r="F121" s="31" t="s">
        <v>477</v>
      </c>
      <c r="G121" s="83"/>
      <c r="H121" s="31" t="s">
        <v>133</v>
      </c>
      <c r="I121" s="92"/>
      <c r="J121" s="83" t="str">
        <f>VLOOKUP(D121,tblProjekt[#Data],3,FALSE)</f>
        <v>4300074434</v>
      </c>
      <c r="K121" s="83" t="str">
        <f>VLOOKUP(D121,tblProjekt[#Data],4,FALSE)</f>
        <v>Taunus</v>
      </c>
      <c r="L121" s="92" t="str">
        <f>VLOOKUP(D121,tblProjekt[],5,FALSE)</f>
        <v>Alexander Crone</v>
      </c>
      <c r="M121" s="83" t="str">
        <f>VLOOKUP(D121,tblProjekt[#Data],6,FALSE)</f>
        <v>Roland Borchard</v>
      </c>
      <c r="N121" s="83">
        <f t="shared" ref="N121:N123" si="68" xml:space="preserve"> YEAR(B121)</f>
        <v>2016</v>
      </c>
    </row>
    <row r="122" spans="2:14" ht="12.75" customHeight="1">
      <c r="B122" s="97">
        <v>42394</v>
      </c>
      <c r="C122" s="92">
        <v>4</v>
      </c>
      <c r="D122" s="92" t="s">
        <v>17</v>
      </c>
      <c r="E122" s="83" t="str">
        <f>VLOOKUP(D122,tblProjekt[#Data],2,FALSE)</f>
        <v>Produktionsportal 2</v>
      </c>
      <c r="F122" s="31" t="s">
        <v>478</v>
      </c>
      <c r="G122" s="83"/>
      <c r="H122" s="31" t="s">
        <v>125</v>
      </c>
      <c r="I122" s="92"/>
      <c r="J122" s="83" t="str">
        <f>VLOOKUP(D122,tblProjekt[#Data],3,FALSE)</f>
        <v>4300074429</v>
      </c>
      <c r="K122" s="83" t="str">
        <f>VLOOKUP(D122,tblProjekt[#Data],4,FALSE)</f>
        <v>PP2</v>
      </c>
      <c r="L122" s="92" t="str">
        <f>VLOOKUP(D122,tblProjekt[],5,FALSE)</f>
        <v>Sandra Despotovic</v>
      </c>
      <c r="M122" s="83" t="str">
        <f>VLOOKUP(D122,tblProjekt[#Data],6,FALSE)</f>
        <v>Roland Borchard</v>
      </c>
      <c r="N122" s="83">
        <f t="shared" si="68"/>
        <v>2016</v>
      </c>
    </row>
    <row r="123" spans="2:14" ht="12.75" customHeight="1">
      <c r="B123" s="97">
        <v>42394</v>
      </c>
      <c r="C123" s="92">
        <v>1.5</v>
      </c>
      <c r="D123" s="92" t="s">
        <v>445</v>
      </c>
      <c r="E123" s="83" t="str">
        <f>VLOOKUP(D123,tblProjekt[#Data],2,FALSE)</f>
        <v>XMM Calculator</v>
      </c>
      <c r="F123" s="31" t="s">
        <v>479</v>
      </c>
      <c r="G123" s="83" t="s">
        <v>230</v>
      </c>
      <c r="H123" s="31" t="s">
        <v>16</v>
      </c>
      <c r="I123" s="92"/>
      <c r="J123" s="83" t="str">
        <f>VLOOKUP(D123,tblProjekt[#Data],3,FALSE)</f>
        <v>4300075042</v>
      </c>
      <c r="K123" s="83" t="str">
        <f>VLOOKUP(D123,tblProjekt[#Data],4,FALSE)</f>
        <v>Calculator Xponent Maintenance</v>
      </c>
      <c r="L123" s="92" t="str">
        <f>VLOOKUP(D123,tblProjekt[],5,FALSE)</f>
        <v>Norbert Sdunzig</v>
      </c>
      <c r="M123" s="83" t="str">
        <f>VLOOKUP(D123,tblProjekt[#Data],6,FALSE)</f>
        <v>Norbert Sdunzig</v>
      </c>
      <c r="N123" s="83">
        <f t="shared" si="68"/>
        <v>2016</v>
      </c>
    </row>
    <row r="124" spans="2:14" ht="12.75" customHeight="1">
      <c r="B124" s="97">
        <v>42394</v>
      </c>
      <c r="C124" s="92">
        <v>1.5</v>
      </c>
      <c r="D124" s="92" t="s">
        <v>447</v>
      </c>
      <c r="E124" s="83" t="str">
        <f>VLOOKUP(D124,tblProjekt[#Data],2,FALSE)</f>
        <v>DPMPSN Calculator Change Request</v>
      </c>
      <c r="F124" s="31" t="s">
        <v>491</v>
      </c>
      <c r="G124" s="83" t="s">
        <v>325</v>
      </c>
      <c r="H124" s="31" t="s">
        <v>8</v>
      </c>
      <c r="I124" s="92"/>
      <c r="J124" s="83" t="str">
        <f>VLOOKUP(D124,tblProjekt[#Data],3,FALSE)</f>
        <v>4300075042</v>
      </c>
      <c r="K124" s="83" t="str">
        <f>VLOOKUP(D124,tblProjekt[#Data],4,FALSE)</f>
        <v>Calculator DPMPSN Maintenace</v>
      </c>
      <c r="L124" s="92" t="str">
        <f>VLOOKUP(D124,tblProjekt[],5,FALSE)</f>
        <v xml:space="preserve">Marlen Pechstein </v>
      </c>
      <c r="M124" s="83" t="str">
        <f>VLOOKUP(D124,tblProjekt[#Data],6,FALSE)</f>
        <v xml:space="preserve">Marlen Pechstein </v>
      </c>
      <c r="N124" s="83">
        <f t="shared" ref="N124" si="69" xml:space="preserve"> YEAR(B124)</f>
        <v>2016</v>
      </c>
    </row>
    <row r="125" spans="2:14" ht="12.75" customHeight="1">
      <c r="B125" s="97">
        <v>42395</v>
      </c>
      <c r="C125" s="92">
        <v>3</v>
      </c>
      <c r="D125" s="92" t="s">
        <v>447</v>
      </c>
      <c r="E125" s="83" t="str">
        <f>VLOOKUP(D125,tblProjekt[#Data],2,FALSE)</f>
        <v>DPMPSN Calculator Change Request</v>
      </c>
      <c r="F125" s="31" t="s">
        <v>492</v>
      </c>
      <c r="G125" s="83" t="s">
        <v>230</v>
      </c>
      <c r="H125" s="31" t="s">
        <v>8</v>
      </c>
      <c r="I125" s="92"/>
      <c r="J125" s="83" t="str">
        <f>VLOOKUP(D125,tblProjekt[#Data],3,FALSE)</f>
        <v>4300075042</v>
      </c>
      <c r="K125" s="83" t="str">
        <f>VLOOKUP(D125,tblProjekt[#Data],4,FALSE)</f>
        <v>Calculator DPMPSN Maintenace</v>
      </c>
      <c r="L125" s="92" t="str">
        <f>VLOOKUP(D125,tblProjekt[],5,FALSE)</f>
        <v xml:space="preserve">Marlen Pechstein </v>
      </c>
      <c r="M125" s="83" t="str">
        <f>VLOOKUP(D125,tblProjekt[#Data],6,FALSE)</f>
        <v xml:space="preserve">Marlen Pechstein </v>
      </c>
      <c r="N125" s="83">
        <f t="shared" ref="N125" si="70" xml:space="preserve"> YEAR(B125)</f>
        <v>2016</v>
      </c>
    </row>
    <row r="126" spans="2:14" ht="12.75" customHeight="1">
      <c r="B126" s="97">
        <v>42395</v>
      </c>
      <c r="C126" s="92">
        <v>2.5</v>
      </c>
      <c r="D126" s="92" t="s">
        <v>445</v>
      </c>
      <c r="E126" s="83" t="str">
        <f>VLOOKUP(D126,tblProjekt[#Data],2,FALSE)</f>
        <v>XMM Calculator</v>
      </c>
      <c r="F126" s="31" t="s">
        <v>479</v>
      </c>
      <c r="G126" s="83" t="s">
        <v>230</v>
      </c>
      <c r="H126" s="31" t="s">
        <v>16</v>
      </c>
      <c r="I126" s="92"/>
      <c r="J126" s="83" t="str">
        <f>VLOOKUP(D126,tblProjekt[#Data],3,FALSE)</f>
        <v>4300075042</v>
      </c>
      <c r="K126" s="83" t="str">
        <f>VLOOKUP(D126,tblProjekt[#Data],4,FALSE)</f>
        <v>Calculator Xponent Maintenance</v>
      </c>
      <c r="L126" s="92" t="str">
        <f>VLOOKUP(D126,tblProjekt[],5,FALSE)</f>
        <v>Norbert Sdunzig</v>
      </c>
      <c r="M126" s="83" t="str">
        <f>VLOOKUP(D126,tblProjekt[#Data],6,FALSE)</f>
        <v>Norbert Sdunzig</v>
      </c>
      <c r="N126" s="83">
        <f t="shared" ref="N126" si="71" xml:space="preserve"> YEAR(B126)</f>
        <v>2016</v>
      </c>
    </row>
    <row r="127" spans="2:14" ht="12.75" customHeight="1">
      <c r="B127" s="97">
        <v>42395</v>
      </c>
      <c r="C127" s="92">
        <v>1</v>
      </c>
      <c r="D127" s="92" t="s">
        <v>445</v>
      </c>
      <c r="E127" s="83" t="str">
        <f>VLOOKUP(D127,tblProjekt[#Data],2,FALSE)</f>
        <v>XMM Calculator</v>
      </c>
      <c r="F127" s="31" t="s">
        <v>480</v>
      </c>
      <c r="G127" s="83" t="s">
        <v>351</v>
      </c>
      <c r="H127" s="31" t="s">
        <v>16</v>
      </c>
      <c r="I127" s="92"/>
      <c r="J127" s="83" t="str">
        <f>VLOOKUP(D127,tblProjekt[#Data],3,FALSE)</f>
        <v>4300075042</v>
      </c>
      <c r="K127" s="83" t="str">
        <f>VLOOKUP(D127,tblProjekt[#Data],4,FALSE)</f>
        <v>Calculator Xponent Maintenance</v>
      </c>
      <c r="L127" s="92" t="str">
        <f>VLOOKUP(D127,tblProjekt[],5,FALSE)</f>
        <v>Norbert Sdunzig</v>
      </c>
      <c r="M127" s="83" t="str">
        <f>VLOOKUP(D127,tblProjekt[#Data],6,FALSE)</f>
        <v>Norbert Sdunzig</v>
      </c>
      <c r="N127" s="83">
        <f t="shared" ref="N127:N128" si="72" xml:space="preserve"> YEAR(B127)</f>
        <v>2016</v>
      </c>
    </row>
    <row r="128" spans="2:14" ht="12.75" customHeight="1">
      <c r="B128" s="97">
        <v>42396</v>
      </c>
      <c r="C128" s="92">
        <v>1</v>
      </c>
      <c r="D128" s="92" t="s">
        <v>447</v>
      </c>
      <c r="E128" s="83" t="str">
        <f>VLOOKUP(D128,tblProjekt[#Data],2,FALSE)</f>
        <v>DPMPSN Calculator Change Request</v>
      </c>
      <c r="F128" s="31" t="s">
        <v>493</v>
      </c>
      <c r="G128" s="83" t="s">
        <v>230</v>
      </c>
      <c r="H128" s="31" t="s">
        <v>8</v>
      </c>
      <c r="I128" s="92"/>
      <c r="J128" s="83" t="str">
        <f>VLOOKUP(D128,tblProjekt[#Data],3,FALSE)</f>
        <v>4300075042</v>
      </c>
      <c r="K128" s="83" t="str">
        <f>VLOOKUP(D128,tblProjekt[#Data],4,FALSE)</f>
        <v>Calculator DPMPSN Maintenace</v>
      </c>
      <c r="L128" s="92" t="str">
        <f>VLOOKUP(D128,tblProjekt[],5,FALSE)</f>
        <v xml:space="preserve">Marlen Pechstein </v>
      </c>
      <c r="M128" s="83" t="str">
        <f>VLOOKUP(D128,tblProjekt[#Data],6,FALSE)</f>
        <v xml:space="preserve">Marlen Pechstein </v>
      </c>
      <c r="N128" s="83">
        <f t="shared" si="72"/>
        <v>2016</v>
      </c>
    </row>
    <row r="129" spans="2:14" ht="12.75" customHeight="1">
      <c r="B129" s="97">
        <v>42396</v>
      </c>
      <c r="C129" s="92">
        <v>1</v>
      </c>
      <c r="D129" s="92" t="s">
        <v>445</v>
      </c>
      <c r="E129" s="83" t="str">
        <f>VLOOKUP(D129,tblProjekt[#Data],2,FALSE)</f>
        <v>XMM Calculator</v>
      </c>
      <c r="F129" s="31" t="s">
        <v>481</v>
      </c>
      <c r="G129" s="83" t="s">
        <v>351</v>
      </c>
      <c r="H129" s="31" t="s">
        <v>16</v>
      </c>
      <c r="I129" s="92" t="s">
        <v>482</v>
      </c>
      <c r="J129" s="83" t="str">
        <f>VLOOKUP(D129,tblProjekt[#Data],3,FALSE)</f>
        <v>4300075042</v>
      </c>
      <c r="K129" s="83" t="str">
        <f>VLOOKUP(D129,tblProjekt[#Data],4,FALSE)</f>
        <v>Calculator Xponent Maintenance</v>
      </c>
      <c r="L129" s="92" t="str">
        <f>VLOOKUP(D129,tblProjekt[],5,FALSE)</f>
        <v>Norbert Sdunzig</v>
      </c>
      <c r="M129" s="83" t="str">
        <f>VLOOKUP(D129,tblProjekt[#Data],6,FALSE)</f>
        <v>Norbert Sdunzig</v>
      </c>
      <c r="N129" s="83">
        <f t="shared" ref="N129:N130" si="73" xml:space="preserve"> YEAR(B129)</f>
        <v>2016</v>
      </c>
    </row>
    <row r="130" spans="2:14" ht="12.75" customHeight="1">
      <c r="B130" s="97">
        <v>42396</v>
      </c>
      <c r="C130" s="92">
        <v>3.5</v>
      </c>
      <c r="D130" s="92" t="s">
        <v>338</v>
      </c>
      <c r="E130" s="83" t="str">
        <f>VLOOKUP(D130,tblProjekt[#Data],2,FALSE)</f>
        <v>Produktionsportal 3</v>
      </c>
      <c r="F130" s="31" t="s">
        <v>483</v>
      </c>
      <c r="G130" s="83"/>
      <c r="H130" s="31" t="s">
        <v>125</v>
      </c>
      <c r="I130" s="92"/>
      <c r="J130" s="83" t="str">
        <f>VLOOKUP(D130,tblProjekt[#Data],3,FALSE)</f>
        <v>4300074429</v>
      </c>
      <c r="K130" s="83" t="str">
        <f>VLOOKUP(D130,tblProjekt[#Data],4,FALSE)</f>
        <v>PP3</v>
      </c>
      <c r="L130" s="92" t="str">
        <f>VLOOKUP(D130,tblProjekt[],5,FALSE)</f>
        <v>Sandra Despotovic</v>
      </c>
      <c r="M130" s="83" t="str">
        <f>VLOOKUP(D130,tblProjekt[#Data],6,FALSE)</f>
        <v>Roland Borchard</v>
      </c>
      <c r="N130" s="83">
        <f t="shared" si="73"/>
        <v>2016</v>
      </c>
    </row>
    <row r="131" spans="2:14" ht="12.75" customHeight="1">
      <c r="B131" s="97">
        <v>42396</v>
      </c>
      <c r="C131" s="92">
        <v>2</v>
      </c>
      <c r="D131" s="92" t="s">
        <v>228</v>
      </c>
      <c r="E131" s="83" t="str">
        <f>VLOOKUP(D131,tblProjekt[#Data],2,FALSE)</f>
        <v>Powercharts Anpassung SQL 2012</v>
      </c>
      <c r="F131" s="31" t="s">
        <v>433</v>
      </c>
      <c r="G131" s="83"/>
      <c r="H131" s="31" t="s">
        <v>431</v>
      </c>
      <c r="I131" s="92"/>
      <c r="J131" s="83" t="str">
        <f>VLOOKUP(D131,tblProjekt[#Data],3,FALSE)</f>
        <v>4300074431</v>
      </c>
      <c r="K131" s="83" t="str">
        <f>VLOOKUP(D131,tblProjekt[#Data],4,FALSE)</f>
        <v>Powercharts Anpassung SQL 2012</v>
      </c>
      <c r="L131" s="92" t="str">
        <f>VLOOKUP(D131,tblProjekt[],5,FALSE)</f>
        <v>Roland Borchard</v>
      </c>
      <c r="M131" s="83" t="str">
        <f>VLOOKUP(D131,tblProjekt[#Data],6,FALSE)</f>
        <v>Roland Borchard</v>
      </c>
      <c r="N131" s="83">
        <f t="shared" ref="N131:N141" si="74" xml:space="preserve"> YEAR(B131)</f>
        <v>2016</v>
      </c>
    </row>
    <row r="132" spans="2:14" ht="12.75" customHeight="1">
      <c r="B132" s="97">
        <v>42396</v>
      </c>
      <c r="C132" s="92">
        <v>1</v>
      </c>
      <c r="D132" s="92" t="s">
        <v>228</v>
      </c>
      <c r="E132" s="83" t="str">
        <f>VLOOKUP(D132,tblProjekt[#Data],2,FALSE)</f>
        <v>Powercharts Anpassung SQL 2012</v>
      </c>
      <c r="F132" s="31" t="s">
        <v>434</v>
      </c>
      <c r="G132" s="83"/>
      <c r="H132" s="31" t="s">
        <v>431</v>
      </c>
      <c r="I132" s="92"/>
      <c r="J132" s="83" t="str">
        <f>VLOOKUP(D132,tblProjekt[#Data],3,FALSE)</f>
        <v>4300074431</v>
      </c>
      <c r="K132" s="83" t="str">
        <f>VLOOKUP(D132,tblProjekt[#Data],4,FALSE)</f>
        <v>Powercharts Anpassung SQL 2012</v>
      </c>
      <c r="L132" s="92" t="str">
        <f>VLOOKUP(D132,tblProjekt[],5,FALSE)</f>
        <v>Roland Borchard</v>
      </c>
      <c r="M132" s="83" t="str">
        <f>VLOOKUP(D132,tblProjekt[#Data],6,FALSE)</f>
        <v>Roland Borchard</v>
      </c>
      <c r="N132" s="83">
        <f t="shared" si="74"/>
        <v>2016</v>
      </c>
    </row>
    <row r="133" spans="2:14" ht="12.75" customHeight="1">
      <c r="B133" s="97">
        <v>42396</v>
      </c>
      <c r="C133" s="92">
        <v>1</v>
      </c>
      <c r="D133" s="92" t="s">
        <v>275</v>
      </c>
      <c r="E133" s="83" t="str">
        <f>VLOOKUP(D133,tblProjekt[#Data],2,FALSE)</f>
        <v>PP2 Accessibility</v>
      </c>
      <c r="F133" s="31" t="s">
        <v>484</v>
      </c>
      <c r="G133" s="83"/>
      <c r="H133" s="31" t="s">
        <v>278</v>
      </c>
      <c r="I133" s="92"/>
      <c r="J133" s="83" t="str">
        <f>VLOOKUP(D133,tblProjekt[#Data],3,FALSE)</f>
        <v>zu klären</v>
      </c>
      <c r="K133" s="83" t="str">
        <f>VLOOKUP(D133,tblProjekt[#Data],4,FALSE)</f>
        <v>PP2</v>
      </c>
      <c r="L133" s="92" t="str">
        <f>VLOOKUP(D133,tblProjekt[],5,FALSE)</f>
        <v>Uwe Gruhn</v>
      </c>
      <c r="M133" s="83" t="str">
        <f>VLOOKUP(D133,tblProjekt[#Data],6,FALSE)</f>
        <v>zu klären</v>
      </c>
      <c r="N133" s="83">
        <f t="shared" ref="N133" si="75" xml:space="preserve"> YEAR(B133)</f>
        <v>2016</v>
      </c>
    </row>
    <row r="134" spans="2:14" ht="12.75" customHeight="1">
      <c r="B134" s="97">
        <v>42396</v>
      </c>
      <c r="C134" s="92">
        <v>3.5</v>
      </c>
      <c r="D134" s="92" t="s">
        <v>228</v>
      </c>
      <c r="E134" s="83" t="str">
        <f>VLOOKUP(D134,tblProjekt[#Data],2,FALSE)</f>
        <v>Powercharts Anpassung SQL 2012</v>
      </c>
      <c r="F134" s="31" t="s">
        <v>435</v>
      </c>
      <c r="G134" s="83"/>
      <c r="H134" s="31" t="s">
        <v>431</v>
      </c>
      <c r="I134" s="92"/>
      <c r="J134" s="83" t="str">
        <f>VLOOKUP(D134,tblProjekt[#Data],3,FALSE)</f>
        <v>4300074431</v>
      </c>
      <c r="K134" s="83" t="str">
        <f>VLOOKUP(D134,tblProjekt[#Data],4,FALSE)</f>
        <v>Powercharts Anpassung SQL 2012</v>
      </c>
      <c r="L134" s="92" t="str">
        <f>VLOOKUP(D134,tblProjekt[],5,FALSE)</f>
        <v>Roland Borchard</v>
      </c>
      <c r="M134" s="83" t="str">
        <f>VLOOKUP(D134,tblProjekt[#Data],6,FALSE)</f>
        <v>Roland Borchard</v>
      </c>
      <c r="N134" s="83">
        <f t="shared" si="74"/>
        <v>2016</v>
      </c>
    </row>
    <row r="135" spans="2:14" ht="12.75" customHeight="1">
      <c r="B135" s="97">
        <v>42396</v>
      </c>
      <c r="C135" s="92">
        <v>1</v>
      </c>
      <c r="D135" s="92" t="s">
        <v>228</v>
      </c>
      <c r="E135" s="83" t="str">
        <f>VLOOKUP(D135,tblProjekt[#Data],2,FALSE)</f>
        <v>Powercharts Anpassung SQL 2012</v>
      </c>
      <c r="F135" s="31" t="s">
        <v>436</v>
      </c>
      <c r="G135" s="83"/>
      <c r="H135" s="31" t="s">
        <v>431</v>
      </c>
      <c r="I135" s="92"/>
      <c r="J135" s="83" t="str">
        <f>VLOOKUP(D135,tblProjekt[#Data],3,FALSE)</f>
        <v>4300074431</v>
      </c>
      <c r="K135" s="83" t="str">
        <f>VLOOKUP(D135,tblProjekt[#Data],4,FALSE)</f>
        <v>Powercharts Anpassung SQL 2012</v>
      </c>
      <c r="L135" s="92" t="str">
        <f>VLOOKUP(D135,tblProjekt[],5,FALSE)</f>
        <v>Roland Borchard</v>
      </c>
      <c r="M135" s="83" t="str">
        <f>VLOOKUP(D135,tblProjekt[#Data],6,FALSE)</f>
        <v>Roland Borchard</v>
      </c>
      <c r="N135" s="83">
        <f t="shared" si="74"/>
        <v>2016</v>
      </c>
    </row>
    <row r="136" spans="2:14" ht="12.75" customHeight="1">
      <c r="B136" s="97">
        <v>42396</v>
      </c>
      <c r="C136" s="92">
        <v>0.5</v>
      </c>
      <c r="D136" s="92" t="s">
        <v>352</v>
      </c>
      <c r="E136" s="83" t="str">
        <f>VLOOKUP(D136,tblProjekt[#Data],2,FALSE)</f>
        <v>Calculator Betriebskosten</v>
      </c>
      <c r="F136" s="31" t="s">
        <v>486</v>
      </c>
      <c r="G136" s="83" t="s">
        <v>127</v>
      </c>
      <c r="H136" s="31" t="s">
        <v>332</v>
      </c>
      <c r="I136" s="92" t="s">
        <v>482</v>
      </c>
      <c r="J136" s="83">
        <v>4300075042</v>
      </c>
      <c r="K136" s="83" t="str">
        <f>VLOOKUP(D136,tblProjekt[#Data],4,FALSE)</f>
        <v>Cost Calculator übergreifend</v>
      </c>
      <c r="L136" s="92" t="str">
        <f>VLOOKUP(D136,tblProjekt[],5,FALSE)</f>
        <v>Katharina Werner</v>
      </c>
      <c r="M136" s="83" t="str">
        <f>VLOOKUP(D136,tblProjekt[#Data],6,FALSE)</f>
        <v>Katharina Werner</v>
      </c>
      <c r="N136" s="83">
        <f t="shared" si="74"/>
        <v>2016</v>
      </c>
    </row>
    <row r="137" spans="2:14" ht="12.75" customHeight="1">
      <c r="B137" s="97">
        <v>42397</v>
      </c>
      <c r="C137" s="92">
        <v>3</v>
      </c>
      <c r="D137" s="92" t="s">
        <v>447</v>
      </c>
      <c r="E137" s="83" t="str">
        <f>VLOOKUP(D137,tblProjekt[#Data],2,FALSE)</f>
        <v>DPMPSN Calculator Change Request</v>
      </c>
      <c r="F137" s="31" t="s">
        <v>493</v>
      </c>
      <c r="G137" s="83" t="s">
        <v>230</v>
      </c>
      <c r="H137" s="31" t="s">
        <v>8</v>
      </c>
      <c r="I137" s="92"/>
      <c r="J137" s="83" t="str">
        <f>VLOOKUP(D137,tblProjekt[#Data],3,FALSE)</f>
        <v>4300075042</v>
      </c>
      <c r="K137" s="83" t="str">
        <f>VLOOKUP(D137,tblProjekt[#Data],4,FALSE)</f>
        <v>Calculator DPMPSN Maintenace</v>
      </c>
      <c r="L137" s="92" t="str">
        <f>VLOOKUP(D137,tblProjekt[],5,FALSE)</f>
        <v xml:space="preserve">Marlen Pechstein </v>
      </c>
      <c r="M137" s="83" t="str">
        <f>VLOOKUP(D137,tblProjekt[#Data],6,FALSE)</f>
        <v xml:space="preserve">Marlen Pechstein </v>
      </c>
      <c r="N137" s="83">
        <f t="shared" si="74"/>
        <v>2016</v>
      </c>
    </row>
    <row r="138" spans="2:14" ht="12.75" customHeight="1">
      <c r="B138" s="97">
        <v>42397</v>
      </c>
      <c r="C138" s="92">
        <v>2</v>
      </c>
      <c r="D138" s="92" t="s">
        <v>17</v>
      </c>
      <c r="E138" s="83" t="str">
        <f>VLOOKUP(D138,tblProjekt[#Data],2,FALSE)</f>
        <v>Produktionsportal 2</v>
      </c>
      <c r="F138" s="31" t="s">
        <v>487</v>
      </c>
      <c r="G138" s="83"/>
      <c r="H138" s="31" t="s">
        <v>10</v>
      </c>
      <c r="I138" s="92"/>
      <c r="J138" s="83" t="str">
        <f>VLOOKUP(D138,tblProjekt[#Data],3,FALSE)</f>
        <v>4300074429</v>
      </c>
      <c r="K138" s="83" t="str">
        <f>VLOOKUP(D138,tblProjekt[#Data],4,FALSE)</f>
        <v>PP2</v>
      </c>
      <c r="L138" s="92" t="str">
        <f>VLOOKUP(D138,tblProjekt[],5,FALSE)</f>
        <v>Sandra Despotovic</v>
      </c>
      <c r="M138" s="83" t="str">
        <f>VLOOKUP(D138,tblProjekt[#Data],6,FALSE)</f>
        <v>Roland Borchard</v>
      </c>
      <c r="N138" s="83">
        <f t="shared" si="74"/>
        <v>2016</v>
      </c>
    </row>
    <row r="139" spans="2:14" ht="12.75" customHeight="1">
      <c r="B139" s="97">
        <v>42397</v>
      </c>
      <c r="C139" s="92">
        <v>2</v>
      </c>
      <c r="D139" s="92" t="s">
        <v>338</v>
      </c>
      <c r="E139" s="83" t="str">
        <f>VLOOKUP(D139,tblProjekt[#Data],2,FALSE)</f>
        <v>Produktionsportal 3</v>
      </c>
      <c r="F139" s="31" t="s">
        <v>485</v>
      </c>
      <c r="G139" s="83"/>
      <c r="H139" s="31" t="s">
        <v>125</v>
      </c>
      <c r="I139" s="92"/>
      <c r="J139" s="83" t="str">
        <f>VLOOKUP(D139,tblProjekt[#Data],3,FALSE)</f>
        <v>4300074429</v>
      </c>
      <c r="K139" s="83" t="str">
        <f>VLOOKUP(D139,tblProjekt[#Data],4,FALSE)</f>
        <v>PP3</v>
      </c>
      <c r="L139" s="92" t="str">
        <f>VLOOKUP(D139,tblProjekt[],5,FALSE)</f>
        <v>Sandra Despotovic</v>
      </c>
      <c r="M139" s="83" t="str">
        <f>VLOOKUP(D139,tblProjekt[#Data],6,FALSE)</f>
        <v>Roland Borchard</v>
      </c>
      <c r="N139" s="83">
        <f t="shared" si="74"/>
        <v>2016</v>
      </c>
    </row>
    <row r="140" spans="2:14" ht="12.75" customHeight="1">
      <c r="B140" s="97">
        <v>42397</v>
      </c>
      <c r="C140" s="92">
        <v>1</v>
      </c>
      <c r="D140" s="92" t="s">
        <v>445</v>
      </c>
      <c r="E140" s="83" t="str">
        <f>VLOOKUP(D140,tblProjekt[#Data],2,FALSE)</f>
        <v>XMM Calculator</v>
      </c>
      <c r="F140" s="31" t="s">
        <v>488</v>
      </c>
      <c r="G140" s="83" t="s">
        <v>351</v>
      </c>
      <c r="H140" s="31" t="s">
        <v>16</v>
      </c>
      <c r="I140" s="92"/>
      <c r="J140" s="83" t="str">
        <f>VLOOKUP(D140,tblProjekt[#Data],3,FALSE)</f>
        <v>4300075042</v>
      </c>
      <c r="K140" s="83" t="str">
        <f>VLOOKUP(D140,tblProjekt[#Data],4,FALSE)</f>
        <v>Calculator Xponent Maintenance</v>
      </c>
      <c r="L140" s="92" t="str">
        <f>VLOOKUP(D140,tblProjekt[],5,FALSE)</f>
        <v>Norbert Sdunzig</v>
      </c>
      <c r="M140" s="83" t="str">
        <f>VLOOKUP(D140,tblProjekt[#Data],6,FALSE)</f>
        <v>Norbert Sdunzig</v>
      </c>
      <c r="N140" s="83">
        <f t="shared" si="74"/>
        <v>2016</v>
      </c>
    </row>
    <row r="141" spans="2:14" ht="12.75" customHeight="1">
      <c r="B141" s="97">
        <v>42398</v>
      </c>
      <c r="C141" s="92">
        <v>1</v>
      </c>
      <c r="D141" s="92" t="s">
        <v>447</v>
      </c>
      <c r="E141" s="83" t="str">
        <f>VLOOKUP(D141,tblProjekt[#Data],2,FALSE)</f>
        <v>DPMPSN Calculator Change Request</v>
      </c>
      <c r="F141" s="31" t="s">
        <v>489</v>
      </c>
      <c r="G141" s="83" t="s">
        <v>334</v>
      </c>
      <c r="H141" s="31" t="s">
        <v>8</v>
      </c>
      <c r="I141" s="92"/>
      <c r="J141" s="83" t="str">
        <f>VLOOKUP(D141,tblProjekt[#Data],3,FALSE)</f>
        <v>4300075042</v>
      </c>
      <c r="K141" s="83" t="str">
        <f>VLOOKUP(D141,tblProjekt[#Data],4,FALSE)</f>
        <v>Calculator DPMPSN Maintenace</v>
      </c>
      <c r="L141" s="92" t="str">
        <f>VLOOKUP(D141,tblProjekt[],5,FALSE)</f>
        <v xml:space="preserve">Marlen Pechstein </v>
      </c>
      <c r="M141" s="83" t="str">
        <f>VLOOKUP(D141,tblProjekt[#Data],6,FALSE)</f>
        <v xml:space="preserve">Marlen Pechstein </v>
      </c>
      <c r="N141" s="83">
        <f t="shared" si="74"/>
        <v>2016</v>
      </c>
    </row>
    <row r="142" spans="2:14" ht="12.75" customHeight="1">
      <c r="B142" s="97">
        <v>42398</v>
      </c>
      <c r="C142" s="92">
        <v>0.5</v>
      </c>
      <c r="D142" s="92" t="s">
        <v>352</v>
      </c>
      <c r="E142" s="83" t="str">
        <f>VLOOKUP(D142,tblProjekt[#Data],2,FALSE)</f>
        <v>Calculator Betriebskosten</v>
      </c>
      <c r="F142" s="31" t="s">
        <v>490</v>
      </c>
      <c r="G142" s="83" t="s">
        <v>334</v>
      </c>
      <c r="H142" s="31" t="s">
        <v>332</v>
      </c>
      <c r="I142" s="92" t="s">
        <v>482</v>
      </c>
      <c r="J142" s="83">
        <v>4300075042</v>
      </c>
      <c r="K142" s="83" t="str">
        <f>VLOOKUP(D142,tblProjekt[#Data],4,FALSE)</f>
        <v>Cost Calculator übergreifend</v>
      </c>
      <c r="L142" s="92" t="str">
        <f>VLOOKUP(D142,tblProjekt[],5,FALSE)</f>
        <v>Katharina Werner</v>
      </c>
      <c r="M142" s="83" t="str">
        <f>VLOOKUP(D142,tblProjekt[#Data],6,FALSE)</f>
        <v>Katharina Werner</v>
      </c>
      <c r="N142" s="83">
        <f t="shared" ref="N142" si="76" xml:space="preserve"> YEAR(B142)</f>
        <v>2016</v>
      </c>
    </row>
    <row r="143" spans="2:14" ht="12.75" customHeight="1">
      <c r="B143" s="98"/>
      <c r="C143" s="92"/>
      <c r="D143" s="92"/>
      <c r="E143" s="83" t="e">
        <f>VLOOKUP(D143,tblProjekt[#Data],2,FALSE)</f>
        <v>#N/A</v>
      </c>
      <c r="F143" s="92"/>
      <c r="G143" s="83"/>
      <c r="H143" s="92"/>
      <c r="I143" s="92"/>
      <c r="J143" s="83" t="e">
        <f>VLOOKUP(D143,tblProjekt[#Data],3,FALSE)</f>
        <v>#N/A</v>
      </c>
      <c r="K143" s="83" t="e">
        <f>VLOOKUP(D143,tblProjekt[#Data],4,FALSE)</f>
        <v>#N/A</v>
      </c>
      <c r="L143" s="92" t="e">
        <f>VLOOKUP(D143,tblProjekt[],5,FALSE)</f>
        <v>#N/A</v>
      </c>
      <c r="M143" s="83" t="e">
        <f>VLOOKUP(D143,tblProjekt[#Data],6,FALSE)</f>
        <v>#N/A</v>
      </c>
      <c r="N143" s="83">
        <f t="shared" ref="N143:N144" si="77" xml:space="preserve"> YEAR(B143)</f>
        <v>1900</v>
      </c>
    </row>
    <row r="144" spans="2:14" ht="12.75" customHeight="1">
      <c r="B144" s="98"/>
      <c r="C144" s="92"/>
      <c r="D144" s="92"/>
      <c r="E144" s="83" t="e">
        <f>VLOOKUP(D144,tblProjekt[#Data],2,FALSE)</f>
        <v>#N/A</v>
      </c>
      <c r="F144" s="92"/>
      <c r="G144" s="83"/>
      <c r="H144" s="92"/>
      <c r="I144" s="92"/>
      <c r="J144" s="83" t="e">
        <f>VLOOKUP(D144,tblProjekt[#Data],3,FALSE)</f>
        <v>#N/A</v>
      </c>
      <c r="K144" s="83" t="e">
        <f>VLOOKUP(D144,tblProjekt[#Data],4,FALSE)</f>
        <v>#N/A</v>
      </c>
      <c r="L144" s="92" t="e">
        <f>VLOOKUP(D144,tblProjekt[],5,FALSE)</f>
        <v>#N/A</v>
      </c>
      <c r="M144" s="83" t="e">
        <f>VLOOKUP(D144,tblProjekt[#Data],6,FALSE)</f>
        <v>#N/A</v>
      </c>
      <c r="N144" s="83">
        <f t="shared" si="77"/>
        <v>1900</v>
      </c>
    </row>
    <row r="145" spans="2:14" ht="12.75" customHeight="1">
      <c r="B145" s="98"/>
      <c r="C145" s="92"/>
      <c r="D145" s="92"/>
      <c r="E145" s="83" t="e">
        <f>VLOOKUP(D145,tblProjekt[#Data],2,FALSE)</f>
        <v>#N/A</v>
      </c>
      <c r="F145" s="92"/>
      <c r="G145" s="83"/>
      <c r="H145" s="92"/>
      <c r="I145" s="92"/>
      <c r="J145" s="83" t="e">
        <f>VLOOKUP(D145,tblProjekt[#Data],3,FALSE)</f>
        <v>#N/A</v>
      </c>
      <c r="K145" s="83" t="e">
        <f>VLOOKUP(D145,tblProjekt[#Data],4,FALSE)</f>
        <v>#N/A</v>
      </c>
      <c r="L145" s="92" t="e">
        <f>VLOOKUP(D145,tblProjekt[],5,FALSE)</f>
        <v>#N/A</v>
      </c>
      <c r="M145" s="83" t="e">
        <f>VLOOKUP(D145,tblProjekt[#Data],6,FALSE)</f>
        <v>#N/A</v>
      </c>
      <c r="N145" s="83">
        <f xml:space="preserve"> YEAR(B145)</f>
        <v>1900</v>
      </c>
    </row>
    <row r="146" spans="2:14" ht="12.75" customHeight="1">
      <c r="B146" s="97"/>
      <c r="C146" s="92"/>
      <c r="D146" s="92"/>
      <c r="E146" s="83"/>
      <c r="F146" s="31"/>
      <c r="G146" s="83"/>
      <c r="H146" s="31"/>
      <c r="I146" s="92"/>
      <c r="J146" s="83"/>
      <c r="K146" s="83"/>
      <c r="L146" s="92"/>
      <c r="M146" s="83"/>
      <c r="N146" s="83"/>
    </row>
    <row r="147" spans="2:14" ht="12.75" customHeight="1">
      <c r="B147" s="96"/>
      <c r="C147" s="92"/>
      <c r="D147" s="92"/>
      <c r="E147" s="83"/>
      <c r="F147" s="31"/>
      <c r="G147" s="83"/>
      <c r="H147" s="31"/>
      <c r="I147" s="92"/>
      <c r="J147" s="83"/>
      <c r="K147" s="83"/>
      <c r="L147" s="92"/>
      <c r="M147" s="83"/>
      <c r="N147" s="83"/>
    </row>
    <row r="148" spans="2:14" ht="12.75" customHeight="1">
      <c r="B148" s="96"/>
      <c r="C148" s="92"/>
      <c r="D148" s="92"/>
      <c r="E148" s="83"/>
      <c r="F148" s="31"/>
      <c r="G148" s="83"/>
      <c r="H148" s="31"/>
      <c r="I148" s="92"/>
      <c r="J148" s="83"/>
      <c r="K148" s="83"/>
      <c r="L148" s="92"/>
      <c r="M148" s="83"/>
      <c r="N148" s="83"/>
    </row>
  </sheetData>
  <mergeCells count="3">
    <mergeCell ref="B4:C4"/>
    <mergeCell ref="D3:F3"/>
    <mergeCell ref="D5:E5"/>
  </mergeCells>
  <phoneticPr fontId="0" type="noConversion"/>
  <dataValidations count="2">
    <dataValidation type="list" allowBlank="1" showInputMessage="1" showErrorMessage="1" sqref="D10:D148">
      <formula1>ProjektCode</formula1>
    </dataValidation>
    <dataValidation type="list" allowBlank="1" showInputMessage="1" showErrorMessage="1" sqref="G10:G148">
      <formula1>KalkulatorTaetigkeiten</formula1>
    </dataValidation>
  </dataValidations>
  <pageMargins left="0.8" right="0.39" top="0.83" bottom="0.65" header="0.4921259845" footer="0.3"/>
  <pageSetup paperSize="9" scale="53" orientation="portrait" r:id="rId1"/>
  <headerFooter alignWithMargins="0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2:I80"/>
  <sheetViews>
    <sheetView zoomScale="150" zoomScaleNormal="150" zoomScalePageLayoutView="150" workbookViewId="0">
      <selection activeCell="D44" sqref="D44"/>
    </sheetView>
  </sheetViews>
  <sheetFormatPr baseColWidth="10" defaultRowHeight="12.75"/>
  <cols>
    <col min="1" max="1" width="21.28515625" bestFit="1" customWidth="1"/>
    <col min="2" max="2" width="29.42578125" bestFit="1" customWidth="1"/>
    <col min="3" max="3" width="24.28515625" bestFit="1" customWidth="1"/>
    <col min="4" max="4" width="24.28515625" customWidth="1"/>
    <col min="5" max="5" width="23.85546875" customWidth="1"/>
    <col min="6" max="6" width="23" customWidth="1"/>
    <col min="7" max="7" width="25" customWidth="1"/>
    <col min="8" max="8" width="13.42578125" bestFit="1" customWidth="1"/>
    <col min="9" max="9" width="51.28515625" bestFit="1" customWidth="1"/>
  </cols>
  <sheetData>
    <row r="2" spans="1:9">
      <c r="E2" t="s">
        <v>187</v>
      </c>
    </row>
    <row r="3" spans="1:9">
      <c r="A3" t="s">
        <v>185</v>
      </c>
      <c r="B3" s="3" t="s">
        <v>186</v>
      </c>
      <c r="C3" s="4" t="s">
        <v>21</v>
      </c>
      <c r="D3" s="4" t="s">
        <v>184</v>
      </c>
      <c r="E3" s="4" t="s">
        <v>11</v>
      </c>
      <c r="F3" s="4" t="s">
        <v>22</v>
      </c>
      <c r="G3" s="13" t="s">
        <v>156</v>
      </c>
      <c r="H3" s="13" t="s">
        <v>92</v>
      </c>
      <c r="I3" s="13" t="s">
        <v>23</v>
      </c>
    </row>
    <row r="4" spans="1:9" ht="13.5" thickBot="1">
      <c r="A4" s="14" t="s">
        <v>346</v>
      </c>
      <c r="B4" s="3" t="s">
        <v>347</v>
      </c>
      <c r="C4" s="4" t="s">
        <v>177</v>
      </c>
      <c r="D4" s="3" t="s">
        <v>347</v>
      </c>
      <c r="E4" s="4" t="s">
        <v>348</v>
      </c>
      <c r="F4" s="4"/>
      <c r="G4" s="3"/>
      <c r="H4" s="95"/>
      <c r="I4" s="3"/>
    </row>
    <row r="5" spans="1:9" ht="13.5" thickTop="1">
      <c r="A5" t="s">
        <v>13</v>
      </c>
      <c r="B5" s="6" t="s">
        <v>47</v>
      </c>
      <c r="C5" s="11" t="s">
        <v>107</v>
      </c>
      <c r="D5" s="8" t="s">
        <v>47</v>
      </c>
      <c r="E5" s="8" t="s">
        <v>14</v>
      </c>
      <c r="F5" s="8" t="s">
        <v>14</v>
      </c>
      <c r="G5">
        <v>10</v>
      </c>
      <c r="H5" s="36">
        <v>0.9</v>
      </c>
      <c r="I5" s="14" t="s">
        <v>144</v>
      </c>
    </row>
    <row r="6" spans="1:9">
      <c r="A6" t="s">
        <v>42</v>
      </c>
      <c r="B6" s="7" t="s">
        <v>43</v>
      </c>
      <c r="C6" s="57" t="s">
        <v>177</v>
      </c>
      <c r="D6" s="9" t="s">
        <v>43</v>
      </c>
      <c r="E6" s="9" t="s">
        <v>6</v>
      </c>
      <c r="F6" s="9" t="s">
        <v>108</v>
      </c>
      <c r="H6" s="36">
        <v>1</v>
      </c>
      <c r="I6" s="14" t="s">
        <v>145</v>
      </c>
    </row>
    <row r="7" spans="1:9">
      <c r="A7" s="14" t="s">
        <v>335</v>
      </c>
      <c r="B7" s="54" t="s">
        <v>336</v>
      </c>
      <c r="C7" s="59" t="s">
        <v>363</v>
      </c>
      <c r="D7" s="10" t="s">
        <v>38</v>
      </c>
      <c r="E7" s="54" t="s">
        <v>337</v>
      </c>
      <c r="F7" s="54" t="s">
        <v>111</v>
      </c>
      <c r="H7" s="36"/>
      <c r="I7" s="14"/>
    </row>
    <row r="8" spans="1:9">
      <c r="A8" t="s">
        <v>303</v>
      </c>
      <c r="B8" s="10" t="s">
        <v>304</v>
      </c>
      <c r="C8" s="58" t="s">
        <v>326</v>
      </c>
      <c r="D8" s="10" t="s">
        <v>182</v>
      </c>
      <c r="E8" s="10" t="s">
        <v>179</v>
      </c>
      <c r="F8" s="10" t="s">
        <v>179</v>
      </c>
      <c r="H8" s="36">
        <v>1</v>
      </c>
      <c r="I8" s="14" t="s">
        <v>305</v>
      </c>
    </row>
    <row r="9" spans="1:9">
      <c r="A9" s="14" t="s">
        <v>298</v>
      </c>
      <c r="B9" s="54" t="s">
        <v>316</v>
      </c>
      <c r="C9" s="58" t="s">
        <v>326</v>
      </c>
      <c r="D9" s="10" t="s">
        <v>182</v>
      </c>
      <c r="E9" s="10" t="s">
        <v>179</v>
      </c>
      <c r="F9" s="10" t="s">
        <v>179</v>
      </c>
      <c r="H9" s="36" t="s">
        <v>329</v>
      </c>
      <c r="I9" s="14" t="s">
        <v>302</v>
      </c>
    </row>
    <row r="10" spans="1:9">
      <c r="A10" t="s">
        <v>299</v>
      </c>
      <c r="B10" s="10" t="s">
        <v>301</v>
      </c>
      <c r="C10" s="58" t="s">
        <v>326</v>
      </c>
      <c r="D10" s="10" t="s">
        <v>182</v>
      </c>
      <c r="E10" s="10" t="s">
        <v>179</v>
      </c>
      <c r="F10" s="10" t="s">
        <v>179</v>
      </c>
      <c r="H10" s="36">
        <v>1</v>
      </c>
      <c r="I10" s="14" t="s">
        <v>219</v>
      </c>
    </row>
    <row r="11" spans="1:9">
      <c r="A11" t="s">
        <v>142</v>
      </c>
      <c r="B11" s="10" t="s">
        <v>143</v>
      </c>
      <c r="C11" s="58" t="s">
        <v>326</v>
      </c>
      <c r="D11" s="10" t="s">
        <v>182</v>
      </c>
      <c r="E11" s="10" t="s">
        <v>179</v>
      </c>
      <c r="F11" s="10" t="s">
        <v>179</v>
      </c>
      <c r="G11">
        <v>50</v>
      </c>
      <c r="H11" s="36" t="s">
        <v>329</v>
      </c>
      <c r="I11" s="14" t="s">
        <v>306</v>
      </c>
    </row>
    <row r="12" spans="1:9">
      <c r="A12" s="14" t="s">
        <v>352</v>
      </c>
      <c r="B12" s="54" t="s">
        <v>353</v>
      </c>
      <c r="C12" s="58" t="s">
        <v>441</v>
      </c>
      <c r="D12" s="10" t="s">
        <v>182</v>
      </c>
      <c r="E12" s="10" t="s">
        <v>179</v>
      </c>
      <c r="F12" s="10" t="s">
        <v>179</v>
      </c>
      <c r="H12" s="36"/>
      <c r="I12" s="14"/>
    </row>
    <row r="13" spans="1:9">
      <c r="A13" s="14" t="s">
        <v>349</v>
      </c>
      <c r="B13" s="54" t="s">
        <v>350</v>
      </c>
      <c r="C13" s="58" t="s">
        <v>441</v>
      </c>
      <c r="D13" s="10" t="s">
        <v>182</v>
      </c>
      <c r="E13" s="10" t="s">
        <v>179</v>
      </c>
      <c r="F13" s="10" t="s">
        <v>179</v>
      </c>
      <c r="G13">
        <v>50</v>
      </c>
      <c r="H13" s="36" t="s">
        <v>329</v>
      </c>
      <c r="I13" s="14" t="s">
        <v>306</v>
      </c>
    </row>
    <row r="14" spans="1:9">
      <c r="A14" t="s">
        <v>222</v>
      </c>
      <c r="B14" s="10" t="s">
        <v>224</v>
      </c>
      <c r="C14" s="54" t="s">
        <v>177</v>
      </c>
      <c r="D14" s="10" t="s">
        <v>225</v>
      </c>
      <c r="E14" s="10" t="s">
        <v>15</v>
      </c>
      <c r="F14" s="10" t="s">
        <v>177</v>
      </c>
      <c r="H14" s="36" t="s">
        <v>331</v>
      </c>
      <c r="I14" s="14"/>
    </row>
    <row r="15" spans="1:9">
      <c r="A15" t="s">
        <v>29</v>
      </c>
      <c r="B15" s="10" t="s">
        <v>30</v>
      </c>
      <c r="C15" s="58" t="s">
        <v>327</v>
      </c>
      <c r="D15" s="10" t="s">
        <v>30</v>
      </c>
      <c r="E15" s="10" t="s">
        <v>291</v>
      </c>
      <c r="F15" s="10" t="s">
        <v>290</v>
      </c>
      <c r="H15" s="36" t="s">
        <v>329</v>
      </c>
      <c r="I15" s="14" t="s">
        <v>147</v>
      </c>
    </row>
    <row r="16" spans="1:9">
      <c r="A16" t="s">
        <v>442</v>
      </c>
      <c r="B16" s="10" t="s">
        <v>443</v>
      </c>
      <c r="C16" s="58" t="s">
        <v>441</v>
      </c>
      <c r="D16" s="10" t="s">
        <v>444</v>
      </c>
      <c r="E16" s="10" t="s">
        <v>291</v>
      </c>
      <c r="F16" s="10" t="s">
        <v>290</v>
      </c>
      <c r="H16" s="36"/>
      <c r="I16" s="14"/>
    </row>
    <row r="17" spans="1:9">
      <c r="A17" t="s">
        <v>51</v>
      </c>
      <c r="B17" t="s">
        <v>50</v>
      </c>
      <c r="C17" s="56" t="s">
        <v>265</v>
      </c>
      <c r="D17" t="s">
        <v>180</v>
      </c>
      <c r="E17" t="s">
        <v>109</v>
      </c>
      <c r="F17" t="s">
        <v>109</v>
      </c>
      <c r="H17" s="36">
        <v>1</v>
      </c>
    </row>
    <row r="18" spans="1:9">
      <c r="A18" t="s">
        <v>244</v>
      </c>
      <c r="B18" t="s">
        <v>255</v>
      </c>
      <c r="C18" s="58" t="s">
        <v>280</v>
      </c>
      <c r="D18" t="s">
        <v>262</v>
      </c>
      <c r="E18" t="s">
        <v>256</v>
      </c>
      <c r="F18" t="s">
        <v>292</v>
      </c>
      <c r="H18" s="36">
        <v>1</v>
      </c>
    </row>
    <row r="19" spans="1:9">
      <c r="A19" t="s">
        <v>296</v>
      </c>
      <c r="B19" t="s">
        <v>297</v>
      </c>
      <c r="C19" s="58" t="s">
        <v>280</v>
      </c>
      <c r="D19" t="s">
        <v>262</v>
      </c>
      <c r="E19" t="s">
        <v>256</v>
      </c>
      <c r="F19" t="s">
        <v>292</v>
      </c>
      <c r="H19" s="36" t="s">
        <v>329</v>
      </c>
    </row>
    <row r="20" spans="1:9">
      <c r="A20" t="s">
        <v>260</v>
      </c>
      <c r="B20" t="s">
        <v>261</v>
      </c>
      <c r="C20" s="58" t="s">
        <v>254</v>
      </c>
      <c r="D20" t="s">
        <v>262</v>
      </c>
      <c r="E20" t="s">
        <v>256</v>
      </c>
      <c r="F20" t="s">
        <v>292</v>
      </c>
      <c r="H20" s="36">
        <v>1</v>
      </c>
      <c r="I20" t="s">
        <v>264</v>
      </c>
    </row>
    <row r="21" spans="1:9">
      <c r="A21" t="s">
        <v>294</v>
      </c>
      <c r="B21" t="s">
        <v>295</v>
      </c>
      <c r="C21" s="58" t="s">
        <v>280</v>
      </c>
      <c r="D21" t="s">
        <v>262</v>
      </c>
      <c r="E21" t="s">
        <v>256</v>
      </c>
      <c r="F21" t="s">
        <v>292</v>
      </c>
      <c r="H21" s="36" t="s">
        <v>329</v>
      </c>
    </row>
    <row r="22" spans="1:9">
      <c r="A22" t="s">
        <v>65</v>
      </c>
      <c r="B22" s="14" t="s">
        <v>95</v>
      </c>
      <c r="C22" s="58" t="s">
        <v>441</v>
      </c>
      <c r="D22" t="s">
        <v>181</v>
      </c>
      <c r="E22" t="s">
        <v>450</v>
      </c>
      <c r="F22" t="s">
        <v>110</v>
      </c>
      <c r="G22">
        <v>10</v>
      </c>
      <c r="H22" s="36">
        <v>0.9</v>
      </c>
      <c r="I22" s="14" t="s">
        <v>154</v>
      </c>
    </row>
    <row r="23" spans="1:9">
      <c r="A23" t="s">
        <v>447</v>
      </c>
      <c r="B23" s="14" t="s">
        <v>448</v>
      </c>
      <c r="C23" s="58" t="s">
        <v>441</v>
      </c>
      <c r="D23" t="s">
        <v>449</v>
      </c>
      <c r="E23" t="s">
        <v>450</v>
      </c>
      <c r="F23" t="s">
        <v>450</v>
      </c>
      <c r="H23" s="36"/>
      <c r="I23" s="14"/>
    </row>
    <row r="24" spans="1:9">
      <c r="A24" t="s">
        <v>281</v>
      </c>
      <c r="B24" t="s">
        <v>282</v>
      </c>
      <c r="C24" s="56" t="s">
        <v>283</v>
      </c>
      <c r="D24" t="s">
        <v>284</v>
      </c>
      <c r="F24" s="10" t="s">
        <v>177</v>
      </c>
      <c r="H24" s="36" t="s">
        <v>330</v>
      </c>
      <c r="I24" s="14"/>
    </row>
    <row r="25" spans="1:9">
      <c r="A25" t="s">
        <v>223</v>
      </c>
      <c r="B25" t="s">
        <v>213</v>
      </c>
      <c r="C25" s="56" t="s">
        <v>265</v>
      </c>
      <c r="D25" t="s">
        <v>180</v>
      </c>
      <c r="E25" t="s">
        <v>178</v>
      </c>
      <c r="F25" t="s">
        <v>178</v>
      </c>
      <c r="H25" s="36">
        <v>1</v>
      </c>
      <c r="I25" s="14"/>
    </row>
    <row r="26" spans="1:9">
      <c r="A26" t="s">
        <v>266</v>
      </c>
      <c r="B26" t="s">
        <v>267</v>
      </c>
      <c r="C26" s="56" t="s">
        <v>268</v>
      </c>
      <c r="D26" t="s">
        <v>269</v>
      </c>
      <c r="F26" t="s">
        <v>263</v>
      </c>
      <c r="H26" s="36" t="s">
        <v>330</v>
      </c>
      <c r="I26" s="14"/>
    </row>
    <row r="27" spans="1:9">
      <c r="A27" t="s">
        <v>57</v>
      </c>
      <c r="B27" t="s">
        <v>58</v>
      </c>
      <c r="C27" s="58" t="s">
        <v>293</v>
      </c>
      <c r="D27" t="s">
        <v>181</v>
      </c>
      <c r="E27" t="s">
        <v>8</v>
      </c>
      <c r="F27" t="s">
        <v>110</v>
      </c>
      <c r="H27" s="36">
        <v>1</v>
      </c>
      <c r="I27" s="14"/>
    </row>
    <row r="28" spans="1:9">
      <c r="A28" t="s">
        <v>40</v>
      </c>
      <c r="B28" s="10" t="s">
        <v>41</v>
      </c>
      <c r="C28" s="12" t="s">
        <v>39</v>
      </c>
      <c r="D28" s="10" t="s">
        <v>38</v>
      </c>
      <c r="E28" s="10" t="s">
        <v>15</v>
      </c>
      <c r="F28" s="10" t="s">
        <v>111</v>
      </c>
      <c r="H28" s="36">
        <v>1</v>
      </c>
    </row>
    <row r="29" spans="1:9">
      <c r="A29" t="s">
        <v>72</v>
      </c>
      <c r="B29" s="10" t="s">
        <v>207</v>
      </c>
      <c r="C29" s="12" t="s">
        <v>39</v>
      </c>
      <c r="D29" s="10" t="s">
        <v>38</v>
      </c>
      <c r="E29" s="10" t="s">
        <v>15</v>
      </c>
      <c r="F29" s="10" t="s">
        <v>111</v>
      </c>
      <c r="H29" s="36">
        <v>1</v>
      </c>
    </row>
    <row r="30" spans="1:9">
      <c r="A30" t="s">
        <v>88</v>
      </c>
      <c r="B30" t="s">
        <v>89</v>
      </c>
      <c r="C30" s="56" t="s">
        <v>265</v>
      </c>
      <c r="D30" t="s">
        <v>180</v>
      </c>
      <c r="E30" t="s">
        <v>178</v>
      </c>
      <c r="F30" t="s">
        <v>178</v>
      </c>
      <c r="G30">
        <v>20</v>
      </c>
      <c r="H30" s="36">
        <v>1</v>
      </c>
      <c r="I30" s="14" t="s">
        <v>148</v>
      </c>
    </row>
    <row r="31" spans="1:9">
      <c r="A31" t="s">
        <v>203</v>
      </c>
      <c r="B31" t="s">
        <v>208</v>
      </c>
      <c r="C31" s="56" t="s">
        <v>265</v>
      </c>
      <c r="D31" t="s">
        <v>180</v>
      </c>
      <c r="E31" t="s">
        <v>178</v>
      </c>
      <c r="F31" t="s">
        <v>178</v>
      </c>
      <c r="H31" s="36">
        <v>1</v>
      </c>
      <c r="I31" s="14"/>
    </row>
    <row r="32" spans="1:9">
      <c r="A32" t="s">
        <v>202</v>
      </c>
      <c r="B32" t="s">
        <v>206</v>
      </c>
      <c r="C32" s="56" t="s">
        <v>265</v>
      </c>
      <c r="D32" t="s">
        <v>180</v>
      </c>
      <c r="E32" t="s">
        <v>178</v>
      </c>
      <c r="F32" t="s">
        <v>178</v>
      </c>
      <c r="H32" s="36">
        <v>1</v>
      </c>
      <c r="I32" s="14"/>
    </row>
    <row r="33" spans="1:9">
      <c r="A33" t="s">
        <v>211</v>
      </c>
      <c r="B33" t="s">
        <v>212</v>
      </c>
      <c r="C33" s="56" t="s">
        <v>265</v>
      </c>
      <c r="D33" t="s">
        <v>180</v>
      </c>
      <c r="E33" t="s">
        <v>178</v>
      </c>
      <c r="F33" t="s">
        <v>178</v>
      </c>
      <c r="H33" s="36">
        <v>1</v>
      </c>
      <c r="I33" s="14"/>
    </row>
    <row r="34" spans="1:9">
      <c r="A34" t="s">
        <v>204</v>
      </c>
      <c r="B34" t="s">
        <v>209</v>
      </c>
      <c r="C34" s="56" t="s">
        <v>265</v>
      </c>
      <c r="D34" t="s">
        <v>180</v>
      </c>
      <c r="E34" t="s">
        <v>178</v>
      </c>
      <c r="F34" t="s">
        <v>178</v>
      </c>
      <c r="H34" s="36">
        <v>1</v>
      </c>
      <c r="I34" s="14"/>
    </row>
    <row r="35" spans="1:9">
      <c r="A35" t="s">
        <v>61</v>
      </c>
      <c r="B35" t="s">
        <v>62</v>
      </c>
      <c r="C35" s="2" t="s">
        <v>39</v>
      </c>
      <c r="D35" t="s">
        <v>38</v>
      </c>
      <c r="E35" t="s">
        <v>15</v>
      </c>
      <c r="F35" t="s">
        <v>111</v>
      </c>
      <c r="H35" s="36">
        <v>1</v>
      </c>
    </row>
    <row r="36" spans="1:9">
      <c r="A36" t="s">
        <v>205</v>
      </c>
      <c r="B36" t="s">
        <v>210</v>
      </c>
      <c r="C36" s="56" t="s">
        <v>265</v>
      </c>
      <c r="D36" t="s">
        <v>180</v>
      </c>
      <c r="E36" t="s">
        <v>178</v>
      </c>
      <c r="F36" t="s">
        <v>178</v>
      </c>
      <c r="H36" s="36">
        <v>1</v>
      </c>
      <c r="I36" s="14"/>
    </row>
    <row r="37" spans="1:9">
      <c r="A37" s="14" t="s">
        <v>236</v>
      </c>
      <c r="B37" s="14" t="s">
        <v>238</v>
      </c>
      <c r="C37" s="56" t="s">
        <v>265</v>
      </c>
      <c r="D37" t="s">
        <v>180</v>
      </c>
      <c r="E37" s="14" t="s">
        <v>109</v>
      </c>
      <c r="F37" s="14" t="s">
        <v>109</v>
      </c>
      <c r="H37" s="36">
        <v>1</v>
      </c>
      <c r="I37" s="14"/>
    </row>
    <row r="38" spans="1:9">
      <c r="A38" t="s">
        <v>52</v>
      </c>
      <c r="B38" s="10" t="s">
        <v>53</v>
      </c>
      <c r="C38" s="12" t="s">
        <v>39</v>
      </c>
      <c r="D38" s="10" t="s">
        <v>38</v>
      </c>
      <c r="E38" s="10" t="s">
        <v>15</v>
      </c>
      <c r="F38" s="10" t="s">
        <v>111</v>
      </c>
      <c r="H38" s="36">
        <v>1</v>
      </c>
    </row>
    <row r="39" spans="1:9">
      <c r="A39" s="14" t="s">
        <v>237</v>
      </c>
      <c r="B39" s="14" t="s">
        <v>239</v>
      </c>
      <c r="C39" s="56" t="s">
        <v>265</v>
      </c>
      <c r="D39" t="s">
        <v>180</v>
      </c>
      <c r="E39" s="14" t="s">
        <v>109</v>
      </c>
      <c r="F39" s="14" t="s">
        <v>109</v>
      </c>
      <c r="H39" s="36">
        <v>1</v>
      </c>
      <c r="I39" s="14"/>
    </row>
    <row r="40" spans="1:9">
      <c r="A40" s="14" t="s">
        <v>445</v>
      </c>
      <c r="B40" s="14" t="s">
        <v>239</v>
      </c>
      <c r="C40" s="56" t="s">
        <v>441</v>
      </c>
      <c r="D40" t="s">
        <v>446</v>
      </c>
      <c r="E40" s="14" t="s">
        <v>109</v>
      </c>
      <c r="F40" s="14" t="s">
        <v>109</v>
      </c>
      <c r="H40" s="36"/>
      <c r="I40" s="14"/>
    </row>
    <row r="41" spans="1:9">
      <c r="A41" s="14" t="s">
        <v>242</v>
      </c>
      <c r="B41" s="14" t="s">
        <v>240</v>
      </c>
      <c r="C41" s="56" t="s">
        <v>241</v>
      </c>
      <c r="D41" s="14" t="s">
        <v>240</v>
      </c>
      <c r="E41" s="14" t="s">
        <v>33</v>
      </c>
      <c r="F41" s="14" t="s">
        <v>33</v>
      </c>
      <c r="H41" s="36">
        <v>1</v>
      </c>
      <c r="I41" s="14"/>
    </row>
    <row r="42" spans="1:9">
      <c r="A42" s="10" t="s">
        <v>112</v>
      </c>
      <c r="B42" s="10" t="s">
        <v>113</v>
      </c>
      <c r="C42" s="10" t="s">
        <v>114</v>
      </c>
      <c r="D42" s="10" t="s">
        <v>115</v>
      </c>
      <c r="E42" s="10" t="s">
        <v>116</v>
      </c>
      <c r="F42" s="10" t="s">
        <v>117</v>
      </c>
      <c r="G42" s="10"/>
      <c r="H42" s="37"/>
    </row>
    <row r="43" spans="1:9">
      <c r="A43" s="10" t="s">
        <v>356</v>
      </c>
      <c r="B43" s="10" t="s">
        <v>506</v>
      </c>
      <c r="C43" s="12" t="s">
        <v>440</v>
      </c>
      <c r="D43" s="10" t="s">
        <v>507</v>
      </c>
      <c r="E43" s="10" t="s">
        <v>348</v>
      </c>
      <c r="F43" s="10" t="s">
        <v>177</v>
      </c>
      <c r="G43" s="10"/>
      <c r="H43" s="37"/>
    </row>
    <row r="44" spans="1:9">
      <c r="A44" s="14" t="s">
        <v>228</v>
      </c>
      <c r="B44" s="14" t="s">
        <v>243</v>
      </c>
      <c r="C44" s="58" t="s">
        <v>439</v>
      </c>
      <c r="D44" s="14" t="s">
        <v>243</v>
      </c>
      <c r="E44" s="14" t="s">
        <v>33</v>
      </c>
      <c r="F44" s="14" t="s">
        <v>33</v>
      </c>
      <c r="H44" s="36">
        <v>1</v>
      </c>
      <c r="I44" s="14"/>
    </row>
    <row r="45" spans="1:9">
      <c r="A45" s="14" t="s">
        <v>319</v>
      </c>
      <c r="B45" s="14" t="s">
        <v>320</v>
      </c>
      <c r="C45" s="58" t="s">
        <v>439</v>
      </c>
      <c r="D45" s="14" t="s">
        <v>321</v>
      </c>
      <c r="E45" s="14" t="s">
        <v>35</v>
      </c>
      <c r="F45" s="14" t="s">
        <v>33</v>
      </c>
      <c r="H45" s="91" t="s">
        <v>329</v>
      </c>
      <c r="I45" s="14"/>
    </row>
    <row r="46" spans="1:9">
      <c r="A46" s="14" t="s">
        <v>322</v>
      </c>
      <c r="B46" s="14" t="s">
        <v>323</v>
      </c>
      <c r="C46" s="58" t="s">
        <v>439</v>
      </c>
      <c r="D46" s="14" t="s">
        <v>321</v>
      </c>
      <c r="E46" s="14" t="s">
        <v>35</v>
      </c>
      <c r="F46" s="14" t="s">
        <v>33</v>
      </c>
      <c r="H46" t="s">
        <v>329</v>
      </c>
      <c r="I46" s="14"/>
    </row>
    <row r="47" spans="1:9">
      <c r="A47" t="s">
        <v>28</v>
      </c>
      <c r="B47" s="33" t="s">
        <v>27</v>
      </c>
      <c r="C47" s="55" t="s">
        <v>176</v>
      </c>
      <c r="D47" s="33" t="s">
        <v>0</v>
      </c>
      <c r="E47" s="33" t="s">
        <v>7</v>
      </c>
      <c r="F47" s="33" t="s">
        <v>118</v>
      </c>
      <c r="G47">
        <v>30</v>
      </c>
      <c r="H47" s="36">
        <v>1</v>
      </c>
      <c r="I47" s="14" t="s">
        <v>149</v>
      </c>
    </row>
    <row r="48" spans="1:9">
      <c r="A48" t="s">
        <v>17</v>
      </c>
      <c r="B48" s="34" t="s">
        <v>25</v>
      </c>
      <c r="C48" s="35" t="s">
        <v>437</v>
      </c>
      <c r="D48" s="35" t="s">
        <v>17</v>
      </c>
      <c r="E48" s="34" t="s">
        <v>32</v>
      </c>
      <c r="F48" s="34" t="s">
        <v>33</v>
      </c>
      <c r="G48" s="14" t="s">
        <v>102</v>
      </c>
      <c r="H48" s="91" t="s">
        <v>329</v>
      </c>
      <c r="I48" s="14" t="s">
        <v>155</v>
      </c>
    </row>
    <row r="49" spans="1:9">
      <c r="A49" t="s">
        <v>338</v>
      </c>
      <c r="B49" s="33" t="s">
        <v>339</v>
      </c>
      <c r="C49" s="59" t="s">
        <v>437</v>
      </c>
      <c r="D49" s="33" t="s">
        <v>338</v>
      </c>
      <c r="E49" s="33" t="s">
        <v>32</v>
      </c>
      <c r="F49" s="33" t="s">
        <v>33</v>
      </c>
      <c r="G49" s="14"/>
      <c r="H49" s="93"/>
      <c r="I49" s="14"/>
    </row>
    <row r="50" spans="1:9">
      <c r="A50" t="s">
        <v>275</v>
      </c>
      <c r="B50" s="34" t="s">
        <v>276</v>
      </c>
      <c r="C50" s="34" t="s">
        <v>177</v>
      </c>
      <c r="D50" s="35" t="s">
        <v>17</v>
      </c>
      <c r="E50" s="34" t="s">
        <v>277</v>
      </c>
      <c r="F50" s="34" t="s">
        <v>177</v>
      </c>
      <c r="G50" s="14" t="s">
        <v>102</v>
      </c>
      <c r="H50" s="36" t="s">
        <v>329</v>
      </c>
      <c r="I50" s="14" t="s">
        <v>155</v>
      </c>
    </row>
    <row r="51" spans="1:9">
      <c r="A51" t="s">
        <v>54</v>
      </c>
      <c r="B51" t="s">
        <v>44</v>
      </c>
      <c r="C51" s="2" t="s">
        <v>45</v>
      </c>
      <c r="D51" t="s">
        <v>46</v>
      </c>
      <c r="E51" t="s">
        <v>9</v>
      </c>
      <c r="F51" t="s">
        <v>119</v>
      </c>
      <c r="H51" s="36">
        <v>1</v>
      </c>
    </row>
    <row r="52" spans="1:9">
      <c r="A52" t="s">
        <v>37</v>
      </c>
      <c r="B52" t="s">
        <v>36</v>
      </c>
      <c r="C52" s="55" t="s">
        <v>176</v>
      </c>
      <c r="D52" s="21" t="s">
        <v>26</v>
      </c>
      <c r="E52" s="21" t="s">
        <v>102</v>
      </c>
      <c r="F52" s="21" t="s">
        <v>33</v>
      </c>
      <c r="G52">
        <v>40</v>
      </c>
      <c r="H52" t="s">
        <v>329</v>
      </c>
      <c r="I52" s="14" t="s">
        <v>150</v>
      </c>
    </row>
    <row r="53" spans="1:9">
      <c r="A53" s="10" t="s">
        <v>106</v>
      </c>
      <c r="B53" s="10" t="s">
        <v>120</v>
      </c>
      <c r="C53" s="55" t="s">
        <v>176</v>
      </c>
      <c r="D53" s="43" t="s">
        <v>183</v>
      </c>
      <c r="E53" s="44" t="s">
        <v>33</v>
      </c>
      <c r="F53" s="44" t="s">
        <v>33</v>
      </c>
      <c r="G53" s="14" t="s">
        <v>102</v>
      </c>
      <c r="H53" s="36">
        <v>0</v>
      </c>
      <c r="I53" s="14" t="s">
        <v>151</v>
      </c>
    </row>
    <row r="54" spans="1:9">
      <c r="A54" s="10" t="s">
        <v>103</v>
      </c>
      <c r="B54" s="10" t="s">
        <v>121</v>
      </c>
      <c r="C54" s="55" t="s">
        <v>176</v>
      </c>
      <c r="D54" s="43" t="s">
        <v>183</v>
      </c>
      <c r="E54" s="44" t="s">
        <v>33</v>
      </c>
      <c r="F54" s="44" t="s">
        <v>33</v>
      </c>
      <c r="G54" s="14" t="s">
        <v>102</v>
      </c>
      <c r="H54" s="36">
        <v>0</v>
      </c>
      <c r="I54" s="14" t="s">
        <v>151</v>
      </c>
    </row>
    <row r="55" spans="1:9">
      <c r="A55" s="10" t="s">
        <v>157</v>
      </c>
      <c r="B55" s="10" t="s">
        <v>158</v>
      </c>
      <c r="C55" s="59" t="s">
        <v>328</v>
      </c>
      <c r="D55" s="43" t="s">
        <v>158</v>
      </c>
      <c r="E55" s="44" t="s">
        <v>159</v>
      </c>
      <c r="F55" s="44" t="s">
        <v>159</v>
      </c>
      <c r="G55" s="14"/>
      <c r="H55" s="36">
        <v>0</v>
      </c>
      <c r="I55" s="14" t="s">
        <v>151</v>
      </c>
    </row>
    <row r="56" spans="1:9">
      <c r="A56" t="s">
        <v>79</v>
      </c>
      <c r="B56" s="10" t="s">
        <v>80</v>
      </c>
      <c r="C56" s="55" t="s">
        <v>438</v>
      </c>
      <c r="D56" s="45" t="s">
        <v>26</v>
      </c>
      <c r="E56" s="45" t="s">
        <v>102</v>
      </c>
      <c r="F56" s="45" t="s">
        <v>33</v>
      </c>
      <c r="H56" s="39">
        <v>1</v>
      </c>
    </row>
    <row r="57" spans="1:9">
      <c r="A57" t="s">
        <v>105</v>
      </c>
      <c r="B57" s="10" t="s">
        <v>123</v>
      </c>
      <c r="C57" s="55" t="s">
        <v>438</v>
      </c>
      <c r="D57" s="10" t="s">
        <v>26</v>
      </c>
      <c r="E57" s="10" t="s">
        <v>102</v>
      </c>
      <c r="F57" s="10" t="s">
        <v>33</v>
      </c>
      <c r="H57" s="36">
        <v>1</v>
      </c>
    </row>
    <row r="58" spans="1:9">
      <c r="A58" t="s">
        <v>77</v>
      </c>
      <c r="B58" t="s">
        <v>78</v>
      </c>
      <c r="C58" s="55" t="s">
        <v>438</v>
      </c>
      <c r="D58" t="s">
        <v>26</v>
      </c>
      <c r="E58" t="s">
        <v>102</v>
      </c>
      <c r="F58" t="s">
        <v>33</v>
      </c>
      <c r="H58" s="36">
        <v>1</v>
      </c>
    </row>
    <row r="59" spans="1:9">
      <c r="A59" t="s">
        <v>48</v>
      </c>
      <c r="B59" s="10" t="s">
        <v>49</v>
      </c>
      <c r="C59" s="55" t="s">
        <v>438</v>
      </c>
      <c r="D59" s="10" t="s">
        <v>26</v>
      </c>
      <c r="E59" s="10" t="s">
        <v>35</v>
      </c>
      <c r="F59" t="s">
        <v>33</v>
      </c>
      <c r="H59" s="36">
        <v>1</v>
      </c>
    </row>
    <row r="60" spans="1:9">
      <c r="A60" t="s">
        <v>59</v>
      </c>
      <c r="B60" t="s">
        <v>60</v>
      </c>
      <c r="C60" s="55" t="s">
        <v>438</v>
      </c>
      <c r="D60" t="s">
        <v>26</v>
      </c>
      <c r="E60" t="s">
        <v>102</v>
      </c>
      <c r="F60" t="s">
        <v>33</v>
      </c>
      <c r="H60" s="36">
        <v>1</v>
      </c>
    </row>
    <row r="61" spans="1:9">
      <c r="A61" t="s">
        <v>70</v>
      </c>
      <c r="B61" t="s">
        <v>71</v>
      </c>
      <c r="C61" s="55" t="s">
        <v>438</v>
      </c>
      <c r="D61" t="s">
        <v>26</v>
      </c>
      <c r="E61" t="s">
        <v>33</v>
      </c>
      <c r="F61" t="s">
        <v>33</v>
      </c>
      <c r="H61" s="36">
        <v>1</v>
      </c>
    </row>
    <row r="62" spans="1:9">
      <c r="A62" t="s">
        <v>85</v>
      </c>
      <c r="B62" t="s">
        <v>84</v>
      </c>
      <c r="C62" s="55" t="s">
        <v>438</v>
      </c>
      <c r="D62" t="s">
        <v>26</v>
      </c>
      <c r="E62" t="s">
        <v>495</v>
      </c>
      <c r="F62" t="s">
        <v>33</v>
      </c>
      <c r="G62">
        <v>4</v>
      </c>
      <c r="H62" t="s">
        <v>329</v>
      </c>
      <c r="I62" s="14" t="s">
        <v>152</v>
      </c>
    </row>
    <row r="63" spans="1:9">
      <c r="A63" t="s">
        <v>138</v>
      </c>
      <c r="B63" s="10" t="s">
        <v>139</v>
      </c>
      <c r="C63" s="55" t="s">
        <v>438</v>
      </c>
      <c r="D63" s="10" t="s">
        <v>26</v>
      </c>
      <c r="E63" s="10" t="s">
        <v>35</v>
      </c>
      <c r="F63" t="s">
        <v>33</v>
      </c>
      <c r="H63" s="91" t="s">
        <v>329</v>
      </c>
    </row>
    <row r="64" spans="1:9">
      <c r="A64" t="s">
        <v>140</v>
      </c>
      <c r="B64" t="s">
        <v>141</v>
      </c>
      <c r="C64" s="55" t="s">
        <v>438</v>
      </c>
      <c r="D64" t="s">
        <v>26</v>
      </c>
      <c r="E64" t="s">
        <v>35</v>
      </c>
      <c r="F64" t="s">
        <v>33</v>
      </c>
      <c r="H64" s="91" t="s">
        <v>329</v>
      </c>
    </row>
    <row r="65" spans="1:9">
      <c r="A65" s="34" t="s">
        <v>104</v>
      </c>
      <c r="B65" s="34" t="s">
        <v>122</v>
      </c>
      <c r="C65" s="55" t="s">
        <v>438</v>
      </c>
      <c r="D65" s="34" t="s">
        <v>26</v>
      </c>
      <c r="E65" s="34" t="s">
        <v>35</v>
      </c>
      <c r="F65" s="34" t="s">
        <v>33</v>
      </c>
      <c r="G65" s="34"/>
      <c r="H65" s="38">
        <v>1</v>
      </c>
    </row>
    <row r="66" spans="1:9">
      <c r="A66" t="s">
        <v>75</v>
      </c>
      <c r="B66" t="s">
        <v>76</v>
      </c>
      <c r="C66" s="55" t="s">
        <v>438</v>
      </c>
      <c r="D66" t="s">
        <v>26</v>
      </c>
      <c r="E66" t="s">
        <v>102</v>
      </c>
      <c r="F66" t="s">
        <v>33</v>
      </c>
      <c r="H66" s="36">
        <v>1</v>
      </c>
    </row>
    <row r="67" spans="1:9">
      <c r="A67" t="s">
        <v>63</v>
      </c>
      <c r="B67" t="s">
        <v>64</v>
      </c>
      <c r="C67" s="55" t="s">
        <v>438</v>
      </c>
      <c r="D67" t="s">
        <v>26</v>
      </c>
      <c r="E67" t="s">
        <v>102</v>
      </c>
      <c r="F67" t="s">
        <v>33</v>
      </c>
      <c r="H67" s="91" t="s">
        <v>329</v>
      </c>
    </row>
    <row r="68" spans="1:9">
      <c r="A68" t="s">
        <v>73</v>
      </c>
      <c r="B68" t="s">
        <v>74</v>
      </c>
      <c r="C68" s="55" t="s">
        <v>438</v>
      </c>
      <c r="D68" t="s">
        <v>26</v>
      </c>
      <c r="E68" t="s">
        <v>102</v>
      </c>
      <c r="F68" t="s">
        <v>33</v>
      </c>
      <c r="H68" s="36">
        <v>1</v>
      </c>
    </row>
    <row r="69" spans="1:9">
      <c r="A69" t="s">
        <v>55</v>
      </c>
      <c r="B69" t="s">
        <v>56</v>
      </c>
      <c r="C69" s="55" t="s">
        <v>438</v>
      </c>
      <c r="D69" t="s">
        <v>26</v>
      </c>
      <c r="E69" t="s">
        <v>102</v>
      </c>
      <c r="F69" t="s">
        <v>33</v>
      </c>
      <c r="H69" s="91" t="s">
        <v>329</v>
      </c>
    </row>
    <row r="70" spans="1:9">
      <c r="A70" t="s">
        <v>90</v>
      </c>
      <c r="B70" t="s">
        <v>91</v>
      </c>
      <c r="C70" s="55" t="s">
        <v>438</v>
      </c>
      <c r="D70" t="s">
        <v>26</v>
      </c>
      <c r="E70" t="s">
        <v>18</v>
      </c>
      <c r="F70" t="s">
        <v>33</v>
      </c>
      <c r="G70">
        <v>20</v>
      </c>
      <c r="H70" s="36">
        <v>0.5</v>
      </c>
      <c r="I70" s="14" t="s">
        <v>153</v>
      </c>
    </row>
    <row r="71" spans="1:9">
      <c r="A71" t="s">
        <v>66</v>
      </c>
      <c r="B71" t="s">
        <v>67</v>
      </c>
      <c r="C71" s="55" t="s">
        <v>438</v>
      </c>
      <c r="D71" t="s">
        <v>26</v>
      </c>
      <c r="E71" t="s">
        <v>102</v>
      </c>
      <c r="F71" t="s">
        <v>33</v>
      </c>
      <c r="H71" s="36">
        <v>1</v>
      </c>
    </row>
    <row r="72" spans="1:9">
      <c r="A72" t="s">
        <v>68</v>
      </c>
      <c r="B72" t="s">
        <v>69</v>
      </c>
      <c r="C72" s="55" t="s">
        <v>438</v>
      </c>
      <c r="D72" t="s">
        <v>26</v>
      </c>
      <c r="E72" t="s">
        <v>102</v>
      </c>
      <c r="F72" t="s">
        <v>33</v>
      </c>
      <c r="H72" s="36">
        <v>1</v>
      </c>
    </row>
    <row r="73" spans="1:9">
      <c r="A73" t="s">
        <v>82</v>
      </c>
      <c r="B73" t="s">
        <v>83</v>
      </c>
      <c r="C73" s="55" t="s">
        <v>438</v>
      </c>
      <c r="D73" t="s">
        <v>26</v>
      </c>
      <c r="E73" t="s">
        <v>102</v>
      </c>
      <c r="F73" t="s">
        <v>33</v>
      </c>
      <c r="H73" s="91" t="s">
        <v>329</v>
      </c>
    </row>
    <row r="74" spans="1:9">
      <c r="A74" t="s">
        <v>86</v>
      </c>
      <c r="B74" s="10" t="s">
        <v>87</v>
      </c>
      <c r="C74" s="55" t="s">
        <v>438</v>
      </c>
      <c r="D74" s="10" t="s">
        <v>26</v>
      </c>
      <c r="E74" s="10" t="s">
        <v>102</v>
      </c>
      <c r="F74" s="10" t="s">
        <v>33</v>
      </c>
      <c r="H74" s="36">
        <v>1</v>
      </c>
    </row>
    <row r="75" spans="1:9">
      <c r="A75" s="14" t="s">
        <v>174</v>
      </c>
      <c r="B75" s="54" t="s">
        <v>175</v>
      </c>
      <c r="C75" s="55" t="s">
        <v>438</v>
      </c>
      <c r="D75" s="54" t="s">
        <v>26</v>
      </c>
      <c r="E75" s="54" t="s">
        <v>33</v>
      </c>
      <c r="F75" s="54" t="s">
        <v>33</v>
      </c>
      <c r="H75" s="36">
        <v>1</v>
      </c>
    </row>
    <row r="76" spans="1:9">
      <c r="A76" t="s">
        <v>81</v>
      </c>
      <c r="B76" s="10" t="s">
        <v>19</v>
      </c>
      <c r="C76" s="55" t="s">
        <v>438</v>
      </c>
      <c r="D76" s="10" t="s">
        <v>26</v>
      </c>
      <c r="E76" s="10" t="s">
        <v>124</v>
      </c>
      <c r="F76" s="10" t="s">
        <v>33</v>
      </c>
      <c r="H76" s="36">
        <v>1</v>
      </c>
    </row>
    <row r="77" spans="1:9">
      <c r="A77" s="10"/>
      <c r="B77" s="10"/>
      <c r="C77" s="10"/>
      <c r="D77" s="10"/>
      <c r="E77" s="10"/>
      <c r="F77" s="10"/>
      <c r="G77" s="10"/>
      <c r="H77" s="37"/>
    </row>
    <row r="78" spans="1:9">
      <c r="H78" s="36"/>
    </row>
    <row r="79" spans="1:9">
      <c r="H79" s="36"/>
    </row>
    <row r="80" spans="1:9">
      <c r="A80" s="10"/>
      <c r="B80" s="10"/>
      <c r="C80" s="10"/>
      <c r="D80" s="10"/>
      <c r="E80" s="10"/>
      <c r="F80" s="10"/>
      <c r="G80" s="10"/>
      <c r="H80" s="37"/>
      <c r="I80" s="10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/>
  <headerFooter alignWithMargins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6"/>
  <sheetViews>
    <sheetView workbookViewId="0">
      <selection activeCell="E5" sqref="E5"/>
    </sheetView>
  </sheetViews>
  <sheetFormatPr baseColWidth="10" defaultRowHeight="12.75"/>
  <cols>
    <col min="1" max="1" width="16.85546875" bestFit="1" customWidth="1"/>
    <col min="2" max="2" width="23.7109375" bestFit="1" customWidth="1"/>
    <col min="3" max="3" width="19.42578125" bestFit="1" customWidth="1"/>
    <col min="4" max="4" width="13.7109375" bestFit="1" customWidth="1"/>
    <col min="5" max="5" width="13.28515625" bestFit="1" customWidth="1"/>
    <col min="6" max="6" width="28.140625" bestFit="1" customWidth="1"/>
    <col min="7" max="7" width="14.140625" bestFit="1" customWidth="1"/>
    <col min="8" max="8" width="20.42578125" bestFit="1" customWidth="1"/>
    <col min="9" max="9" width="15.140625" bestFit="1" customWidth="1"/>
    <col min="10" max="10" width="18.42578125" bestFit="1" customWidth="1"/>
    <col min="11" max="11" width="14.42578125" bestFit="1" customWidth="1"/>
    <col min="12" max="12" width="24.42578125" bestFit="1" customWidth="1"/>
    <col min="13" max="13" width="21.7109375" bestFit="1" customWidth="1"/>
    <col min="14" max="14" width="21.42578125" bestFit="1" customWidth="1"/>
    <col min="15" max="15" width="17.85546875" bestFit="1" customWidth="1"/>
    <col min="16" max="16" width="14.42578125" bestFit="1" customWidth="1"/>
    <col min="17" max="18" width="15.42578125" bestFit="1" customWidth="1"/>
    <col min="19" max="19" width="14.42578125" bestFit="1" customWidth="1"/>
    <col min="20" max="20" width="15.140625" bestFit="1" customWidth="1"/>
    <col min="21" max="21" width="4.7109375" bestFit="1" customWidth="1"/>
    <col min="22" max="22" width="15.42578125" bestFit="1" customWidth="1"/>
    <col min="23" max="23" width="23" bestFit="1" customWidth="1"/>
    <col min="24" max="24" width="19" bestFit="1" customWidth="1"/>
    <col min="25" max="25" width="16.42578125" bestFit="1" customWidth="1"/>
    <col min="26" max="26" width="22" bestFit="1" customWidth="1"/>
    <col min="27" max="27" width="28.85546875" bestFit="1" customWidth="1"/>
    <col min="28" max="28" width="25" bestFit="1" customWidth="1"/>
    <col min="29" max="29" width="19" bestFit="1" customWidth="1"/>
    <col min="30" max="30" width="12.28515625" bestFit="1" customWidth="1"/>
    <col min="31" max="31" width="27.7109375" bestFit="1" customWidth="1"/>
    <col min="32" max="32" width="17.42578125" bestFit="1" customWidth="1"/>
    <col min="33" max="33" width="14.28515625" bestFit="1" customWidth="1"/>
    <col min="34" max="34" width="14.140625" bestFit="1" customWidth="1"/>
    <col min="35" max="35" width="14.85546875" bestFit="1" customWidth="1"/>
    <col min="36" max="36" width="14" bestFit="1" customWidth="1"/>
    <col min="37" max="37" width="20.140625" bestFit="1" customWidth="1"/>
    <col min="38" max="38" width="21.28515625" bestFit="1" customWidth="1"/>
    <col min="39" max="39" width="22.140625" bestFit="1" customWidth="1"/>
    <col min="40" max="40" width="13.7109375" bestFit="1" customWidth="1"/>
    <col min="41" max="41" width="24.42578125" bestFit="1" customWidth="1"/>
    <col min="42" max="42" width="21.7109375" bestFit="1" customWidth="1"/>
    <col min="43" max="43" width="18.42578125" bestFit="1" customWidth="1"/>
    <col min="44" max="44" width="21.42578125" bestFit="1" customWidth="1"/>
    <col min="45" max="45" width="17.85546875" bestFit="1" customWidth="1"/>
    <col min="46" max="46" width="30.42578125" bestFit="1" customWidth="1"/>
    <col min="47" max="47" width="17.28515625" bestFit="1" customWidth="1"/>
    <col min="48" max="48" width="21.85546875" bestFit="1" customWidth="1"/>
    <col min="49" max="49" width="17" bestFit="1" customWidth="1"/>
    <col min="50" max="50" width="23.140625" bestFit="1" customWidth="1"/>
    <col min="51" max="51" width="15.7109375" bestFit="1" customWidth="1"/>
    <col min="52" max="52" width="18.42578125" bestFit="1" customWidth="1"/>
    <col min="53" max="54" width="14.42578125" bestFit="1" customWidth="1"/>
    <col min="55" max="55" width="26.42578125" bestFit="1" customWidth="1"/>
    <col min="56" max="56" width="12.7109375" bestFit="1" customWidth="1"/>
    <col min="57" max="57" width="19.140625" bestFit="1" customWidth="1"/>
    <col min="58" max="58" width="15.140625" bestFit="1" customWidth="1"/>
    <col min="59" max="59" width="4.7109375" bestFit="1" customWidth="1"/>
    <col min="60" max="60" width="15.42578125" bestFit="1" customWidth="1"/>
    <col min="61" max="61" width="12.42578125" bestFit="1" customWidth="1"/>
    <col min="62" max="62" width="7.28515625" customWidth="1"/>
    <col min="63" max="63" width="4.42578125" customWidth="1"/>
    <col min="64" max="71" width="7.42578125" customWidth="1"/>
    <col min="72" max="72" width="7.85546875" customWidth="1"/>
    <col min="73" max="74" width="7.42578125" customWidth="1"/>
    <col min="75" max="75" width="11.85546875" bestFit="1" customWidth="1"/>
    <col min="76" max="76" width="11.7109375" bestFit="1" customWidth="1"/>
    <col min="77" max="77" width="4.140625" customWidth="1"/>
    <col min="78" max="78" width="10.42578125" customWidth="1"/>
    <col min="79" max="79" width="8.140625" customWidth="1"/>
    <col min="80" max="80" width="12" bestFit="1" customWidth="1"/>
    <col min="81" max="81" width="10.7109375" customWidth="1"/>
    <col min="82" max="82" width="10.28515625" customWidth="1"/>
    <col min="83" max="83" width="8.28515625" customWidth="1"/>
    <col min="84" max="84" width="13.140625" bestFit="1" customWidth="1"/>
    <col min="85" max="86" width="10.42578125" customWidth="1"/>
    <col min="87" max="87" width="14.42578125" bestFit="1" customWidth="1"/>
    <col min="88" max="88" width="14.85546875" bestFit="1" customWidth="1"/>
    <col min="89" max="89" width="13.7109375" bestFit="1" customWidth="1"/>
    <col min="90" max="90" width="14.28515625" bestFit="1" customWidth="1"/>
    <col min="91" max="91" width="13.28515625" bestFit="1" customWidth="1"/>
    <col min="92" max="92" width="14" bestFit="1" customWidth="1"/>
    <col min="93" max="93" width="15.140625" bestFit="1" customWidth="1"/>
    <col min="94" max="94" width="12.7109375" bestFit="1" customWidth="1"/>
    <col min="95" max="95" width="10.28515625" customWidth="1"/>
    <col min="96" max="96" width="12" bestFit="1" customWidth="1"/>
    <col min="97" max="97" width="10.42578125" customWidth="1"/>
    <col min="98" max="98" width="6.28515625" customWidth="1"/>
    <col min="99" max="99" width="15.42578125" bestFit="1" customWidth="1"/>
  </cols>
  <sheetData>
    <row r="1" spans="1:17" ht="15">
      <c r="A1" s="79" t="s">
        <v>307</v>
      </c>
      <c r="B1" s="80" t="s">
        <v>308</v>
      </c>
    </row>
    <row r="2" spans="1:17" ht="15">
      <c r="A2" s="79" t="s">
        <v>188</v>
      </c>
      <c r="B2" s="80" t="s">
        <v>308</v>
      </c>
    </row>
    <row r="4" spans="1:17" ht="15">
      <c r="A4" s="80"/>
      <c r="B4" s="79" t="s">
        <v>137</v>
      </c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</row>
    <row r="5" spans="1:17" ht="15">
      <c r="A5" s="80"/>
      <c r="B5" s="80" t="s">
        <v>95</v>
      </c>
      <c r="C5" s="80" t="s">
        <v>300</v>
      </c>
      <c r="D5" s="80" t="s">
        <v>89</v>
      </c>
      <c r="E5" s="80" t="s">
        <v>50</v>
      </c>
      <c r="F5" s="80" t="s">
        <v>301</v>
      </c>
      <c r="G5" s="80" t="s">
        <v>58</v>
      </c>
      <c r="H5" s="80" t="s">
        <v>304</v>
      </c>
      <c r="I5" s="80" t="s">
        <v>239</v>
      </c>
      <c r="J5" s="80" t="s">
        <v>213</v>
      </c>
      <c r="K5" s="80" t="s">
        <v>238</v>
      </c>
      <c r="L5" s="80" t="s">
        <v>208</v>
      </c>
      <c r="M5" s="80" t="s">
        <v>206</v>
      </c>
      <c r="N5" s="80" t="s">
        <v>212</v>
      </c>
      <c r="O5" s="80" t="s">
        <v>209</v>
      </c>
      <c r="P5" s="80" t="s">
        <v>210</v>
      </c>
      <c r="Q5" s="80" t="s">
        <v>94</v>
      </c>
    </row>
    <row r="6" spans="1:17" ht="15">
      <c r="A6" s="81" t="s">
        <v>309</v>
      </c>
      <c r="B6" s="82">
        <v>159</v>
      </c>
      <c r="C6" s="82">
        <v>152.5</v>
      </c>
      <c r="D6" s="82">
        <v>144.5</v>
      </c>
      <c r="E6" s="82">
        <v>95</v>
      </c>
      <c r="F6" s="82">
        <v>63.5</v>
      </c>
      <c r="G6" s="82">
        <v>59.5</v>
      </c>
      <c r="H6" s="82">
        <v>58</v>
      </c>
      <c r="I6" s="82">
        <v>49.5</v>
      </c>
      <c r="J6" s="82">
        <v>35.5</v>
      </c>
      <c r="K6" s="82">
        <v>34</v>
      </c>
      <c r="L6" s="82">
        <v>19.5</v>
      </c>
      <c r="M6" s="82">
        <v>19</v>
      </c>
      <c r="N6" s="82">
        <v>5</v>
      </c>
      <c r="O6" s="82">
        <v>4.5</v>
      </c>
      <c r="P6" s="82">
        <v>4.5</v>
      </c>
      <c r="Q6" s="82">
        <v>903.5</v>
      </c>
    </row>
  </sheetData>
  <pageMargins left="0.7" right="0.7" top="0.78740157499999996" bottom="0.78740157499999996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71"/>
  <sheetViews>
    <sheetView topLeftCell="B1" workbookViewId="0">
      <selection activeCell="C43" sqref="C43"/>
    </sheetView>
  </sheetViews>
  <sheetFormatPr baseColWidth="10" defaultRowHeight="12.75"/>
  <cols>
    <col min="1" max="1" width="16.140625" bestFit="1" customWidth="1"/>
    <col min="2" max="2" width="24" bestFit="1" customWidth="1"/>
    <col min="3" max="3" width="20.28515625" customWidth="1"/>
    <col min="4" max="4" width="14.7109375" customWidth="1"/>
    <col min="5" max="5" width="13.7109375" customWidth="1"/>
    <col min="6" max="6" width="14.7109375" bestFit="1" customWidth="1"/>
    <col min="7" max="7" width="15.28515625" customWidth="1"/>
    <col min="8" max="8" width="19.42578125" customWidth="1"/>
    <col min="9" max="9" width="15" customWidth="1"/>
    <col min="10" max="10" width="25.85546875" customWidth="1"/>
    <col min="11" max="11" width="23.140625" customWidth="1"/>
    <col min="12" max="12" width="22.7109375" customWidth="1"/>
    <col min="13" max="13" width="19.42578125" bestFit="1" customWidth="1"/>
    <col min="14" max="14" width="15" customWidth="1"/>
    <col min="15" max="15" width="15.7109375" bestFit="1" customWidth="1"/>
    <col min="16" max="16" width="15.7109375" customWidth="1"/>
    <col min="17" max="17" width="23.140625" bestFit="1" customWidth="1"/>
    <col min="18" max="18" width="32.28515625" bestFit="1" customWidth="1"/>
    <col min="19" max="19" width="28.28515625" bestFit="1" customWidth="1"/>
    <col min="20" max="20" width="19" bestFit="1" customWidth="1"/>
    <col min="22" max="22" width="30.7109375" bestFit="1" customWidth="1"/>
    <col min="23" max="23" width="24.7109375" bestFit="1" customWidth="1"/>
    <col min="24" max="24" width="22.85546875" bestFit="1" customWidth="1"/>
    <col min="25" max="25" width="19.140625" bestFit="1" customWidth="1"/>
    <col min="26" max="26" width="16.85546875" bestFit="1" customWidth="1"/>
    <col min="27" max="27" width="23.28515625" bestFit="1" customWidth="1"/>
    <col min="28" max="28" width="29.42578125" bestFit="1" customWidth="1"/>
    <col min="29" max="29" width="25" bestFit="1" customWidth="1"/>
    <col min="30" max="30" width="19.28515625" bestFit="1" customWidth="1"/>
    <col min="31" max="31" width="13.140625" bestFit="1" customWidth="1"/>
    <col min="32" max="32" width="29.140625" bestFit="1" customWidth="1"/>
    <col min="33" max="33" width="17.42578125" bestFit="1" customWidth="1"/>
    <col min="34" max="34" width="14.28515625" bestFit="1" customWidth="1"/>
    <col min="35" max="35" width="14.7109375" bestFit="1" customWidth="1"/>
    <col min="36" max="36" width="14.85546875" bestFit="1" customWidth="1"/>
    <col min="37" max="37" width="14" bestFit="1" customWidth="1"/>
    <col min="38" max="38" width="21" bestFit="1" customWidth="1"/>
    <col min="39" max="39" width="22" bestFit="1" customWidth="1"/>
    <col min="40" max="40" width="23" bestFit="1" customWidth="1"/>
    <col min="41" max="41" width="14.7109375" bestFit="1" customWidth="1"/>
    <col min="42" max="42" width="25.85546875" bestFit="1" customWidth="1"/>
    <col min="43" max="43" width="23.140625" bestFit="1" customWidth="1"/>
    <col min="44" max="44" width="19.42578125" bestFit="1" customWidth="1"/>
    <col min="45" max="45" width="22.7109375" bestFit="1" customWidth="1"/>
    <col min="46" max="46" width="19.42578125" bestFit="1" customWidth="1"/>
    <col min="47" max="47" width="32.28515625" bestFit="1" customWidth="1"/>
    <col min="48" max="48" width="17.42578125" bestFit="1" customWidth="1"/>
    <col min="49" max="49" width="22.28515625" bestFit="1" customWidth="1"/>
    <col min="50" max="50" width="17.28515625" bestFit="1" customWidth="1"/>
    <col min="51" max="51" width="23.28515625" bestFit="1" customWidth="1"/>
    <col min="52" max="52" width="16.42578125" bestFit="1" customWidth="1"/>
    <col min="53" max="53" width="18.7109375" bestFit="1" customWidth="1"/>
    <col min="54" max="55" width="15" bestFit="1" customWidth="1"/>
    <col min="56" max="56" width="28.28515625" bestFit="1" customWidth="1"/>
    <col min="57" max="57" width="13.140625" bestFit="1" customWidth="1"/>
    <col min="58" max="58" width="19.42578125" bestFit="1" customWidth="1"/>
    <col min="59" max="59" width="15.28515625" bestFit="1" customWidth="1"/>
    <col min="60" max="60" width="15.7109375" bestFit="1" customWidth="1"/>
  </cols>
  <sheetData>
    <row r="1" spans="1:15">
      <c r="A1" s="78" t="s">
        <v>307</v>
      </c>
      <c r="B1" t="s">
        <v>308</v>
      </c>
    </row>
    <row r="2" spans="1:15">
      <c r="A2" s="78" t="s">
        <v>188</v>
      </c>
      <c r="B2" t="s">
        <v>308</v>
      </c>
    </row>
    <row r="4" spans="1:15">
      <c r="B4" s="78" t="s">
        <v>137</v>
      </c>
    </row>
    <row r="5" spans="1:15">
      <c r="B5" t="s">
        <v>95</v>
      </c>
      <c r="C5" t="s">
        <v>300</v>
      </c>
      <c r="D5" t="s">
        <v>89</v>
      </c>
      <c r="E5" t="s">
        <v>50</v>
      </c>
      <c r="F5" t="s">
        <v>58</v>
      </c>
      <c r="G5" t="s">
        <v>239</v>
      </c>
      <c r="H5" t="s">
        <v>213</v>
      </c>
      <c r="I5" t="s">
        <v>238</v>
      </c>
      <c r="J5" t="s">
        <v>208</v>
      </c>
      <c r="K5" t="s">
        <v>206</v>
      </c>
      <c r="L5" t="s">
        <v>212</v>
      </c>
      <c r="M5" t="s">
        <v>209</v>
      </c>
      <c r="N5" t="s">
        <v>210</v>
      </c>
      <c r="O5" t="s">
        <v>94</v>
      </c>
    </row>
    <row r="6" spans="1:15">
      <c r="A6" t="s">
        <v>309</v>
      </c>
      <c r="B6" s="77">
        <v>159</v>
      </c>
      <c r="C6" s="77">
        <v>152.5</v>
      </c>
      <c r="D6" s="77">
        <v>144.5</v>
      </c>
      <c r="E6" s="77">
        <v>95</v>
      </c>
      <c r="F6" s="77">
        <v>59.5</v>
      </c>
      <c r="G6" s="77">
        <v>49.5</v>
      </c>
      <c r="H6" s="77">
        <v>35.5</v>
      </c>
      <c r="I6" s="77">
        <v>34</v>
      </c>
      <c r="J6" s="77">
        <v>19.5</v>
      </c>
      <c r="K6" s="77">
        <v>19</v>
      </c>
      <c r="L6" s="77">
        <v>5</v>
      </c>
      <c r="M6" s="77">
        <v>4.5</v>
      </c>
      <c r="N6" s="77">
        <v>4.5</v>
      </c>
      <c r="O6" s="77">
        <v>782</v>
      </c>
    </row>
    <row r="9" spans="1:15">
      <c r="E9" s="14" t="s">
        <v>313</v>
      </c>
    </row>
    <row r="42" spans="1:14">
      <c r="A42" s="85"/>
      <c r="B42" s="85" t="s">
        <v>95</v>
      </c>
      <c r="C42" s="85" t="s">
        <v>89</v>
      </c>
      <c r="D42" s="85" t="s">
        <v>50</v>
      </c>
      <c r="E42" s="85" t="s">
        <v>58</v>
      </c>
      <c r="F42" s="85" t="s">
        <v>239</v>
      </c>
      <c r="G42" s="85" t="s">
        <v>213</v>
      </c>
      <c r="H42" s="85" t="s">
        <v>238</v>
      </c>
      <c r="I42" s="85" t="s">
        <v>208</v>
      </c>
      <c r="J42" s="85" t="s">
        <v>206</v>
      </c>
      <c r="K42" s="85" t="s">
        <v>212</v>
      </c>
      <c r="L42" s="85" t="s">
        <v>209</v>
      </c>
      <c r="M42" s="85" t="s">
        <v>210</v>
      </c>
    </row>
    <row r="43" spans="1:14">
      <c r="A43" s="86" t="s">
        <v>309</v>
      </c>
      <c r="B43" s="87">
        <v>159</v>
      </c>
      <c r="C43" s="87">
        <v>144.5</v>
      </c>
      <c r="D43" s="87">
        <v>95</v>
      </c>
      <c r="E43" s="87">
        <v>59.5</v>
      </c>
      <c r="F43" s="87">
        <v>49.5</v>
      </c>
      <c r="G43" s="87">
        <v>35.5</v>
      </c>
      <c r="H43" s="87">
        <v>34</v>
      </c>
      <c r="I43" s="87">
        <v>19.5</v>
      </c>
      <c r="J43" s="87">
        <v>19</v>
      </c>
      <c r="K43" s="87">
        <v>5</v>
      </c>
      <c r="L43" s="87">
        <v>4.5</v>
      </c>
      <c r="M43" s="87">
        <v>4.5</v>
      </c>
      <c r="N43" s="88">
        <v>629.5</v>
      </c>
    </row>
    <row r="44" spans="1:14">
      <c r="A44" s="90" t="s">
        <v>312</v>
      </c>
      <c r="B44" s="89">
        <f>$C$6/12</f>
        <v>12.708333333333334</v>
      </c>
      <c r="C44" s="89">
        <f t="shared" ref="C44:M44" si="0">$C$6/12</f>
        <v>12.708333333333334</v>
      </c>
      <c r="D44" s="89">
        <f t="shared" si="0"/>
        <v>12.708333333333334</v>
      </c>
      <c r="E44" s="89">
        <f t="shared" si="0"/>
        <v>12.708333333333334</v>
      </c>
      <c r="F44" s="89">
        <f t="shared" si="0"/>
        <v>12.708333333333334</v>
      </c>
      <c r="G44" s="89">
        <f t="shared" si="0"/>
        <v>12.708333333333334</v>
      </c>
      <c r="H44" s="89">
        <f t="shared" si="0"/>
        <v>12.708333333333334</v>
      </c>
      <c r="I44" s="89">
        <f t="shared" si="0"/>
        <v>12.708333333333334</v>
      </c>
      <c r="J44" s="89">
        <f t="shared" si="0"/>
        <v>12.708333333333334</v>
      </c>
      <c r="K44" s="89">
        <f t="shared" si="0"/>
        <v>12.708333333333334</v>
      </c>
      <c r="L44" s="89">
        <f t="shared" si="0"/>
        <v>12.708333333333334</v>
      </c>
      <c r="M44" s="89">
        <f t="shared" si="0"/>
        <v>12.708333333333334</v>
      </c>
      <c r="N44" s="88">
        <f>SUM(B44:M44)</f>
        <v>152.5</v>
      </c>
    </row>
    <row r="45" spans="1:14">
      <c r="A45" s="86" t="s">
        <v>311</v>
      </c>
      <c r="B45" s="89">
        <f>SUM($N$43:$N$44)/12</f>
        <v>65.166666666666671</v>
      </c>
      <c r="C45" s="89">
        <f t="shared" ref="C45:M45" si="1">SUM($N$43:$N$44)/12</f>
        <v>65.166666666666671</v>
      </c>
      <c r="D45" s="89">
        <f t="shared" si="1"/>
        <v>65.166666666666671</v>
      </c>
      <c r="E45" s="89">
        <f t="shared" si="1"/>
        <v>65.166666666666671</v>
      </c>
      <c r="F45" s="89">
        <f t="shared" si="1"/>
        <v>65.166666666666671</v>
      </c>
      <c r="G45" s="89">
        <f t="shared" si="1"/>
        <v>65.166666666666671</v>
      </c>
      <c r="H45" s="89">
        <f t="shared" si="1"/>
        <v>65.166666666666671</v>
      </c>
      <c r="I45" s="89">
        <f t="shared" si="1"/>
        <v>65.166666666666671</v>
      </c>
      <c r="J45" s="89">
        <f t="shared" si="1"/>
        <v>65.166666666666671</v>
      </c>
      <c r="K45" s="89">
        <f t="shared" si="1"/>
        <v>65.166666666666671</v>
      </c>
      <c r="L45" s="89">
        <f t="shared" si="1"/>
        <v>65.166666666666671</v>
      </c>
      <c r="M45" s="89">
        <f t="shared" si="1"/>
        <v>65.166666666666671</v>
      </c>
    </row>
    <row r="71" spans="3:3">
      <c r="C71" t="s">
        <v>310</v>
      </c>
    </row>
  </sheetData>
  <pageMargins left="0.7" right="0.7" top="0.78740157499999996" bottom="0.78740157499999996" header="0.3" footer="0.3"/>
  <pageSetup paperSize="9" orientation="portrait" horizontalDpi="4294967293" verticalDpi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7"/>
  <sheetViews>
    <sheetView workbookViewId="0">
      <selection activeCell="B34" sqref="B34"/>
    </sheetView>
  </sheetViews>
  <sheetFormatPr baseColWidth="10" defaultRowHeight="12.75"/>
  <cols>
    <col min="1" max="1" width="16.140625" bestFit="1" customWidth="1"/>
    <col min="2" max="2" width="28.85546875" bestFit="1" customWidth="1"/>
    <col min="3" max="3" width="21.42578125" bestFit="1" customWidth="1"/>
    <col min="4" max="4" width="15.7109375" customWidth="1"/>
    <col min="5" max="5" width="22.7109375" bestFit="1" customWidth="1"/>
    <col min="6" max="6" width="13.140625" bestFit="1" customWidth="1"/>
    <col min="7" max="7" width="16.85546875" bestFit="1" customWidth="1"/>
    <col min="8" max="8" width="6" customWidth="1"/>
    <col min="9" max="9" width="28.85546875" bestFit="1" customWidth="1"/>
    <col min="10" max="10" width="20.28515625" bestFit="1" customWidth="1"/>
    <col min="11" max="11" width="21.42578125" bestFit="1" customWidth="1"/>
    <col min="12" max="12" width="18.7109375" bestFit="1" customWidth="1"/>
    <col min="13" max="13" width="12.140625" bestFit="1" customWidth="1"/>
    <col min="14" max="14" width="14.7109375" bestFit="1" customWidth="1"/>
    <col min="15" max="15" width="13.7109375" bestFit="1" customWidth="1"/>
    <col min="16" max="16" width="16.7109375" bestFit="1" customWidth="1"/>
    <col min="17" max="17" width="23.140625" bestFit="1" customWidth="1"/>
    <col min="18" max="18" width="32.28515625" bestFit="1" customWidth="1"/>
    <col min="19" max="19" width="28.28515625" bestFit="1" customWidth="1"/>
    <col min="20" max="20" width="19" bestFit="1" customWidth="1"/>
    <col min="22" max="22" width="30.7109375" bestFit="1" customWidth="1"/>
    <col min="23" max="23" width="24.7109375" bestFit="1" customWidth="1"/>
    <col min="24" max="24" width="22.85546875" bestFit="1" customWidth="1"/>
    <col min="25" max="25" width="19.140625" bestFit="1" customWidth="1"/>
    <col min="26" max="26" width="16.85546875" bestFit="1" customWidth="1"/>
    <col min="27" max="27" width="23.28515625" bestFit="1" customWidth="1"/>
    <col min="28" max="28" width="29.42578125" bestFit="1" customWidth="1"/>
    <col min="29" max="29" width="25" bestFit="1" customWidth="1"/>
    <col min="30" max="30" width="19.28515625" bestFit="1" customWidth="1"/>
    <col min="31" max="31" width="13.140625" bestFit="1" customWidth="1"/>
    <col min="32" max="32" width="29.140625" bestFit="1" customWidth="1"/>
    <col min="33" max="33" width="17.42578125" bestFit="1" customWidth="1"/>
    <col min="34" max="34" width="14.28515625" bestFit="1" customWidth="1"/>
    <col min="35" max="35" width="14.7109375" bestFit="1" customWidth="1"/>
    <col min="36" max="36" width="14.85546875" bestFit="1" customWidth="1"/>
    <col min="37" max="37" width="14" bestFit="1" customWidth="1"/>
    <col min="38" max="38" width="21" bestFit="1" customWidth="1"/>
    <col min="39" max="39" width="22" bestFit="1" customWidth="1"/>
    <col min="40" max="40" width="23" bestFit="1" customWidth="1"/>
    <col min="41" max="41" width="14.7109375" bestFit="1" customWidth="1"/>
    <col min="42" max="42" width="25.85546875" bestFit="1" customWidth="1"/>
    <col min="43" max="43" width="23.140625" bestFit="1" customWidth="1"/>
    <col min="44" max="44" width="19.42578125" bestFit="1" customWidth="1"/>
    <col min="45" max="45" width="22.7109375" bestFit="1" customWidth="1"/>
    <col min="46" max="46" width="19.42578125" bestFit="1" customWidth="1"/>
    <col min="47" max="47" width="32.28515625" bestFit="1" customWidth="1"/>
    <col min="48" max="48" width="17.42578125" bestFit="1" customWidth="1"/>
    <col min="49" max="49" width="22.28515625" bestFit="1" customWidth="1"/>
    <col min="50" max="50" width="17.28515625" bestFit="1" customWidth="1"/>
    <col min="51" max="51" width="23.28515625" bestFit="1" customWidth="1"/>
    <col min="52" max="52" width="16.42578125" bestFit="1" customWidth="1"/>
    <col min="53" max="53" width="18.7109375" bestFit="1" customWidth="1"/>
    <col min="54" max="55" width="15" bestFit="1" customWidth="1"/>
    <col min="56" max="56" width="28.28515625" bestFit="1" customWidth="1"/>
    <col min="57" max="57" width="13.140625" bestFit="1" customWidth="1"/>
    <col min="58" max="58" width="19.42578125" bestFit="1" customWidth="1"/>
    <col min="59" max="59" width="15.28515625" bestFit="1" customWidth="1"/>
    <col min="60" max="60" width="15.7109375" bestFit="1" customWidth="1"/>
  </cols>
  <sheetData>
    <row r="1" spans="1:4">
      <c r="A1" s="78" t="s">
        <v>307</v>
      </c>
      <c r="B1" t="s">
        <v>308</v>
      </c>
    </row>
    <row r="2" spans="1:4">
      <c r="A2" s="78" t="s">
        <v>188</v>
      </c>
      <c r="B2" t="s">
        <v>308</v>
      </c>
    </row>
    <row r="4" spans="1:4">
      <c r="B4" s="78" t="s">
        <v>137</v>
      </c>
    </row>
    <row r="5" spans="1:4">
      <c r="B5" t="s">
        <v>301</v>
      </c>
      <c r="C5" t="s">
        <v>304</v>
      </c>
      <c r="D5" t="s">
        <v>94</v>
      </c>
    </row>
    <row r="6" spans="1:4">
      <c r="A6" t="s">
        <v>309</v>
      </c>
      <c r="B6" s="77">
        <v>63.5</v>
      </c>
      <c r="C6" s="77">
        <v>58</v>
      </c>
      <c r="D6" s="77">
        <v>121.5</v>
      </c>
    </row>
    <row r="9" spans="1:4">
      <c r="D9" s="14" t="s">
        <v>314</v>
      </c>
    </row>
    <row r="37" spans="3:3">
      <c r="C37" s="14" t="s">
        <v>315</v>
      </c>
    </row>
  </sheetData>
  <pageMargins left="0.7" right="0.7" top="0.78740157499999996" bottom="0.78740157499999996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"/>
  <sheetViews>
    <sheetView workbookViewId="0">
      <selection activeCell="A3" sqref="A3"/>
    </sheetView>
  </sheetViews>
  <sheetFormatPr baseColWidth="10" defaultRowHeight="12.75"/>
  <cols>
    <col min="1" max="1" width="16.140625" bestFit="1" customWidth="1"/>
    <col min="2" max="2" width="24" bestFit="1" customWidth="1"/>
    <col min="3" max="3" width="23.140625" bestFit="1" customWidth="1"/>
    <col min="4" max="4" width="32.28515625" customWidth="1"/>
    <col min="5" max="5" width="28.28515625" customWidth="1"/>
    <col min="6" max="6" width="15.7109375" customWidth="1"/>
    <col min="7" max="7" width="21.42578125" bestFit="1" customWidth="1"/>
    <col min="8" max="8" width="18.7109375" customWidth="1"/>
    <col min="9" max="9" width="12.140625" customWidth="1"/>
    <col min="10" max="10" width="14.7109375" customWidth="1"/>
    <col min="11" max="11" width="13.7109375" customWidth="1"/>
    <col min="12" max="12" width="16.7109375" customWidth="1"/>
    <col min="13" max="13" width="23.140625" bestFit="1" customWidth="1"/>
    <col min="14" max="14" width="32.28515625" bestFit="1" customWidth="1"/>
    <col min="15" max="15" width="28.28515625" bestFit="1" customWidth="1"/>
    <col min="16" max="16" width="19" bestFit="1" customWidth="1"/>
    <col min="17" max="17" width="30.7109375" bestFit="1" customWidth="1"/>
    <col min="18" max="18" width="22.85546875" customWidth="1"/>
    <col min="19" max="19" width="19.140625" customWidth="1"/>
    <col min="20" max="20" width="16.85546875" customWidth="1"/>
    <col min="21" max="21" width="23.28515625" bestFit="1" customWidth="1"/>
    <col min="22" max="22" width="25" customWidth="1"/>
    <col min="23" max="23" width="19.28515625" customWidth="1"/>
    <col min="24" max="24" width="14.7109375" customWidth="1"/>
    <col min="25" max="25" width="14.85546875" customWidth="1"/>
    <col min="26" max="26" width="14" customWidth="1"/>
    <col min="27" max="27" width="14.7109375" customWidth="1"/>
    <col min="28" max="28" width="25.85546875" customWidth="1"/>
    <col min="29" max="29" width="23.140625" customWidth="1"/>
    <col min="30" max="30" width="19.42578125" bestFit="1" customWidth="1"/>
    <col min="31" max="31" width="22.7109375" bestFit="1" customWidth="1"/>
    <col min="32" max="32" width="19.42578125" customWidth="1"/>
    <col min="33" max="33" width="32.28515625" bestFit="1" customWidth="1"/>
    <col min="34" max="34" width="17.42578125" bestFit="1" customWidth="1"/>
    <col min="35" max="35" width="23.28515625" bestFit="1" customWidth="1"/>
    <col min="36" max="36" width="16.42578125" bestFit="1" customWidth="1"/>
    <col min="37" max="37" width="18.7109375" bestFit="1" customWidth="1"/>
    <col min="38" max="39" width="15" customWidth="1"/>
    <col min="40" max="40" width="13.140625" customWidth="1"/>
    <col min="41" max="41" width="19.42578125" bestFit="1" customWidth="1"/>
    <col min="42" max="42" width="15.28515625" customWidth="1"/>
    <col min="43" max="43" width="15.7109375" customWidth="1"/>
    <col min="44" max="44" width="19.42578125" bestFit="1" customWidth="1"/>
    <col min="45" max="45" width="22.7109375" bestFit="1" customWidth="1"/>
    <col min="46" max="46" width="19.42578125" bestFit="1" customWidth="1"/>
    <col min="47" max="47" width="32.28515625" bestFit="1" customWidth="1"/>
    <col min="48" max="48" width="17.42578125" bestFit="1" customWidth="1"/>
    <col min="49" max="49" width="22.28515625" bestFit="1" customWidth="1"/>
    <col min="50" max="50" width="17.28515625" bestFit="1" customWidth="1"/>
    <col min="51" max="51" width="23.28515625" bestFit="1" customWidth="1"/>
    <col min="52" max="52" width="16.42578125" bestFit="1" customWidth="1"/>
    <col min="53" max="53" width="18.7109375" bestFit="1" customWidth="1"/>
    <col min="54" max="55" width="15" bestFit="1" customWidth="1"/>
    <col min="56" max="56" width="28.28515625" bestFit="1" customWidth="1"/>
    <col min="57" max="57" width="13.140625" bestFit="1" customWidth="1"/>
    <col min="58" max="58" width="19.42578125" bestFit="1" customWidth="1"/>
    <col min="59" max="59" width="15.28515625" bestFit="1" customWidth="1"/>
    <col min="60" max="60" width="15.7109375" bestFit="1" customWidth="1"/>
  </cols>
  <sheetData>
    <row r="1" spans="1:6">
      <c r="A1" s="78" t="s">
        <v>307</v>
      </c>
      <c r="B1" t="s">
        <v>317</v>
      </c>
    </row>
    <row r="2" spans="1:6">
      <c r="A2" s="78" t="s">
        <v>188</v>
      </c>
      <c r="B2" t="s">
        <v>308</v>
      </c>
    </row>
    <row r="4" spans="1:6">
      <c r="B4" s="78" t="s">
        <v>137</v>
      </c>
    </row>
    <row r="5" spans="1:6">
      <c r="B5" t="s">
        <v>255</v>
      </c>
      <c r="C5" t="s">
        <v>297</v>
      </c>
      <c r="D5" t="s">
        <v>261</v>
      </c>
      <c r="E5" t="s">
        <v>295</v>
      </c>
      <c r="F5" t="s">
        <v>94</v>
      </c>
    </row>
    <row r="6" spans="1:6">
      <c r="A6" t="s">
        <v>309</v>
      </c>
      <c r="B6" s="77">
        <v>47</v>
      </c>
      <c r="C6" s="77">
        <v>3</v>
      </c>
      <c r="D6" s="77">
        <v>12</v>
      </c>
      <c r="E6" s="77">
        <v>3</v>
      </c>
      <c r="F6" s="77">
        <v>65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22"/>
  <sheetViews>
    <sheetView workbookViewId="0">
      <selection activeCell="A23" sqref="A23"/>
    </sheetView>
  </sheetViews>
  <sheetFormatPr baseColWidth="10" defaultRowHeight="12.75"/>
  <cols>
    <col min="1" max="1" width="24.42578125" bestFit="1" customWidth="1"/>
  </cols>
  <sheetData>
    <row r="3" spans="1:1">
      <c r="A3" t="s">
        <v>229</v>
      </c>
    </row>
    <row r="4" spans="1:1">
      <c r="A4" t="s">
        <v>135</v>
      </c>
    </row>
    <row r="5" spans="1:1">
      <c r="A5" t="s">
        <v>233</v>
      </c>
    </row>
    <row r="6" spans="1:1">
      <c r="A6" t="s">
        <v>230</v>
      </c>
    </row>
    <row r="7" spans="1:1">
      <c r="A7" t="s">
        <v>231</v>
      </c>
    </row>
    <row r="8" spans="1:1">
      <c r="A8" t="s">
        <v>232</v>
      </c>
    </row>
    <row r="9" spans="1:1">
      <c r="A9" s="10" t="s">
        <v>235</v>
      </c>
    </row>
    <row r="10" spans="1:1">
      <c r="A10" s="14" t="s">
        <v>127</v>
      </c>
    </row>
    <row r="11" spans="1:1">
      <c r="A11" s="14" t="s">
        <v>258</v>
      </c>
    </row>
    <row r="12" spans="1:1">
      <c r="A12" s="14" t="s">
        <v>259</v>
      </c>
    </row>
    <row r="13" spans="1:1">
      <c r="A13" s="14" t="s">
        <v>279</v>
      </c>
    </row>
    <row r="14" spans="1:1">
      <c r="A14" s="14" t="s">
        <v>318</v>
      </c>
    </row>
    <row r="15" spans="1:1">
      <c r="A15" t="s">
        <v>324</v>
      </c>
    </row>
    <row r="16" spans="1:1">
      <c r="A16" s="14" t="s">
        <v>325</v>
      </c>
    </row>
    <row r="17" spans="1:1">
      <c r="A17" s="10" t="s">
        <v>333</v>
      </c>
    </row>
    <row r="18" spans="1:1">
      <c r="A18" s="10" t="s">
        <v>334</v>
      </c>
    </row>
    <row r="19" spans="1:1">
      <c r="A19" s="14" t="s">
        <v>351</v>
      </c>
    </row>
    <row r="20" spans="1:1">
      <c r="A20" s="14" t="s">
        <v>136</v>
      </c>
    </row>
    <row r="21" spans="1:1">
      <c r="A21" t="s">
        <v>361</v>
      </c>
    </row>
    <row r="22" spans="1:1">
      <c r="A22" t="s">
        <v>362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/>
  <sheetData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topLeftCell="C1" workbookViewId="0">
      <selection activeCell="E3" sqref="E3"/>
    </sheetView>
  </sheetViews>
  <sheetFormatPr baseColWidth="10" defaultRowHeight="12.75"/>
  <cols>
    <col min="1" max="1" width="18.28515625" bestFit="1" customWidth="1"/>
    <col min="2" max="2" width="27.42578125" bestFit="1" customWidth="1"/>
    <col min="3" max="3" width="49.7109375" customWidth="1"/>
    <col min="4" max="4" width="16.42578125" bestFit="1" customWidth="1"/>
    <col min="5" max="5" width="22.140625" customWidth="1"/>
    <col min="6" max="6" width="8.7109375" customWidth="1"/>
    <col min="7" max="7" width="76.140625" bestFit="1" customWidth="1"/>
    <col min="8" max="8" width="10.140625" bestFit="1" customWidth="1"/>
  </cols>
  <sheetData>
    <row r="1" spans="1:8" ht="13.5" thickBot="1">
      <c r="A1" s="42" t="s">
        <v>24</v>
      </c>
      <c r="B1" s="40" t="s">
        <v>12</v>
      </c>
      <c r="C1" s="40" t="s">
        <v>161</v>
      </c>
      <c r="D1" s="40" t="s">
        <v>11</v>
      </c>
      <c r="E1" s="40" t="s">
        <v>156</v>
      </c>
      <c r="F1" s="40" t="s">
        <v>92</v>
      </c>
      <c r="G1" s="40" t="s">
        <v>23</v>
      </c>
      <c r="H1" s="41" t="s">
        <v>160</v>
      </c>
    </row>
    <row r="2" spans="1:8" ht="13.5" thickTop="1">
      <c r="A2" s="72"/>
      <c r="B2" s="73"/>
      <c r="C2" s="73" t="s">
        <v>341</v>
      </c>
      <c r="D2" s="73" t="s">
        <v>10</v>
      </c>
      <c r="E2" s="73" t="s">
        <v>505</v>
      </c>
      <c r="F2" s="74">
        <v>0</v>
      </c>
      <c r="G2" s="73" t="s">
        <v>496</v>
      </c>
      <c r="H2" s="75"/>
    </row>
    <row r="3" spans="1:8">
      <c r="A3" s="72"/>
      <c r="B3" s="73"/>
      <c r="C3" s="73" t="s">
        <v>356</v>
      </c>
      <c r="D3" s="73" t="s">
        <v>126</v>
      </c>
      <c r="E3" s="73" t="s">
        <v>102</v>
      </c>
      <c r="F3" s="74">
        <v>0</v>
      </c>
      <c r="G3" s="73" t="s">
        <v>497</v>
      </c>
      <c r="H3" s="75"/>
    </row>
    <row r="4" spans="1:8">
      <c r="A4" s="68"/>
      <c r="B4" s="69"/>
      <c r="C4" s="69" t="s">
        <v>498</v>
      </c>
      <c r="D4" s="69" t="s">
        <v>278</v>
      </c>
      <c r="E4" s="69" t="s">
        <v>499</v>
      </c>
      <c r="F4" s="70">
        <v>0</v>
      </c>
      <c r="G4" s="69" t="s">
        <v>500</v>
      </c>
      <c r="H4" s="71"/>
    </row>
    <row r="5" spans="1:8">
      <c r="A5" s="68"/>
      <c r="B5" s="69"/>
      <c r="C5" s="69" t="s">
        <v>501</v>
      </c>
      <c r="D5" s="69" t="s">
        <v>502</v>
      </c>
      <c r="E5" s="69" t="s">
        <v>504</v>
      </c>
      <c r="F5" s="70">
        <v>0</v>
      </c>
      <c r="G5" s="69" t="s">
        <v>503</v>
      </c>
      <c r="H5" s="71"/>
    </row>
    <row r="6" spans="1:8">
      <c r="A6" s="68"/>
      <c r="B6" s="69"/>
      <c r="C6" s="69"/>
      <c r="D6" s="69"/>
      <c r="E6" s="69"/>
      <c r="F6" s="70"/>
      <c r="G6" s="69"/>
      <c r="H6" s="71"/>
    </row>
    <row r="7" spans="1:8">
      <c r="A7" s="68"/>
      <c r="B7" s="69"/>
      <c r="C7" s="69"/>
      <c r="D7" s="69"/>
      <c r="E7" s="69"/>
      <c r="F7" s="70"/>
      <c r="G7" s="69"/>
      <c r="H7" s="71"/>
    </row>
    <row r="8" spans="1:8">
      <c r="A8" s="68"/>
      <c r="B8" s="69"/>
      <c r="C8" s="69"/>
      <c r="D8" s="69"/>
      <c r="E8" s="69"/>
      <c r="F8" s="70"/>
      <c r="G8" s="69"/>
      <c r="H8" s="71"/>
    </row>
    <row r="9" spans="1:8">
      <c r="A9" s="68"/>
      <c r="B9" s="69"/>
      <c r="C9" s="69"/>
      <c r="D9" s="69"/>
      <c r="E9" s="69"/>
      <c r="F9" s="70"/>
      <c r="G9" s="69"/>
      <c r="H9" s="71"/>
    </row>
    <row r="10" spans="1:8">
      <c r="A10" s="68"/>
      <c r="B10" s="69"/>
      <c r="C10" s="69"/>
      <c r="D10" s="69"/>
      <c r="E10" s="69"/>
      <c r="F10" s="70"/>
      <c r="G10" s="69"/>
      <c r="H10" s="71"/>
    </row>
    <row r="11" spans="1:8">
      <c r="A11" s="72"/>
      <c r="B11" s="73"/>
      <c r="C11" s="73"/>
      <c r="D11" s="73"/>
      <c r="E11" s="73"/>
      <c r="F11" s="74"/>
      <c r="G11" s="73"/>
      <c r="H11" s="75"/>
    </row>
  </sheetData>
  <pageMargins left="0.7" right="0.7" top="0.78740157499999996" bottom="0.78740157499999996" header="0.3" footer="0.3"/>
  <pageSetup paperSize="9" orientation="portrait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topLeftCell="C1" workbookViewId="0">
      <selection activeCell="C4" sqref="C4"/>
    </sheetView>
  </sheetViews>
  <sheetFormatPr baseColWidth="10" defaultRowHeight="12.75"/>
  <cols>
    <col min="1" max="1" width="18.28515625" bestFit="1" customWidth="1"/>
    <col min="2" max="2" width="27.42578125" bestFit="1" customWidth="1"/>
    <col min="3" max="3" width="49.7109375" customWidth="1"/>
    <col min="4" max="4" width="16.42578125" bestFit="1" customWidth="1"/>
    <col min="5" max="5" width="22.140625" customWidth="1"/>
    <col min="6" max="6" width="8.7109375" customWidth="1"/>
    <col min="7" max="7" width="76.140625" bestFit="1" customWidth="1"/>
    <col min="8" max="8" width="10.140625" bestFit="1" customWidth="1"/>
  </cols>
  <sheetData>
    <row r="1" spans="1:8" ht="13.5" thickBot="1">
      <c r="A1" s="42" t="s">
        <v>24</v>
      </c>
      <c r="B1" s="40" t="s">
        <v>12</v>
      </c>
      <c r="C1" s="40" t="s">
        <v>161</v>
      </c>
      <c r="D1" s="40" t="s">
        <v>11</v>
      </c>
      <c r="E1" s="40" t="s">
        <v>156</v>
      </c>
      <c r="F1" s="40" t="s">
        <v>92</v>
      </c>
      <c r="G1" s="40" t="s">
        <v>23</v>
      </c>
      <c r="H1" s="41" t="s">
        <v>160</v>
      </c>
    </row>
    <row r="2" spans="1:8" ht="13.5" thickTop="1">
      <c r="A2" s="68"/>
      <c r="B2" s="69"/>
      <c r="C2" s="69" t="s">
        <v>342</v>
      </c>
      <c r="D2" s="69" t="s">
        <v>337</v>
      </c>
      <c r="E2" s="69">
        <v>82</v>
      </c>
      <c r="F2" s="70">
        <v>0.6</v>
      </c>
      <c r="G2" s="69" t="s">
        <v>343</v>
      </c>
      <c r="H2" s="94"/>
    </row>
    <row r="3" spans="1:8">
      <c r="A3" s="72"/>
      <c r="B3" s="73"/>
      <c r="C3" s="73" t="s">
        <v>341</v>
      </c>
      <c r="D3" s="73" t="s">
        <v>10</v>
      </c>
      <c r="E3" s="73">
        <v>60</v>
      </c>
      <c r="F3" s="74">
        <v>0</v>
      </c>
      <c r="G3" s="73" t="s">
        <v>354</v>
      </c>
      <c r="H3" s="75"/>
    </row>
    <row r="4" spans="1:8">
      <c r="A4" s="72"/>
      <c r="B4" s="73"/>
      <c r="C4" s="73" t="s">
        <v>356</v>
      </c>
      <c r="D4" s="73" t="s">
        <v>126</v>
      </c>
      <c r="E4" s="73">
        <v>40</v>
      </c>
      <c r="F4" s="74">
        <v>0</v>
      </c>
      <c r="G4" s="73" t="s">
        <v>364</v>
      </c>
      <c r="H4" s="75"/>
    </row>
  </sheetData>
  <pageMargins left="0.7" right="0.7" top="0.78740157499999996" bottom="0.78740157499999996" header="0.3" footer="0.3"/>
  <pageSetup paperSize="9" orientation="portrait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topLeftCell="C1" workbookViewId="0">
      <selection activeCell="E8" sqref="E8"/>
    </sheetView>
  </sheetViews>
  <sheetFormatPr baseColWidth="10" defaultRowHeight="12.75"/>
  <cols>
    <col min="1" max="1" width="18.28515625" bestFit="1" customWidth="1"/>
    <col min="2" max="2" width="27.42578125" bestFit="1" customWidth="1"/>
    <col min="3" max="3" width="49.7109375" customWidth="1"/>
    <col min="4" max="4" width="16.42578125" bestFit="1" customWidth="1"/>
    <col min="5" max="5" width="22.140625" customWidth="1"/>
    <col min="6" max="6" width="8.7109375" customWidth="1"/>
    <col min="7" max="7" width="51.28515625" bestFit="1" customWidth="1"/>
    <col min="8" max="8" width="10.140625" bestFit="1" customWidth="1"/>
  </cols>
  <sheetData>
    <row r="1" spans="1:8" ht="13.5" thickBot="1">
      <c r="A1" s="42" t="s">
        <v>24</v>
      </c>
      <c r="B1" s="40" t="s">
        <v>12</v>
      </c>
      <c r="C1" s="40" t="s">
        <v>161</v>
      </c>
      <c r="D1" s="40" t="s">
        <v>11</v>
      </c>
      <c r="E1" s="40" t="s">
        <v>156</v>
      </c>
      <c r="F1" s="40" t="s">
        <v>92</v>
      </c>
      <c r="G1" s="40" t="s">
        <v>23</v>
      </c>
      <c r="H1" s="41" t="s">
        <v>160</v>
      </c>
    </row>
    <row r="2" spans="1:8" ht="13.5" thickTop="1">
      <c r="A2" s="68"/>
      <c r="B2" s="69"/>
      <c r="C2" s="69" t="s">
        <v>342</v>
      </c>
      <c r="D2" s="69" t="s">
        <v>337</v>
      </c>
      <c r="E2" s="69">
        <v>70</v>
      </c>
      <c r="F2" s="70">
        <v>0</v>
      </c>
      <c r="G2" s="69" t="s">
        <v>343</v>
      </c>
      <c r="H2" s="94"/>
    </row>
    <row r="3" spans="1:8">
      <c r="A3" s="72"/>
      <c r="B3" s="73"/>
      <c r="C3" s="73" t="s">
        <v>341</v>
      </c>
      <c r="D3" s="73" t="s">
        <v>10</v>
      </c>
      <c r="E3" s="73">
        <v>20</v>
      </c>
      <c r="F3" s="74">
        <v>0</v>
      </c>
      <c r="G3" s="73" t="s">
        <v>354</v>
      </c>
      <c r="H3" s="75"/>
    </row>
    <row r="4" spans="1:8">
      <c r="A4" s="72"/>
      <c r="B4" s="73"/>
      <c r="C4" s="73" t="s">
        <v>346</v>
      </c>
      <c r="D4" s="73" t="s">
        <v>126</v>
      </c>
      <c r="E4" s="73">
        <v>24</v>
      </c>
      <c r="F4" s="74">
        <v>0</v>
      </c>
      <c r="G4" s="73" t="s">
        <v>355</v>
      </c>
      <c r="H4" s="75"/>
    </row>
  </sheetData>
  <pageMargins left="0.7" right="0.7" top="0.78740157499999996" bottom="0.78740157499999996" header="0.3" footer="0.3"/>
  <pageSetup paperSize="9" orientation="portrait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"/>
  <sheetViews>
    <sheetView topLeftCell="C1" workbookViewId="0">
      <selection activeCell="F4" sqref="F4"/>
    </sheetView>
  </sheetViews>
  <sheetFormatPr baseColWidth="10" defaultRowHeight="12.75"/>
  <cols>
    <col min="1" max="1" width="18.28515625" bestFit="1" customWidth="1"/>
    <col min="2" max="2" width="27.42578125" bestFit="1" customWidth="1"/>
    <col min="3" max="3" width="49.7109375" customWidth="1"/>
    <col min="4" max="4" width="16.42578125" bestFit="1" customWidth="1"/>
    <col min="5" max="5" width="22.140625" customWidth="1"/>
    <col min="6" max="6" width="8.7109375" customWidth="1"/>
    <col min="7" max="7" width="51.28515625" bestFit="1" customWidth="1"/>
    <col min="8" max="8" width="10.140625" bestFit="1" customWidth="1"/>
  </cols>
  <sheetData>
    <row r="1" spans="1:8" ht="13.5" thickBot="1">
      <c r="A1" s="42" t="s">
        <v>24</v>
      </c>
      <c r="B1" s="40" t="s">
        <v>12</v>
      </c>
      <c r="C1" s="40" t="s">
        <v>161</v>
      </c>
      <c r="D1" s="40" t="s">
        <v>11</v>
      </c>
      <c r="E1" s="40" t="s">
        <v>156</v>
      </c>
      <c r="F1" s="40" t="s">
        <v>92</v>
      </c>
      <c r="G1" s="40" t="s">
        <v>23</v>
      </c>
      <c r="H1" s="41" t="s">
        <v>160</v>
      </c>
    </row>
    <row r="2" spans="1:8" ht="13.5" thickTop="1">
      <c r="A2" s="61" t="s">
        <v>244</v>
      </c>
      <c r="B2" s="62" t="s">
        <v>245</v>
      </c>
      <c r="C2" s="62" t="s">
        <v>345</v>
      </c>
      <c r="D2" s="62" t="s">
        <v>287</v>
      </c>
      <c r="E2" s="62">
        <v>20</v>
      </c>
      <c r="F2" s="63">
        <v>0</v>
      </c>
      <c r="G2" s="62" t="s">
        <v>128</v>
      </c>
      <c r="H2" s="65">
        <v>42308</v>
      </c>
    </row>
    <row r="3" spans="1:8">
      <c r="A3" s="68"/>
      <c r="B3" s="69"/>
      <c r="C3" s="69" t="s">
        <v>342</v>
      </c>
      <c r="D3" s="69" t="s">
        <v>337</v>
      </c>
      <c r="E3" s="69">
        <v>30</v>
      </c>
      <c r="F3" s="70"/>
      <c r="G3" s="69" t="s">
        <v>344</v>
      </c>
      <c r="H3" s="94"/>
    </row>
    <row r="4" spans="1:8">
      <c r="A4" s="68"/>
      <c r="B4" s="69"/>
      <c r="C4" s="69" t="s">
        <v>342</v>
      </c>
      <c r="D4" s="69" t="s">
        <v>337</v>
      </c>
      <c r="E4" s="69">
        <v>100</v>
      </c>
      <c r="F4" s="70"/>
      <c r="G4" s="69" t="s">
        <v>343</v>
      </c>
      <c r="H4" s="94"/>
    </row>
    <row r="5" spans="1:8">
      <c r="A5" s="72"/>
      <c r="B5" s="73"/>
      <c r="C5" s="73" t="s">
        <v>341</v>
      </c>
      <c r="D5" s="73" t="s">
        <v>10</v>
      </c>
      <c r="E5" s="73">
        <v>60</v>
      </c>
      <c r="F5" s="74">
        <v>0.2</v>
      </c>
      <c r="G5" s="73"/>
      <c r="H5" s="75"/>
    </row>
  </sheetData>
  <pageMargins left="0.7" right="0.7" top="0.78740157499999996" bottom="0.78740157499999996" header="0.3" footer="0.3"/>
  <pageSetup paperSize="9" orientation="portrait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topLeftCell="C1" workbookViewId="0">
      <selection activeCell="G5" sqref="G5"/>
    </sheetView>
  </sheetViews>
  <sheetFormatPr baseColWidth="10" defaultRowHeight="12.75"/>
  <cols>
    <col min="1" max="1" width="18.28515625" bestFit="1" customWidth="1"/>
    <col min="2" max="2" width="27.42578125" bestFit="1" customWidth="1"/>
    <col min="3" max="3" width="49.7109375" customWidth="1"/>
    <col min="4" max="4" width="16.42578125" bestFit="1" customWidth="1"/>
    <col min="5" max="5" width="22.140625" customWidth="1"/>
    <col min="6" max="6" width="8.7109375" customWidth="1"/>
    <col min="7" max="7" width="51.28515625" bestFit="1" customWidth="1"/>
    <col min="8" max="8" width="10.140625" bestFit="1" customWidth="1"/>
  </cols>
  <sheetData>
    <row r="1" spans="1:8" ht="13.5" thickBot="1">
      <c r="A1" s="42" t="s">
        <v>24</v>
      </c>
      <c r="B1" s="40" t="s">
        <v>12</v>
      </c>
      <c r="C1" s="40" t="s">
        <v>161</v>
      </c>
      <c r="D1" s="40" t="s">
        <v>11</v>
      </c>
      <c r="E1" s="40" t="s">
        <v>156</v>
      </c>
      <c r="F1" s="40" t="s">
        <v>92</v>
      </c>
      <c r="G1" s="40" t="s">
        <v>23</v>
      </c>
      <c r="H1" s="41" t="s">
        <v>160</v>
      </c>
    </row>
    <row r="2" spans="1:8" ht="13.5" thickTop="1">
      <c r="A2" s="61" t="s">
        <v>228</v>
      </c>
      <c r="B2" s="62" t="s">
        <v>215</v>
      </c>
      <c r="C2" s="62" t="s">
        <v>216</v>
      </c>
      <c r="D2" s="62" t="s">
        <v>125</v>
      </c>
      <c r="E2" s="62">
        <v>100</v>
      </c>
      <c r="F2" s="63">
        <v>0</v>
      </c>
      <c r="G2" s="62" t="s">
        <v>285</v>
      </c>
      <c r="H2" s="65">
        <v>42247</v>
      </c>
    </row>
    <row r="3" spans="1:8">
      <c r="A3" s="61" t="s">
        <v>244</v>
      </c>
      <c r="B3" s="62" t="s">
        <v>245</v>
      </c>
      <c r="C3" s="62" t="s">
        <v>286</v>
      </c>
      <c r="D3" s="62" t="s">
        <v>287</v>
      </c>
      <c r="E3" s="62">
        <v>40</v>
      </c>
      <c r="F3" s="63">
        <v>0</v>
      </c>
      <c r="G3" s="62" t="s">
        <v>289</v>
      </c>
      <c r="H3" s="67">
        <v>42247</v>
      </c>
    </row>
    <row r="4" spans="1:8">
      <c r="A4" s="72"/>
      <c r="B4" s="73"/>
      <c r="C4" s="73" t="s">
        <v>30</v>
      </c>
      <c r="D4" s="73" t="s">
        <v>129</v>
      </c>
      <c r="E4" s="73">
        <v>20</v>
      </c>
      <c r="F4" s="74">
        <v>0</v>
      </c>
      <c r="G4" s="73"/>
      <c r="H4" s="67">
        <v>42247</v>
      </c>
    </row>
    <row r="5" spans="1:8">
      <c r="A5" s="72"/>
      <c r="B5" s="73"/>
      <c r="C5" s="73" t="s">
        <v>30</v>
      </c>
      <c r="D5" s="73" t="s">
        <v>129</v>
      </c>
      <c r="E5" s="73">
        <v>50</v>
      </c>
      <c r="F5" s="74">
        <v>0</v>
      </c>
      <c r="G5" s="73" t="s">
        <v>288</v>
      </c>
      <c r="H5" s="67">
        <v>42247</v>
      </c>
    </row>
    <row r="6" spans="1:8">
      <c r="A6" s="72"/>
      <c r="B6" s="73"/>
      <c r="C6" s="73"/>
      <c r="D6" s="73"/>
      <c r="E6" s="73"/>
      <c r="F6" s="74"/>
      <c r="G6" s="73"/>
      <c r="H6" s="75"/>
    </row>
  </sheetData>
  <pageMargins left="0.7" right="0.7" top="0.78740157499999996" bottom="0.78740157499999996" header="0.3" footer="0.3"/>
  <pageSetup paperSize="9" orientation="portrait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"/>
  <sheetViews>
    <sheetView topLeftCell="C1" workbookViewId="0">
      <selection activeCell="G8" sqref="G8"/>
    </sheetView>
  </sheetViews>
  <sheetFormatPr baseColWidth="10" defaultRowHeight="12.75"/>
  <cols>
    <col min="1" max="1" width="18.28515625" bestFit="1" customWidth="1"/>
    <col min="2" max="2" width="27.42578125" bestFit="1" customWidth="1"/>
    <col min="3" max="3" width="49.7109375" customWidth="1"/>
    <col min="4" max="4" width="16.42578125" bestFit="1" customWidth="1"/>
    <col min="5" max="5" width="22.140625" customWidth="1"/>
    <col min="6" max="6" width="8.7109375" customWidth="1"/>
    <col min="7" max="7" width="51.28515625" bestFit="1" customWidth="1"/>
    <col min="8" max="8" width="10.140625" bestFit="1" customWidth="1"/>
  </cols>
  <sheetData>
    <row r="1" spans="1:8" ht="13.5" thickBot="1">
      <c r="A1" s="42" t="s">
        <v>24</v>
      </c>
      <c r="B1" s="40" t="s">
        <v>12</v>
      </c>
      <c r="C1" s="40" t="s">
        <v>161</v>
      </c>
      <c r="D1" s="40" t="s">
        <v>11</v>
      </c>
      <c r="E1" s="40" t="s">
        <v>156</v>
      </c>
      <c r="F1" s="40" t="s">
        <v>92</v>
      </c>
      <c r="G1" s="40" t="s">
        <v>23</v>
      </c>
      <c r="H1" s="41" t="s">
        <v>160</v>
      </c>
    </row>
    <row r="2" spans="1:8" ht="13.5" thickTop="1">
      <c r="A2" s="61" t="s">
        <v>228</v>
      </c>
      <c r="B2" s="62" t="s">
        <v>215</v>
      </c>
      <c r="C2" s="62" t="s">
        <v>216</v>
      </c>
      <c r="D2" s="62" t="s">
        <v>125</v>
      </c>
      <c r="E2" s="62">
        <v>40</v>
      </c>
      <c r="F2" s="63">
        <v>0</v>
      </c>
      <c r="G2" s="62" t="s">
        <v>270</v>
      </c>
      <c r="H2" s="65">
        <v>42216</v>
      </c>
    </row>
    <row r="3" spans="1:8">
      <c r="A3" s="61" t="s">
        <v>244</v>
      </c>
      <c r="B3" s="62" t="s">
        <v>245</v>
      </c>
      <c r="C3" s="62" t="s">
        <v>246</v>
      </c>
      <c r="D3" s="62" t="s">
        <v>247</v>
      </c>
      <c r="E3" s="62">
        <v>90</v>
      </c>
      <c r="F3" s="63">
        <v>0</v>
      </c>
      <c r="G3" s="62" t="s">
        <v>271</v>
      </c>
      <c r="H3" s="67">
        <v>42216</v>
      </c>
    </row>
    <row r="4" spans="1:8">
      <c r="A4" s="68" t="s">
        <v>142</v>
      </c>
      <c r="B4" s="69" t="s">
        <v>250</v>
      </c>
      <c r="C4" s="69" t="s">
        <v>251</v>
      </c>
      <c r="D4" s="69" t="s">
        <v>20</v>
      </c>
      <c r="E4" s="69">
        <v>20</v>
      </c>
      <c r="F4" s="70">
        <v>0.1</v>
      </c>
      <c r="G4" s="69"/>
      <c r="H4" s="67">
        <v>42216</v>
      </c>
    </row>
    <row r="5" spans="1:8">
      <c r="A5" s="68" t="s">
        <v>142</v>
      </c>
      <c r="B5" s="69" t="s">
        <v>252</v>
      </c>
      <c r="C5" s="69" t="s">
        <v>253</v>
      </c>
      <c r="D5" s="69" t="s">
        <v>20</v>
      </c>
      <c r="E5" s="69">
        <v>40</v>
      </c>
      <c r="F5" s="70">
        <v>0</v>
      </c>
      <c r="G5" s="69" t="s">
        <v>272</v>
      </c>
      <c r="H5" s="67">
        <v>42216</v>
      </c>
    </row>
    <row r="6" spans="1:8">
      <c r="A6" s="68"/>
      <c r="B6" s="69"/>
      <c r="C6" s="69" t="s">
        <v>273</v>
      </c>
      <c r="D6" s="69" t="s">
        <v>131</v>
      </c>
      <c r="E6" s="69">
        <v>8</v>
      </c>
      <c r="F6" s="70">
        <v>0</v>
      </c>
      <c r="G6" s="69"/>
      <c r="H6" s="67">
        <v>42200</v>
      </c>
    </row>
    <row r="7" spans="1:8">
      <c r="A7" s="72"/>
      <c r="B7" s="73"/>
      <c r="C7" s="73" t="s">
        <v>30</v>
      </c>
      <c r="D7" s="73" t="s">
        <v>129</v>
      </c>
      <c r="E7" s="73">
        <v>48</v>
      </c>
      <c r="F7" s="74">
        <v>0.1</v>
      </c>
      <c r="G7" s="73" t="s">
        <v>274</v>
      </c>
      <c r="H7" s="67">
        <v>42216</v>
      </c>
    </row>
    <row r="8" spans="1:8">
      <c r="A8" s="68"/>
      <c r="B8" s="69"/>
      <c r="C8" s="69"/>
      <c r="D8" s="69"/>
      <c r="E8" s="69"/>
      <c r="F8" s="70"/>
      <c r="G8" s="69"/>
      <c r="H8" s="71"/>
    </row>
    <row r="9" spans="1:8">
      <c r="A9" s="72"/>
      <c r="B9" s="73"/>
      <c r="C9" s="73"/>
      <c r="D9" s="73"/>
      <c r="E9" s="73"/>
      <c r="F9" s="74"/>
      <c r="G9" s="73"/>
      <c r="H9" s="75"/>
    </row>
  </sheetData>
  <pageMargins left="0.7" right="0.7" top="0.78740157499999996" bottom="0.78740157499999996" header="0.3" footer="0.3"/>
  <pageSetup paperSize="9" orientation="portrait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"/>
  <sheetViews>
    <sheetView topLeftCell="C1" workbookViewId="0">
      <selection activeCell="H6" sqref="H6"/>
    </sheetView>
  </sheetViews>
  <sheetFormatPr baseColWidth="10" defaultRowHeight="12.75"/>
  <cols>
    <col min="1" max="1" width="18.28515625" bestFit="1" customWidth="1"/>
    <col min="2" max="2" width="27.42578125" bestFit="1" customWidth="1"/>
    <col min="3" max="3" width="38.85546875" bestFit="1" customWidth="1"/>
    <col min="4" max="4" width="16.42578125" bestFit="1" customWidth="1"/>
    <col min="5" max="5" width="22.140625" customWidth="1"/>
    <col min="6" max="6" width="8.7109375" customWidth="1"/>
    <col min="7" max="7" width="51.28515625" bestFit="1" customWidth="1"/>
    <col min="8" max="8" width="10.140625" bestFit="1" customWidth="1"/>
  </cols>
  <sheetData>
    <row r="1" spans="1:8" ht="13.5" thickBot="1">
      <c r="A1" s="42" t="s">
        <v>24</v>
      </c>
      <c r="B1" s="40" t="s">
        <v>12</v>
      </c>
      <c r="C1" s="40" t="s">
        <v>161</v>
      </c>
      <c r="D1" s="40" t="s">
        <v>11</v>
      </c>
      <c r="E1" s="40" t="s">
        <v>156</v>
      </c>
      <c r="F1" s="40" t="s">
        <v>92</v>
      </c>
      <c r="G1" s="40" t="s">
        <v>23</v>
      </c>
      <c r="H1" s="41" t="s">
        <v>160</v>
      </c>
    </row>
    <row r="2" spans="1:8" ht="13.5" thickTop="1">
      <c r="A2" s="61" t="s">
        <v>228</v>
      </c>
      <c r="B2" s="62" t="s">
        <v>215</v>
      </c>
      <c r="C2" s="62" t="s">
        <v>216</v>
      </c>
      <c r="D2" s="62" t="s">
        <v>125</v>
      </c>
      <c r="E2" s="62">
        <v>80</v>
      </c>
      <c r="F2" s="63">
        <v>0</v>
      </c>
      <c r="G2" s="62" t="s">
        <v>197</v>
      </c>
      <c r="H2" s="65">
        <v>42185</v>
      </c>
    </row>
    <row r="3" spans="1:8">
      <c r="A3" s="61" t="s">
        <v>244</v>
      </c>
      <c r="B3" s="62" t="s">
        <v>245</v>
      </c>
      <c r="C3" s="62" t="s">
        <v>246</v>
      </c>
      <c r="D3" s="62" t="s">
        <v>247</v>
      </c>
      <c r="E3" s="62">
        <v>90</v>
      </c>
      <c r="F3" s="63">
        <v>0</v>
      </c>
      <c r="G3" s="62" t="s">
        <v>246</v>
      </c>
      <c r="H3" s="67">
        <v>42185</v>
      </c>
    </row>
    <row r="4" spans="1:8">
      <c r="A4" s="68" t="s">
        <v>142</v>
      </c>
      <c r="B4" s="69" t="s">
        <v>248</v>
      </c>
      <c r="C4" s="69" t="s">
        <v>249</v>
      </c>
      <c r="D4" s="69" t="s">
        <v>20</v>
      </c>
      <c r="E4" s="69">
        <v>35</v>
      </c>
      <c r="F4" s="70">
        <v>0</v>
      </c>
      <c r="G4" s="69"/>
      <c r="H4" s="67">
        <v>42185</v>
      </c>
    </row>
    <row r="5" spans="1:8">
      <c r="A5" s="68" t="s">
        <v>142</v>
      </c>
      <c r="B5" s="69" t="s">
        <v>250</v>
      </c>
      <c r="C5" s="69" t="s">
        <v>251</v>
      </c>
      <c r="D5" s="69" t="s">
        <v>20</v>
      </c>
      <c r="E5" s="69">
        <v>24</v>
      </c>
      <c r="F5" s="70">
        <v>0</v>
      </c>
      <c r="G5" s="69"/>
      <c r="H5" s="67">
        <v>42185</v>
      </c>
    </row>
    <row r="6" spans="1:8">
      <c r="A6" s="68" t="s">
        <v>142</v>
      </c>
      <c r="B6" s="69" t="s">
        <v>252</v>
      </c>
      <c r="C6" s="69" t="s">
        <v>253</v>
      </c>
      <c r="D6" s="69" t="s">
        <v>20</v>
      </c>
      <c r="E6" s="69">
        <v>40</v>
      </c>
      <c r="F6" s="70">
        <v>0</v>
      </c>
      <c r="G6" s="69"/>
      <c r="H6" s="67">
        <v>42185</v>
      </c>
    </row>
    <row r="7" spans="1:8">
      <c r="A7" s="68"/>
      <c r="B7" s="69"/>
      <c r="C7" s="69"/>
      <c r="D7" s="69"/>
      <c r="E7" s="69"/>
      <c r="F7" s="70"/>
      <c r="G7" s="69"/>
      <c r="H7" s="71"/>
    </row>
    <row r="8" spans="1:8">
      <c r="A8" s="72"/>
      <c r="B8" s="73"/>
      <c r="C8" s="73"/>
      <c r="D8" s="73"/>
      <c r="E8" s="73"/>
      <c r="F8" s="74"/>
      <c r="G8" s="73"/>
      <c r="H8" s="75"/>
    </row>
  </sheetData>
  <pageMargins left="0.7" right="0.7" top="0.78740157499999996" bottom="0.78740157499999996" header="0.3" footer="0.3"/>
  <pageSetup paperSize="9" orientation="portrait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C35" sqref="C34:C35"/>
    </sheetView>
  </sheetViews>
  <sheetFormatPr baseColWidth="10" defaultRowHeight="12.75"/>
  <cols>
    <col min="1" max="1" width="18.28515625" bestFit="1" customWidth="1"/>
    <col min="2" max="2" width="27.42578125" bestFit="1" customWidth="1"/>
    <col min="3" max="3" width="38.85546875" bestFit="1" customWidth="1"/>
    <col min="4" max="4" width="16.42578125" bestFit="1" customWidth="1"/>
    <col min="5" max="5" width="22.140625" customWidth="1"/>
    <col min="6" max="6" width="8.7109375" customWidth="1"/>
    <col min="7" max="7" width="51.28515625" bestFit="1" customWidth="1"/>
    <col min="8" max="8" width="10.140625" bestFit="1" customWidth="1"/>
  </cols>
  <sheetData>
    <row r="1" spans="1:8" ht="13.5" thickBot="1">
      <c r="A1" s="42" t="s">
        <v>24</v>
      </c>
      <c r="B1" s="40" t="s">
        <v>12</v>
      </c>
      <c r="C1" s="40" t="s">
        <v>161</v>
      </c>
      <c r="D1" s="40" t="s">
        <v>11</v>
      </c>
      <c r="E1" s="40" t="s">
        <v>156</v>
      </c>
      <c r="F1" s="40" t="s">
        <v>92</v>
      </c>
      <c r="G1" s="40" t="s">
        <v>23</v>
      </c>
      <c r="H1" s="41" t="s">
        <v>160</v>
      </c>
    </row>
    <row r="2" spans="1:8" ht="13.5" thickTop="1">
      <c r="A2" s="52"/>
      <c r="B2" s="50"/>
      <c r="C2" s="50"/>
      <c r="D2" s="50"/>
      <c r="E2" s="50"/>
      <c r="F2" s="51"/>
      <c r="G2" s="50"/>
      <c r="H2" s="60"/>
    </row>
    <row r="3" spans="1:8">
      <c r="A3" s="61"/>
      <c r="B3" s="62"/>
      <c r="C3" s="62"/>
      <c r="D3" s="62"/>
      <c r="E3" s="62"/>
      <c r="F3" s="63"/>
      <c r="G3" s="62"/>
      <c r="H3" s="64"/>
    </row>
  </sheetData>
  <pageMargins left="0.7" right="0.7" top="0.78740157499999996" bottom="0.78740157499999996" header="0.3" footer="0.3"/>
  <pageSetup paperSize="9" orientation="portrait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4"/>
  <sheetViews>
    <sheetView workbookViewId="0">
      <selection activeCell="A3" sqref="A3"/>
    </sheetView>
  </sheetViews>
  <sheetFormatPr baseColWidth="10" defaultRowHeight="12.75"/>
  <cols>
    <col min="1" max="1" width="18.28515625" bestFit="1" customWidth="1"/>
    <col min="2" max="2" width="27.42578125" bestFit="1" customWidth="1"/>
    <col min="3" max="3" width="38.85546875" bestFit="1" customWidth="1"/>
    <col min="4" max="4" width="16.42578125" bestFit="1" customWidth="1"/>
    <col min="5" max="5" width="22.140625" customWidth="1"/>
    <col min="6" max="6" width="8.7109375" customWidth="1"/>
    <col min="7" max="7" width="51.28515625" bestFit="1" customWidth="1"/>
    <col min="8" max="8" width="10.140625" bestFit="1" customWidth="1"/>
  </cols>
  <sheetData>
    <row r="1" spans="1:8" ht="13.5" thickBot="1">
      <c r="A1" s="42" t="s">
        <v>24</v>
      </c>
      <c r="B1" s="40" t="s">
        <v>12</v>
      </c>
      <c r="C1" s="40" t="s">
        <v>161</v>
      </c>
      <c r="D1" s="40" t="s">
        <v>11</v>
      </c>
      <c r="E1" s="40" t="s">
        <v>156</v>
      </c>
      <c r="F1" s="40" t="s">
        <v>92</v>
      </c>
      <c r="G1" s="40" t="s">
        <v>23</v>
      </c>
      <c r="H1" s="41" t="s">
        <v>160</v>
      </c>
    </row>
    <row r="2" spans="1:8" ht="13.5" thickTop="1">
      <c r="A2" s="52" t="s">
        <v>17</v>
      </c>
      <c r="B2" s="50" t="s">
        <v>25</v>
      </c>
      <c r="C2" s="50" t="s">
        <v>218</v>
      </c>
      <c r="D2" s="50" t="s">
        <v>32</v>
      </c>
      <c r="E2" s="50">
        <v>30</v>
      </c>
      <c r="F2" s="51">
        <v>0</v>
      </c>
      <c r="G2" s="50" t="s">
        <v>198</v>
      </c>
      <c r="H2" s="65">
        <v>42155</v>
      </c>
    </row>
    <row r="3" spans="1:8">
      <c r="A3" s="52" t="s">
        <v>142</v>
      </c>
      <c r="B3" s="50" t="s">
        <v>143</v>
      </c>
      <c r="C3" s="50" t="s">
        <v>219</v>
      </c>
      <c r="D3" s="50" t="s">
        <v>20</v>
      </c>
      <c r="E3" s="50">
        <v>70</v>
      </c>
      <c r="F3" s="51">
        <v>0</v>
      </c>
      <c r="G3" s="50" t="s">
        <v>214</v>
      </c>
      <c r="H3" s="65">
        <v>42155</v>
      </c>
    </row>
    <row r="4" spans="1:8" collapsed="1">
      <c r="A4" s="52" t="s">
        <v>51</v>
      </c>
      <c r="B4" s="50" t="s">
        <v>50</v>
      </c>
      <c r="C4" s="50" t="s">
        <v>134</v>
      </c>
      <c r="D4" s="50" t="s">
        <v>8</v>
      </c>
      <c r="E4" s="50">
        <v>20</v>
      </c>
      <c r="F4" s="51">
        <v>0.2</v>
      </c>
      <c r="G4" s="50"/>
      <c r="H4" s="65">
        <v>42155</v>
      </c>
    </row>
    <row r="5" spans="1:8">
      <c r="A5" s="52" t="s">
        <v>236</v>
      </c>
      <c r="B5" s="50" t="s">
        <v>217</v>
      </c>
      <c r="C5" s="50" t="s">
        <v>220</v>
      </c>
      <c r="D5" s="50" t="s">
        <v>20</v>
      </c>
      <c r="E5" s="50">
        <v>25</v>
      </c>
      <c r="F5" s="51">
        <v>0</v>
      </c>
      <c r="G5" s="50" t="s">
        <v>221</v>
      </c>
      <c r="H5" s="65">
        <v>42155</v>
      </c>
    </row>
    <row r="6" spans="1:8" collapsed="1">
      <c r="A6" s="52" t="s">
        <v>237</v>
      </c>
      <c r="B6" s="50" t="s">
        <v>217</v>
      </c>
      <c r="C6" s="50" t="s">
        <v>220</v>
      </c>
      <c r="D6" s="50" t="s">
        <v>20</v>
      </c>
      <c r="E6" s="50">
        <v>30</v>
      </c>
      <c r="F6" s="51">
        <v>0</v>
      </c>
      <c r="G6" s="50" t="s">
        <v>221</v>
      </c>
      <c r="H6" s="65">
        <v>42155</v>
      </c>
    </row>
    <row r="7" spans="1:8" collapsed="1">
      <c r="A7" s="52" t="s">
        <v>227</v>
      </c>
      <c r="B7" s="50" t="s">
        <v>226</v>
      </c>
      <c r="C7" s="53" t="s">
        <v>216</v>
      </c>
      <c r="D7" s="50" t="s">
        <v>125</v>
      </c>
      <c r="E7" s="50">
        <v>80</v>
      </c>
      <c r="F7" s="51">
        <v>0</v>
      </c>
      <c r="G7" s="53"/>
      <c r="H7" s="65">
        <v>42155</v>
      </c>
    </row>
    <row r="8" spans="1:8" collapsed="1">
      <c r="A8" s="52"/>
      <c r="B8" s="50"/>
      <c r="C8" s="50"/>
      <c r="D8" s="50"/>
      <c r="E8" s="50"/>
      <c r="F8" s="51"/>
      <c r="G8" s="50"/>
      <c r="H8" s="65"/>
    </row>
    <row r="9" spans="1:8">
      <c r="A9" s="52"/>
      <c r="B9" s="50"/>
      <c r="C9" s="50"/>
      <c r="D9" s="50"/>
      <c r="E9" s="50"/>
      <c r="F9" s="51"/>
      <c r="G9" s="50"/>
      <c r="H9" s="65"/>
    </row>
    <row r="10" spans="1:8">
      <c r="A10" s="52"/>
      <c r="B10" s="50"/>
      <c r="C10" s="50"/>
      <c r="D10" s="50"/>
      <c r="E10" s="50"/>
      <c r="F10" s="51"/>
      <c r="G10" s="50"/>
      <c r="H10" s="65"/>
    </row>
    <row r="11" spans="1:8">
      <c r="A11" s="52"/>
      <c r="B11" s="50"/>
      <c r="C11" s="50"/>
      <c r="D11" s="50"/>
      <c r="E11" s="50"/>
      <c r="F11" s="51"/>
      <c r="G11" s="50"/>
      <c r="H11" s="65"/>
    </row>
    <row r="12" spans="1:8">
      <c r="A12" s="52"/>
      <c r="B12" s="50"/>
      <c r="C12" s="50"/>
      <c r="D12" s="50"/>
      <c r="E12" s="50"/>
      <c r="F12" s="51"/>
      <c r="G12" s="50"/>
      <c r="H12" s="65"/>
    </row>
    <row r="13" spans="1:8">
      <c r="A13" s="61"/>
      <c r="B13" s="62"/>
      <c r="C13" s="62"/>
      <c r="D13" s="62"/>
      <c r="E13" s="62"/>
      <c r="F13" s="63"/>
      <c r="G13" s="62"/>
      <c r="H13" s="64"/>
    </row>
    <row r="14" spans="1:8">
      <c r="A14" s="61"/>
      <c r="B14" s="62"/>
      <c r="C14" s="62"/>
      <c r="D14" s="62"/>
      <c r="E14" s="62"/>
      <c r="F14" s="63"/>
      <c r="G14" s="62"/>
      <c r="H14" s="64"/>
    </row>
  </sheetData>
  <pageMargins left="0.7" right="0.7" top="0.78740157499999996" bottom="0.78740157499999996" header="0.3" footer="0.3"/>
  <pageSetup paperSize="9" orientation="portrait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4"/>
  <sheetViews>
    <sheetView workbookViewId="0">
      <selection activeCell="A2" sqref="A2"/>
    </sheetView>
  </sheetViews>
  <sheetFormatPr baseColWidth="10" defaultRowHeight="12.75" outlineLevelRow="1"/>
  <cols>
    <col min="1" max="1" width="18.28515625" bestFit="1" customWidth="1"/>
    <col min="2" max="2" width="27.42578125" bestFit="1" customWidth="1"/>
    <col min="3" max="3" width="38.85546875" bestFit="1" customWidth="1"/>
    <col min="4" max="4" width="16.42578125" bestFit="1" customWidth="1"/>
    <col min="5" max="5" width="22.140625" customWidth="1"/>
    <col min="6" max="6" width="8.7109375" customWidth="1"/>
    <col min="7" max="7" width="51.28515625" bestFit="1" customWidth="1"/>
    <col min="8" max="8" width="10.140625" bestFit="1" customWidth="1"/>
  </cols>
  <sheetData>
    <row r="1" spans="1:8" ht="13.5" thickBot="1">
      <c r="A1" s="42" t="s">
        <v>24</v>
      </c>
      <c r="B1" s="40" t="s">
        <v>12</v>
      </c>
      <c r="C1" s="40" t="s">
        <v>161</v>
      </c>
      <c r="D1" s="40" t="s">
        <v>11</v>
      </c>
      <c r="E1" s="40" t="s">
        <v>156</v>
      </c>
      <c r="F1" s="40" t="s">
        <v>92</v>
      </c>
      <c r="G1" s="40" t="s">
        <v>23</v>
      </c>
      <c r="H1" s="41" t="s">
        <v>160</v>
      </c>
    </row>
    <row r="2" spans="1:8" ht="13.5" thickTop="1">
      <c r="A2" s="52" t="s">
        <v>37</v>
      </c>
      <c r="B2" s="47" t="s">
        <v>36</v>
      </c>
      <c r="C2" s="53" t="s">
        <v>169</v>
      </c>
      <c r="D2" s="47" t="s">
        <v>34</v>
      </c>
      <c r="E2" s="47">
        <v>8</v>
      </c>
      <c r="F2" s="48">
        <v>0.99</v>
      </c>
      <c r="G2" s="53" t="s">
        <v>192</v>
      </c>
      <c r="H2" s="49">
        <v>42094</v>
      </c>
    </row>
    <row r="3" spans="1:8" ht="12.75" hidden="1" customHeight="1" outlineLevel="1">
      <c r="A3" s="52" t="s">
        <v>37</v>
      </c>
      <c r="B3" s="47" t="s">
        <v>36</v>
      </c>
      <c r="C3" s="50" t="s">
        <v>150</v>
      </c>
      <c r="D3" s="47"/>
      <c r="E3" s="47">
        <v>40</v>
      </c>
      <c r="F3" s="48">
        <v>0.8</v>
      </c>
      <c r="G3" s="21"/>
      <c r="H3" s="49">
        <v>42094</v>
      </c>
    </row>
    <row r="4" spans="1:8" collapsed="1">
      <c r="A4" s="46" t="s">
        <v>17</v>
      </c>
      <c r="B4" s="50" t="s">
        <v>25</v>
      </c>
      <c r="C4" s="50" t="s">
        <v>169</v>
      </c>
      <c r="D4" s="50" t="s">
        <v>32</v>
      </c>
      <c r="E4" s="50">
        <v>37</v>
      </c>
      <c r="F4" s="48">
        <v>0</v>
      </c>
      <c r="G4" s="50" t="s">
        <v>198</v>
      </c>
      <c r="H4" s="49">
        <v>42094</v>
      </c>
    </row>
    <row r="5" spans="1:8" hidden="1" outlineLevel="1">
      <c r="A5" s="46" t="s">
        <v>17</v>
      </c>
      <c r="B5" s="50" t="s">
        <v>25</v>
      </c>
      <c r="C5" s="50" t="s">
        <v>162</v>
      </c>
      <c r="D5" s="50" t="s">
        <v>32</v>
      </c>
      <c r="E5" s="50">
        <v>5</v>
      </c>
      <c r="F5" s="51">
        <v>0</v>
      </c>
      <c r="G5" s="50"/>
      <c r="H5" s="49">
        <v>42094</v>
      </c>
    </row>
    <row r="6" spans="1:8" hidden="1" outlineLevel="1">
      <c r="A6" s="46" t="s">
        <v>17</v>
      </c>
      <c r="B6" s="50" t="s">
        <v>25</v>
      </c>
      <c r="C6" s="50" t="s">
        <v>163</v>
      </c>
      <c r="D6" s="50" t="s">
        <v>32</v>
      </c>
      <c r="E6" s="50">
        <v>2</v>
      </c>
      <c r="F6" s="51">
        <v>1</v>
      </c>
      <c r="G6" s="50"/>
      <c r="H6" s="49">
        <v>42094</v>
      </c>
    </row>
    <row r="7" spans="1:8" hidden="1" outlineLevel="1">
      <c r="A7" s="46" t="s">
        <v>17</v>
      </c>
      <c r="B7" s="50" t="s">
        <v>25</v>
      </c>
      <c r="C7" s="50" t="s">
        <v>164</v>
      </c>
      <c r="D7" s="50" t="s">
        <v>32</v>
      </c>
      <c r="E7" s="50">
        <v>8</v>
      </c>
      <c r="F7" s="51">
        <v>0</v>
      </c>
      <c r="G7" s="50"/>
      <c r="H7" s="49">
        <v>42094</v>
      </c>
    </row>
    <row r="8" spans="1:8" hidden="1" outlineLevel="1">
      <c r="A8" s="46" t="s">
        <v>17</v>
      </c>
      <c r="B8" s="50" t="s">
        <v>25</v>
      </c>
      <c r="C8" s="50" t="s">
        <v>165</v>
      </c>
      <c r="D8" s="50" t="s">
        <v>32</v>
      </c>
      <c r="E8" s="50">
        <v>8</v>
      </c>
      <c r="F8" s="51">
        <v>0</v>
      </c>
      <c r="G8" s="50"/>
      <c r="H8" s="49">
        <v>42094</v>
      </c>
    </row>
    <row r="9" spans="1:8" hidden="1" outlineLevel="1">
      <c r="A9" s="46" t="s">
        <v>17</v>
      </c>
      <c r="B9" s="50" t="s">
        <v>25</v>
      </c>
      <c r="C9" s="50" t="s">
        <v>166</v>
      </c>
      <c r="D9" s="50" t="s">
        <v>32</v>
      </c>
      <c r="E9" s="50">
        <v>8</v>
      </c>
      <c r="F9" s="51">
        <v>0</v>
      </c>
      <c r="G9" s="50"/>
      <c r="H9" s="49">
        <v>42094</v>
      </c>
    </row>
    <row r="10" spans="1:8" hidden="1" outlineLevel="1">
      <c r="A10" s="46" t="s">
        <v>17</v>
      </c>
      <c r="B10" s="50" t="s">
        <v>25</v>
      </c>
      <c r="C10" s="50" t="s">
        <v>167</v>
      </c>
      <c r="D10" s="50" t="s">
        <v>32</v>
      </c>
      <c r="E10" s="50">
        <v>24</v>
      </c>
      <c r="F10" s="51">
        <v>0</v>
      </c>
      <c r="G10" s="50"/>
      <c r="H10" s="49">
        <v>42094</v>
      </c>
    </row>
    <row r="11" spans="1:8" hidden="1" outlineLevel="1">
      <c r="A11" s="46" t="s">
        <v>17</v>
      </c>
      <c r="B11" s="50" t="s">
        <v>25</v>
      </c>
      <c r="C11" s="50" t="s">
        <v>168</v>
      </c>
      <c r="D11" s="50" t="s">
        <v>32</v>
      </c>
      <c r="E11" s="50">
        <v>8</v>
      </c>
      <c r="F11" s="51">
        <v>0</v>
      </c>
      <c r="G11" s="50"/>
      <c r="H11" s="49">
        <v>42094</v>
      </c>
    </row>
    <row r="12" spans="1:8" hidden="1" outlineLevel="1">
      <c r="A12" s="46" t="s">
        <v>157</v>
      </c>
      <c r="B12" s="47" t="s">
        <v>158</v>
      </c>
      <c r="C12" s="50" t="s">
        <v>170</v>
      </c>
      <c r="D12" s="50" t="s">
        <v>159</v>
      </c>
      <c r="E12" s="50">
        <v>20</v>
      </c>
      <c r="F12" s="51">
        <v>0</v>
      </c>
      <c r="G12" s="50"/>
      <c r="H12" s="49">
        <v>42094</v>
      </c>
    </row>
    <row r="13" spans="1:8" hidden="1" outlineLevel="1">
      <c r="A13" s="46" t="s">
        <v>157</v>
      </c>
      <c r="B13" s="47" t="s">
        <v>158</v>
      </c>
      <c r="C13" s="50" t="s">
        <v>171</v>
      </c>
      <c r="D13" s="50" t="s">
        <v>159</v>
      </c>
      <c r="E13" s="50">
        <v>24</v>
      </c>
      <c r="F13" s="51">
        <v>0</v>
      </c>
      <c r="G13" s="50"/>
      <c r="H13" s="49">
        <v>42094</v>
      </c>
    </row>
    <row r="14" spans="1:8" hidden="1" outlineLevel="1">
      <c r="A14" s="46" t="s">
        <v>157</v>
      </c>
      <c r="B14" s="47" t="s">
        <v>158</v>
      </c>
      <c r="C14" s="50" t="s">
        <v>172</v>
      </c>
      <c r="D14" s="50" t="s">
        <v>159</v>
      </c>
      <c r="E14" s="50">
        <v>20</v>
      </c>
      <c r="F14" s="51">
        <v>0</v>
      </c>
      <c r="G14" s="50"/>
      <c r="H14" s="49">
        <v>42094</v>
      </c>
    </row>
    <row r="15" spans="1:8" collapsed="1">
      <c r="A15" s="46" t="s">
        <v>142</v>
      </c>
      <c r="B15" s="47" t="s">
        <v>143</v>
      </c>
      <c r="C15" s="50" t="s">
        <v>169</v>
      </c>
      <c r="D15" s="47" t="s">
        <v>8</v>
      </c>
      <c r="E15" s="50">
        <v>24</v>
      </c>
      <c r="F15" s="51">
        <v>0</v>
      </c>
      <c r="G15" s="50" t="s">
        <v>193</v>
      </c>
      <c r="H15" s="49">
        <v>42094</v>
      </c>
    </row>
    <row r="16" spans="1:8" hidden="1" outlineLevel="1">
      <c r="A16" s="46" t="s">
        <v>142</v>
      </c>
      <c r="B16" s="47" t="s">
        <v>143</v>
      </c>
      <c r="C16" s="50" t="s">
        <v>146</v>
      </c>
      <c r="D16" s="47" t="s">
        <v>8</v>
      </c>
      <c r="E16" s="47">
        <v>50</v>
      </c>
      <c r="F16" s="48">
        <v>0.5</v>
      </c>
      <c r="G16" s="50"/>
      <c r="H16" s="49">
        <v>42094</v>
      </c>
    </row>
    <row r="17" spans="1:8" collapsed="1">
      <c r="A17" s="46" t="s">
        <v>51</v>
      </c>
      <c r="B17" s="47" t="s">
        <v>50</v>
      </c>
      <c r="C17" s="50" t="s">
        <v>169</v>
      </c>
      <c r="D17" s="50" t="s">
        <v>8</v>
      </c>
      <c r="E17" s="47">
        <v>10</v>
      </c>
      <c r="F17" s="48">
        <v>0</v>
      </c>
      <c r="G17" s="47"/>
      <c r="H17" s="49">
        <v>42094</v>
      </c>
    </row>
    <row r="18" spans="1:8" hidden="1" outlineLevel="1">
      <c r="A18" s="46" t="s">
        <v>51</v>
      </c>
      <c r="B18" s="47" t="s">
        <v>50</v>
      </c>
      <c r="C18" s="50" t="s">
        <v>173</v>
      </c>
      <c r="D18" s="50" t="s">
        <v>8</v>
      </c>
      <c r="E18" s="50">
        <v>10</v>
      </c>
      <c r="F18" s="51">
        <v>0.2</v>
      </c>
      <c r="G18" s="50"/>
      <c r="H18" s="49">
        <v>42094</v>
      </c>
    </row>
    <row r="19" spans="1:8" collapsed="1">
      <c r="A19" s="46" t="s">
        <v>88</v>
      </c>
      <c r="B19" s="47" t="s">
        <v>89</v>
      </c>
      <c r="C19" s="50" t="s">
        <v>169</v>
      </c>
      <c r="D19" s="50" t="s">
        <v>8</v>
      </c>
      <c r="E19" s="50">
        <v>32</v>
      </c>
      <c r="F19" s="51">
        <v>0</v>
      </c>
      <c r="G19" s="50" t="s">
        <v>191</v>
      </c>
      <c r="H19" s="49">
        <v>42094</v>
      </c>
    </row>
    <row r="20" spans="1:8" hidden="1" outlineLevel="1">
      <c r="A20" s="46" t="s">
        <v>88</v>
      </c>
      <c r="B20" s="47" t="s">
        <v>89</v>
      </c>
      <c r="C20" s="50" t="s">
        <v>148</v>
      </c>
      <c r="D20" s="50" t="s">
        <v>8</v>
      </c>
      <c r="E20" s="47">
        <v>20</v>
      </c>
      <c r="F20" s="48">
        <v>0.9</v>
      </c>
      <c r="G20" s="50"/>
      <c r="H20" s="49">
        <v>42094</v>
      </c>
    </row>
    <row r="21" spans="1:8" collapsed="1">
      <c r="A21" s="61" t="s">
        <v>196</v>
      </c>
      <c r="B21" s="62" t="s">
        <v>194</v>
      </c>
      <c r="C21" s="62" t="s">
        <v>195</v>
      </c>
      <c r="D21" s="62" t="s">
        <v>125</v>
      </c>
      <c r="E21" s="62">
        <v>8</v>
      </c>
      <c r="F21" s="63">
        <v>0</v>
      </c>
      <c r="G21" s="62" t="s">
        <v>197</v>
      </c>
      <c r="H21" s="49">
        <v>42094</v>
      </c>
    </row>
    <row r="22" spans="1:8">
      <c r="A22" s="52" t="s">
        <v>196</v>
      </c>
      <c r="B22" s="50" t="s">
        <v>199</v>
      </c>
      <c r="C22" s="50"/>
      <c r="D22" s="50" t="s">
        <v>200</v>
      </c>
      <c r="E22" s="50"/>
      <c r="F22" s="51">
        <v>0</v>
      </c>
      <c r="G22" s="50" t="s">
        <v>201</v>
      </c>
      <c r="H22" s="60"/>
    </row>
    <row r="23" spans="1:8">
      <c r="A23" s="52"/>
      <c r="B23" s="50"/>
      <c r="C23" s="50"/>
      <c r="D23" s="50"/>
      <c r="E23" s="50"/>
      <c r="F23" s="51"/>
      <c r="G23" s="50"/>
      <c r="H23" s="60"/>
    </row>
    <row r="24" spans="1:8">
      <c r="A24" s="61"/>
      <c r="B24" s="62"/>
      <c r="C24" s="62"/>
      <c r="D24" s="62"/>
      <c r="E24" s="62"/>
      <c r="F24" s="63"/>
      <c r="G24" s="62"/>
      <c r="H24" s="64"/>
    </row>
  </sheetData>
  <pageMargins left="0.7" right="0.7" top="0.78740157499999996" bottom="0.78740157499999996" header="0.3" footer="0.3"/>
  <pageSetup paperSize="9" orientation="portrait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workbookViewId="0">
      <selection activeCell="F16" sqref="F16"/>
    </sheetView>
  </sheetViews>
  <sheetFormatPr baseColWidth="10" defaultRowHeight="12.75" outlineLevelRow="1"/>
  <cols>
    <col min="1" max="1" width="18.28515625" bestFit="1" customWidth="1"/>
    <col min="2" max="2" width="27.42578125" bestFit="1" customWidth="1"/>
    <col min="3" max="3" width="38.85546875" bestFit="1" customWidth="1"/>
    <col min="4" max="4" width="16.42578125" bestFit="1" customWidth="1"/>
    <col min="5" max="5" width="22.140625" customWidth="1"/>
    <col min="6" max="6" width="8.7109375" customWidth="1"/>
    <col min="7" max="7" width="51.28515625" bestFit="1" customWidth="1"/>
    <col min="8" max="8" width="10.140625" bestFit="1" customWidth="1"/>
  </cols>
  <sheetData>
    <row r="1" spans="1:8" ht="13.5" thickBot="1">
      <c r="A1" s="42" t="s">
        <v>24</v>
      </c>
      <c r="B1" s="40" t="s">
        <v>12</v>
      </c>
      <c r="C1" s="40" t="s">
        <v>161</v>
      </c>
      <c r="D1" s="40" t="s">
        <v>11</v>
      </c>
      <c r="E1" s="40" t="s">
        <v>156</v>
      </c>
      <c r="F1" s="40" t="s">
        <v>92</v>
      </c>
      <c r="G1" s="40" t="s">
        <v>23</v>
      </c>
      <c r="H1" s="41" t="s">
        <v>160</v>
      </c>
    </row>
    <row r="2" spans="1:8" ht="13.5" thickTop="1">
      <c r="A2" s="52" t="s">
        <v>37</v>
      </c>
      <c r="B2" s="47" t="s">
        <v>36</v>
      </c>
      <c r="C2" s="53" t="s">
        <v>169</v>
      </c>
      <c r="D2" s="47" t="s">
        <v>34</v>
      </c>
      <c r="E2" s="47">
        <v>40</v>
      </c>
      <c r="F2" s="48">
        <v>0.8</v>
      </c>
      <c r="G2" s="21"/>
      <c r="H2" s="49">
        <v>42063</v>
      </c>
    </row>
    <row r="3" spans="1:8" ht="12.75" hidden="1" customHeight="1" outlineLevel="1">
      <c r="A3" s="52" t="s">
        <v>37</v>
      </c>
      <c r="B3" s="47" t="s">
        <v>36</v>
      </c>
      <c r="C3" s="50" t="s">
        <v>150</v>
      </c>
      <c r="D3" s="47"/>
      <c r="E3" s="47">
        <v>40</v>
      </c>
      <c r="F3" s="48">
        <v>0.8</v>
      </c>
      <c r="G3" s="21"/>
      <c r="H3" s="49"/>
    </row>
    <row r="4" spans="1:8" collapsed="1">
      <c r="A4" s="46" t="s">
        <v>17</v>
      </c>
      <c r="B4" s="50" t="s">
        <v>25</v>
      </c>
      <c r="C4" s="50" t="s">
        <v>169</v>
      </c>
      <c r="D4" s="50" t="s">
        <v>32</v>
      </c>
      <c r="E4" s="50">
        <v>63</v>
      </c>
      <c r="F4" s="48"/>
      <c r="G4" s="50"/>
      <c r="H4" s="49">
        <v>42063</v>
      </c>
    </row>
    <row r="5" spans="1:8" hidden="1" outlineLevel="1">
      <c r="A5" s="46" t="s">
        <v>17</v>
      </c>
      <c r="B5" s="50" t="s">
        <v>25</v>
      </c>
      <c r="C5" s="50" t="s">
        <v>162</v>
      </c>
      <c r="D5" s="50" t="s">
        <v>32</v>
      </c>
      <c r="E5" s="50">
        <v>5</v>
      </c>
      <c r="F5" s="51">
        <v>0</v>
      </c>
      <c r="G5" s="50"/>
      <c r="H5" s="49">
        <v>42063</v>
      </c>
    </row>
    <row r="6" spans="1:8" hidden="1" outlineLevel="1">
      <c r="A6" s="46" t="s">
        <v>17</v>
      </c>
      <c r="B6" s="50" t="s">
        <v>25</v>
      </c>
      <c r="C6" s="50" t="s">
        <v>163</v>
      </c>
      <c r="D6" s="50" t="s">
        <v>32</v>
      </c>
      <c r="E6" s="50">
        <v>2</v>
      </c>
      <c r="F6" s="51">
        <v>1</v>
      </c>
      <c r="G6" s="50"/>
      <c r="H6" s="49">
        <v>42063</v>
      </c>
    </row>
    <row r="7" spans="1:8" hidden="1" outlineLevel="1">
      <c r="A7" s="46" t="s">
        <v>17</v>
      </c>
      <c r="B7" s="50" t="s">
        <v>25</v>
      </c>
      <c r="C7" s="50" t="s">
        <v>164</v>
      </c>
      <c r="D7" s="50" t="s">
        <v>32</v>
      </c>
      <c r="E7" s="50">
        <v>8</v>
      </c>
      <c r="F7" s="51">
        <v>0</v>
      </c>
      <c r="G7" s="50"/>
      <c r="H7" s="49">
        <v>42063</v>
      </c>
    </row>
    <row r="8" spans="1:8" hidden="1" outlineLevel="1">
      <c r="A8" s="46" t="s">
        <v>17</v>
      </c>
      <c r="B8" s="50" t="s">
        <v>25</v>
      </c>
      <c r="C8" s="50" t="s">
        <v>165</v>
      </c>
      <c r="D8" s="50" t="s">
        <v>32</v>
      </c>
      <c r="E8" s="50">
        <v>8</v>
      </c>
      <c r="F8" s="51">
        <v>0</v>
      </c>
      <c r="G8" s="50"/>
      <c r="H8" s="49">
        <v>42063</v>
      </c>
    </row>
    <row r="9" spans="1:8" hidden="1" outlineLevel="1">
      <c r="A9" s="46" t="s">
        <v>17</v>
      </c>
      <c r="B9" s="50" t="s">
        <v>25</v>
      </c>
      <c r="C9" s="50" t="s">
        <v>166</v>
      </c>
      <c r="D9" s="50" t="s">
        <v>32</v>
      </c>
      <c r="E9" s="50">
        <v>8</v>
      </c>
      <c r="F9" s="51">
        <v>0</v>
      </c>
      <c r="G9" s="50"/>
      <c r="H9" s="49">
        <v>42063</v>
      </c>
    </row>
    <row r="10" spans="1:8" hidden="1" outlineLevel="1">
      <c r="A10" s="46" t="s">
        <v>17</v>
      </c>
      <c r="B10" s="50" t="s">
        <v>25</v>
      </c>
      <c r="C10" s="50" t="s">
        <v>167</v>
      </c>
      <c r="D10" s="50" t="s">
        <v>32</v>
      </c>
      <c r="E10" s="50">
        <v>24</v>
      </c>
      <c r="F10" s="51">
        <v>0</v>
      </c>
      <c r="G10" s="50"/>
      <c r="H10" s="49">
        <v>42063</v>
      </c>
    </row>
    <row r="11" spans="1:8" hidden="1" outlineLevel="1">
      <c r="A11" s="46" t="s">
        <v>17</v>
      </c>
      <c r="B11" s="50" t="s">
        <v>25</v>
      </c>
      <c r="C11" s="50" t="s">
        <v>168</v>
      </c>
      <c r="D11" s="50" t="s">
        <v>32</v>
      </c>
      <c r="E11" s="50">
        <v>8</v>
      </c>
      <c r="F11" s="51">
        <v>0</v>
      </c>
      <c r="G11" s="50"/>
      <c r="H11" s="49">
        <v>42063</v>
      </c>
    </row>
    <row r="12" spans="1:8" collapsed="1">
      <c r="A12" s="46" t="s">
        <v>157</v>
      </c>
      <c r="B12" s="47" t="s">
        <v>158</v>
      </c>
      <c r="C12" s="50" t="s">
        <v>169</v>
      </c>
      <c r="D12" s="50" t="s">
        <v>159</v>
      </c>
      <c r="E12" s="50">
        <v>64</v>
      </c>
      <c r="F12" s="48">
        <v>0</v>
      </c>
      <c r="G12" s="50"/>
      <c r="H12" s="49">
        <v>42063</v>
      </c>
    </row>
    <row r="13" spans="1:8" hidden="1" outlineLevel="1">
      <c r="A13" s="46" t="s">
        <v>157</v>
      </c>
      <c r="B13" s="47" t="s">
        <v>158</v>
      </c>
      <c r="C13" s="50" t="s">
        <v>170</v>
      </c>
      <c r="D13" s="50" t="s">
        <v>159</v>
      </c>
      <c r="E13" s="50">
        <v>20</v>
      </c>
      <c r="F13" s="51">
        <v>0</v>
      </c>
      <c r="G13" s="50"/>
      <c r="H13" s="49">
        <v>42063</v>
      </c>
    </row>
    <row r="14" spans="1:8" hidden="1" outlineLevel="1">
      <c r="A14" s="46" t="s">
        <v>157</v>
      </c>
      <c r="B14" s="47" t="s">
        <v>158</v>
      </c>
      <c r="C14" s="50" t="s">
        <v>171</v>
      </c>
      <c r="D14" s="50" t="s">
        <v>159</v>
      </c>
      <c r="E14" s="50">
        <v>24</v>
      </c>
      <c r="F14" s="51">
        <v>0</v>
      </c>
      <c r="G14" s="50"/>
      <c r="H14" s="49">
        <v>42063</v>
      </c>
    </row>
    <row r="15" spans="1:8" hidden="1" outlineLevel="1">
      <c r="A15" s="46" t="s">
        <v>157</v>
      </c>
      <c r="B15" s="47" t="s">
        <v>158</v>
      </c>
      <c r="C15" s="50" t="s">
        <v>172</v>
      </c>
      <c r="D15" s="50" t="s">
        <v>159</v>
      </c>
      <c r="E15" s="50">
        <v>20</v>
      </c>
      <c r="F15" s="51">
        <v>0</v>
      </c>
      <c r="G15" s="50"/>
      <c r="H15" s="49">
        <v>42063</v>
      </c>
    </row>
    <row r="16" spans="1:8" collapsed="1">
      <c r="A16" s="46" t="s">
        <v>142</v>
      </c>
      <c r="B16" s="47" t="s">
        <v>143</v>
      </c>
      <c r="C16" s="50" t="s">
        <v>169</v>
      </c>
      <c r="D16" s="47" t="s">
        <v>8</v>
      </c>
      <c r="E16" s="50">
        <v>50</v>
      </c>
      <c r="F16" s="51"/>
      <c r="G16" s="50"/>
      <c r="H16" s="49">
        <v>42063</v>
      </c>
    </row>
    <row r="17" spans="1:8" hidden="1" outlineLevel="1">
      <c r="A17" s="46" t="s">
        <v>142</v>
      </c>
      <c r="B17" s="47" t="s">
        <v>143</v>
      </c>
      <c r="C17" s="50" t="s">
        <v>146</v>
      </c>
      <c r="D17" s="47" t="s">
        <v>8</v>
      </c>
      <c r="E17" s="47">
        <v>50</v>
      </c>
      <c r="F17" s="48">
        <v>0.5</v>
      </c>
      <c r="G17" s="50"/>
      <c r="H17" s="49">
        <v>42063</v>
      </c>
    </row>
    <row r="18" spans="1:8" collapsed="1">
      <c r="A18" s="46" t="s">
        <v>51</v>
      </c>
      <c r="B18" s="47" t="s">
        <v>50</v>
      </c>
      <c r="C18" s="50" t="s">
        <v>169</v>
      </c>
      <c r="D18" s="50" t="s">
        <v>8</v>
      </c>
      <c r="E18" s="47">
        <v>10</v>
      </c>
      <c r="F18" s="48"/>
      <c r="G18" s="47"/>
      <c r="H18" s="49">
        <v>42063</v>
      </c>
    </row>
    <row r="19" spans="1:8" hidden="1" outlineLevel="1">
      <c r="A19" s="46" t="s">
        <v>51</v>
      </c>
      <c r="B19" s="47" t="s">
        <v>50</v>
      </c>
      <c r="C19" s="50" t="s">
        <v>173</v>
      </c>
      <c r="D19" s="50" t="s">
        <v>8</v>
      </c>
      <c r="E19" s="50">
        <v>10</v>
      </c>
      <c r="F19" s="51">
        <v>0.2</v>
      </c>
      <c r="G19" s="50"/>
      <c r="H19" s="49">
        <v>42063</v>
      </c>
    </row>
    <row r="20" spans="1:8" collapsed="1">
      <c r="A20" s="46" t="s">
        <v>88</v>
      </c>
      <c r="B20" s="47" t="s">
        <v>89</v>
      </c>
      <c r="C20" s="50" t="s">
        <v>169</v>
      </c>
      <c r="D20" s="50" t="s">
        <v>8</v>
      </c>
      <c r="E20" s="50">
        <v>20</v>
      </c>
      <c r="F20" s="51"/>
      <c r="G20" s="50"/>
      <c r="H20" s="49">
        <v>42063</v>
      </c>
    </row>
    <row r="21" spans="1:8" hidden="1" outlineLevel="1">
      <c r="A21" s="46" t="s">
        <v>88</v>
      </c>
      <c r="B21" s="47" t="s">
        <v>89</v>
      </c>
      <c r="C21" s="50" t="s">
        <v>148</v>
      </c>
      <c r="D21" s="50" t="s">
        <v>8</v>
      </c>
      <c r="E21" s="47">
        <v>20</v>
      </c>
      <c r="F21" s="48">
        <v>0.9</v>
      </c>
      <c r="G21" s="50"/>
      <c r="H21" s="49">
        <v>42063</v>
      </c>
    </row>
    <row r="22" spans="1:8" collapsed="1"/>
  </sheetData>
  <pageMargins left="0.7" right="0.7" top="0.78740157499999996" bottom="0.78740157499999996" header="0.3" footer="0.3"/>
  <pageSetup paperSize="9" orientation="portrait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19</vt:i4>
      </vt:variant>
      <vt:variant>
        <vt:lpstr>Benannte Bereiche</vt:lpstr>
      </vt:variant>
      <vt:variant>
        <vt:i4>30</vt:i4>
      </vt:variant>
    </vt:vector>
  </HeadingPairs>
  <TitlesOfParts>
    <vt:vector size="49" baseType="lpstr">
      <vt:lpstr>Januar</vt:lpstr>
      <vt:lpstr>Projekt</vt:lpstr>
      <vt:lpstr>Report</vt:lpstr>
      <vt:lpstr>Kalkulator Aufwände</vt:lpstr>
      <vt:lpstr>Kalkulator Allgemeine Aufwände</vt:lpstr>
      <vt:lpstr>DA Calculator Aufwände</vt:lpstr>
      <vt:lpstr>Kalkulator Taetigkeiten</vt:lpstr>
      <vt:lpstr>Kalkulator Dashboard</vt:lpstr>
      <vt:lpstr>Sprint Februar 2016</vt:lpstr>
      <vt:lpstr>Sprint Dezember</vt:lpstr>
      <vt:lpstr>Sprint November</vt:lpstr>
      <vt:lpstr>Sprint Oktober</vt:lpstr>
      <vt:lpstr>August Sprint</vt:lpstr>
      <vt:lpstr>Juli Sprint</vt:lpstr>
      <vt:lpstr>Juni Sprint</vt:lpstr>
      <vt:lpstr>Nächster Sprint</vt:lpstr>
      <vt:lpstr>Sprint Mai</vt:lpstr>
      <vt:lpstr>Sprint März</vt:lpstr>
      <vt:lpstr>Sprint Februar</vt:lpstr>
      <vt:lpstr>'August Sprint'!KalkulatorTaetigkeiten</vt:lpstr>
      <vt:lpstr>'Juli Sprint'!KalkulatorTaetigkeiten</vt:lpstr>
      <vt:lpstr>'Sprint Dezember'!KalkulatorTaetigkeiten</vt:lpstr>
      <vt:lpstr>'Sprint Februar 2016'!KalkulatorTaetigkeiten</vt:lpstr>
      <vt:lpstr>'Sprint November'!KalkulatorTaetigkeiten</vt:lpstr>
      <vt:lpstr>'Sprint Oktober'!KalkulatorTaetigkeiten</vt:lpstr>
      <vt:lpstr>KalkulatorTaetigkeiten</vt:lpstr>
      <vt:lpstr>'August Sprint'!ProjektCode</vt:lpstr>
      <vt:lpstr>'Juli Sprint'!ProjektCode</vt:lpstr>
      <vt:lpstr>'Juni Sprint'!ProjektCode</vt:lpstr>
      <vt:lpstr>'Nächster Sprint'!ProjektCode</vt:lpstr>
      <vt:lpstr>'Sprint Dezember'!ProjektCode</vt:lpstr>
      <vt:lpstr>'Sprint Februar'!ProjektCode</vt:lpstr>
      <vt:lpstr>'Sprint Februar 2016'!ProjektCode</vt:lpstr>
      <vt:lpstr>'Sprint Mai'!ProjektCode</vt:lpstr>
      <vt:lpstr>'Sprint November'!ProjektCode</vt:lpstr>
      <vt:lpstr>'Sprint Oktober'!ProjektCode</vt:lpstr>
      <vt:lpstr>ProjektCode</vt:lpstr>
      <vt:lpstr>'Sprint Dezember'!test</vt:lpstr>
      <vt:lpstr>'Sprint Februar 2016'!test</vt:lpstr>
      <vt:lpstr>'Sprint November'!test</vt:lpstr>
      <vt:lpstr>test</vt:lpstr>
      <vt:lpstr>'Sprint Februar 2016'!test1000</vt:lpstr>
      <vt:lpstr>test1000</vt:lpstr>
      <vt:lpstr>'Sprint Dezember'!test2</vt:lpstr>
      <vt:lpstr>'Sprint Februar 2016'!test2</vt:lpstr>
      <vt:lpstr>'Sprint November'!test2</vt:lpstr>
      <vt:lpstr>test2</vt:lpstr>
      <vt:lpstr>'Sprint Februar 2016'!test3</vt:lpstr>
      <vt:lpstr>test3</vt:lpstr>
    </vt:vector>
  </TitlesOfParts>
  <Company>IMS Health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T49GSRB</dc:creator>
  <cp:lastModifiedBy>michael</cp:lastModifiedBy>
  <cp:lastPrinted>2009-02-05T14:54:39Z</cp:lastPrinted>
  <dcterms:created xsi:type="dcterms:W3CDTF">2003-05-27T15:55:38Z</dcterms:created>
  <dcterms:modified xsi:type="dcterms:W3CDTF">2016-02-23T09:30:36Z</dcterms:modified>
</cp:coreProperties>
</file>